
<file path=[Content_Types].xml><?xml version="1.0" encoding="utf-8"?>
<Types xmlns="http://schemas.openxmlformats.org/package/2006/content-types">
  <Default Extension="bin" ContentType="application/vnd.openxmlformats-officedocument.spreadsheetml.printerSettings"/>
  <Default Extension="emf" ContentType="image/x-emf"/>
  <Default Extension="gif" ContentType="image/gi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activeX/activeX1.xml" ContentType="application/vnd.ms-office.activeX+xml"/>
  <Override PartName="/xl/activeX/activeX1.bin" ContentType="application/vnd.ms-office.activeX"/>
  <Override PartName="/xl/comments1.xml" ContentType="application/vnd.openxmlformats-officedocument.spreadsheetml.comments+xml"/>
  <Override PartName="/xl/charts/chart1.xml" ContentType="application/vnd.openxmlformats-officedocument.drawingml.chart+xml"/>
  <Override PartName="/xl/tables/table1.xml" ContentType="application/vnd.openxmlformats-officedocument.spreadsheetml.table+xml"/>
  <Override PartName="/xl/drawings/drawing3.xml" ContentType="application/vnd.openxmlformats-officedocument.drawing+xml"/>
  <Override PartName="/xl/drawings/drawing4.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6827" codeName="{E757BCB4-07E6-AE0B-56E0-F0EEF7A6E26C}"/>
  <workbookPr codeName="ThisWorkbook" defaultThemeVersion="124226"/>
  <mc:AlternateContent xmlns:mc="http://schemas.openxmlformats.org/markup-compatibility/2006">
    <mc:Choice Requires="x15">
      <x15ac:absPath xmlns:x15ac="http://schemas.microsoft.com/office/spreadsheetml/2010/11/ac" url="C:\Users\lukas\Documents\RWTHProjects\2023_MA_Alt\data\rapl-validation\error-margin-analysis\"/>
    </mc:Choice>
  </mc:AlternateContent>
  <xr:revisionPtr revIDLastSave="0" documentId="13_ncr:1_{47931800-9891-4B8F-9C13-CF593FC9CAFA}" xr6:coauthVersionLast="47" xr6:coauthVersionMax="47" xr10:uidLastSave="{00000000-0000-0000-0000-000000000000}"/>
  <bookViews>
    <workbookView xWindow="38280" yWindow="-120" windowWidth="38640" windowHeight="21240" tabRatio="628" firstSheet="1" activeTab="1" xr2:uid="{00000000-000D-0000-FFFF-FFFF00000000}"/>
  </bookViews>
  <sheets>
    <sheet name="Table of Contents" sheetId="46" r:id="rId1"/>
    <sheet name="Comparison" sheetId="39" r:id="rId2"/>
    <sheet name="TI Parametric Selection " sheetId="1" r:id="rId3"/>
    <sheet name="About" sheetId="44" r:id="rId4"/>
    <sheet name="Help" sheetId="45" r:id="rId5"/>
  </sheets>
  <externalReferences>
    <externalReference r:id="rId6"/>
  </externalReferences>
  <definedNames>
    <definedName name="_xlnm._FilterDatabase" localSheetId="2" hidden="1">'TI Parametric Selection '!$A$2:$AH$350</definedName>
    <definedName name="calcshunt" localSheetId="0">'[1]Comparison Tool'!$P$10</definedName>
    <definedName name="calcshunt">Comparison!$J$17</definedName>
    <definedName name="CMRR_1" localSheetId="0">'[1]Comparison Tool'!$C$23</definedName>
    <definedName name="CMRR_1">Comparison!$C$25</definedName>
    <definedName name="CMRR_2" localSheetId="0">'[1]Comparison Tool'!$D$23</definedName>
    <definedName name="CMRR_2">Comparison!$D$25</definedName>
    <definedName name="CMRR_3" localSheetId="0">'[1]Comparison Tool'!$E$23</definedName>
    <definedName name="CMRR_3">Comparison!$E$25</definedName>
    <definedName name="CMRR_4" localSheetId="0">'[1]Comparison Tool'!$F$23</definedName>
    <definedName name="CMRR_4">Comparison!$F$25</definedName>
    <definedName name="CMRR_5" localSheetId="0">'[1]Comparison Tool'!$G$23</definedName>
    <definedName name="CMRR_5">Comparison!$G$25</definedName>
    <definedName name="cshunt">Comparison!$J$17</definedName>
    <definedName name="Desiredtemp" localSheetId="0">'[1]Comparison Tool'!$J$10</definedName>
    <definedName name="Desiredtemp">Comparison!$J$12</definedName>
    <definedName name="gain1">Comparison!$C$18</definedName>
    <definedName name="gain2">Comparison!$D$18</definedName>
    <definedName name="gain3">Comparison!$E$18</definedName>
    <definedName name="gain4">Comparison!$F$18</definedName>
    <definedName name="gain5">Comparison!$G$18</definedName>
    <definedName name="GE_1" localSheetId="0">'[1]Comparison Tool'!$C$17</definedName>
    <definedName name="GE_1">Comparison!$C$19</definedName>
    <definedName name="GE_2" localSheetId="0">'[1]Comparison Tool'!$D$17</definedName>
    <definedName name="GE_2">Comparison!$D$19</definedName>
    <definedName name="GE_3" localSheetId="0">'[1]Comparison Tool'!$E$17</definedName>
    <definedName name="GE_3">Comparison!$E$19</definedName>
    <definedName name="GE_4" localSheetId="0">'[1]Comparison Tool'!$F$17</definedName>
    <definedName name="GE_4">Comparison!$F$19</definedName>
    <definedName name="GE_5" localSheetId="0">'[1]Comparison Tool'!$G$17</definedName>
    <definedName name="GE_5">Comparison!$G$19</definedName>
    <definedName name="GED_1" localSheetId="0">'[1]Comparison Tool'!$C$18</definedName>
    <definedName name="GED_1">Comparison!$C$20</definedName>
    <definedName name="GED_2" localSheetId="0">'[1]Comparison Tool'!$D$18</definedName>
    <definedName name="GED_2">Comparison!$D$20</definedName>
    <definedName name="GED_3" localSheetId="0">'[1]Comparison Tool'!$E$18</definedName>
    <definedName name="GED_3">Comparison!$E$20</definedName>
    <definedName name="GED_4" localSheetId="0">'[1]Comparison Tool'!$F$18</definedName>
    <definedName name="GED_4">Comparison!$F$20</definedName>
    <definedName name="GED_5" localSheetId="0">'[1]Comparison Tool'!$G$18</definedName>
    <definedName name="GED_5">Comparison!$G$20</definedName>
    <definedName name="ibias1" localSheetId="0">'[1]Comparison Tool'!$C$27</definedName>
    <definedName name="ibias1">Comparison!$C$29</definedName>
    <definedName name="ibias2" localSheetId="0">'[1]Comparison Tool'!$D$27</definedName>
    <definedName name="ibias2">Comparison!$D$29</definedName>
    <definedName name="ibias3" localSheetId="0">'[1]Comparison Tool'!$E$27</definedName>
    <definedName name="ibias3">Comparison!$E$29</definedName>
    <definedName name="ibias4" localSheetId="0">'[1]Comparison Tool'!$F$27</definedName>
    <definedName name="ibias4">Comparison!$F$29</definedName>
    <definedName name="ibias5" localSheetId="0">'[1]Comparison Tool'!$G$27</definedName>
    <definedName name="ibias5">Comparison!$G$29</definedName>
    <definedName name="maxcurrent" localSheetId="0">'[1]Comparison Tool'!$P$7</definedName>
    <definedName name="maxcurrent">Comparison!$J$14</definedName>
    <definedName name="mincurrent" localSheetId="0">'[1]Comparison Tool'!$P$9</definedName>
    <definedName name="mincurrent">Comparison!$J$16</definedName>
    <definedName name="nomcurrent" localSheetId="0">'[1]Comparison Tool'!$P$8</definedName>
    <definedName name="nomcurrent">Comparison!$J$15</definedName>
    <definedName name="Part_Number">'TI Parametric Selection '!$B:$B</definedName>
    <definedName name="PartType">Comparison!$CQ$36:$CQ$37</definedName>
    <definedName name="PSRR_1" localSheetId="0">'[1]Comparison Tool'!$C$24</definedName>
    <definedName name="PSRR_1">Comparison!$C$26</definedName>
    <definedName name="PSRR_2" localSheetId="0">'[1]Comparison Tool'!$D$24</definedName>
    <definedName name="PSRR_2">Comparison!$D$26</definedName>
    <definedName name="PSRR_3" localSheetId="0">'[1]Comparison Tool'!$E$24</definedName>
    <definedName name="PSRR_3">Comparison!$E$26</definedName>
    <definedName name="PSRR_4" localSheetId="0">'[1]Comparison Tool'!$F$24</definedName>
    <definedName name="PSRR_4">Comparison!$F$26</definedName>
    <definedName name="PSRR_5" localSheetId="0">'[1]Comparison Tool'!$G$24</definedName>
    <definedName name="PSRR_5">Comparison!$G$26</definedName>
    <definedName name="resdrift" localSheetId="0">'[1]Comparison Tool'!$M$9</definedName>
    <definedName name="resdrift">Comparison!$J$21</definedName>
    <definedName name="restol">Comparison!$J$20</definedName>
    <definedName name="RTC" localSheetId="0">'[1]Comparison Tool'!$J$9</definedName>
    <definedName name="RTC">Comparison!$J$11</definedName>
    <definedName name="TI">'TI Parametric Selection '!$B$4:$B$247</definedName>
    <definedName name="Vcm" localSheetId="0">'[1]Comparison Tool'!$J$8</definedName>
    <definedName name="Vcm">Comparison!$J$10</definedName>
    <definedName name="Vcm_spec1">Comparison!$U$8</definedName>
    <definedName name="VOS_1" localSheetId="0">'[1]Comparison Tool'!$C$20</definedName>
    <definedName name="VOS_1">Comparison!$C$22</definedName>
    <definedName name="VOS_2" localSheetId="0">'[1]Comparison Tool'!$D$20</definedName>
    <definedName name="VOS_2">Comparison!$D$22</definedName>
    <definedName name="VOS_3" localSheetId="0">'[1]Comparison Tool'!$E$20</definedName>
    <definedName name="VOS_3">Comparison!$E$22</definedName>
    <definedName name="VOS_4" localSheetId="0">'[1]Comparison Tool'!$F$20</definedName>
    <definedName name="VOS_4">Comparison!$F$22</definedName>
    <definedName name="VOS_5" localSheetId="0">'[1]Comparison Tool'!$G$20</definedName>
    <definedName name="VOS_5">Comparison!$G$22</definedName>
    <definedName name="VOSD1" localSheetId="0">'[1]Comparison Tool'!$C$21</definedName>
    <definedName name="VOSD1">Comparison!$C$23</definedName>
    <definedName name="VOSD2" localSheetId="0">'[1]Comparison Tool'!$D$21</definedName>
    <definedName name="VOSD2">Comparison!$D$23</definedName>
    <definedName name="VOSD3" localSheetId="0">'[1]Comparison Tool'!$E$21</definedName>
    <definedName name="VOSD3">Comparison!$E$23</definedName>
    <definedName name="VOSD4" localSheetId="0">'[1]Comparison Tool'!$F$21</definedName>
    <definedName name="VOSD4">Comparison!$F$23</definedName>
    <definedName name="VOSD5" localSheetId="0">'[1]Comparison Tool'!$G$21</definedName>
    <definedName name="VOSD5">Comparison!$G$23</definedName>
    <definedName name="Vs_spec1">Comparison!$T$8</definedName>
    <definedName name="Vsupply" localSheetId="0">'[1]Comparison Tool'!$J$7</definedName>
    <definedName name="Vsupply">Comparison!$J$9</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R66" i="39" l="1"/>
  <c r="CR67" i="39"/>
  <c r="CR68" i="39"/>
  <c r="CR69" i="39"/>
  <c r="CR70" i="39"/>
  <c r="CR71" i="39"/>
  <c r="CR72" i="39"/>
  <c r="CR73" i="39"/>
  <c r="CR74" i="39"/>
  <c r="CR75" i="39"/>
  <c r="CR76" i="39"/>
  <c r="CR77" i="39"/>
  <c r="CR78" i="39"/>
  <c r="CR79" i="39"/>
  <c r="CR80" i="39"/>
  <c r="CR81" i="39"/>
  <c r="CR82" i="39"/>
  <c r="CR83" i="39"/>
  <c r="CR84" i="39"/>
  <c r="CC8" i="39" l="1"/>
  <c r="CB8" i="39"/>
  <c r="BN8" i="39"/>
  <c r="BM8" i="39"/>
  <c r="AY8" i="39"/>
  <c r="AX8" i="39"/>
  <c r="AJ8" i="39"/>
  <c r="AI8" i="39"/>
  <c r="U8" i="39"/>
  <c r="T8" i="39"/>
  <c r="K256" i="1" l="1"/>
  <c r="K255" i="1"/>
  <c r="K254" i="1"/>
  <c r="K253" i="1"/>
  <c r="K252" i="1"/>
  <c r="CT43" i="39" l="1"/>
  <c r="CS43" i="39"/>
  <c r="CR43" i="39"/>
  <c r="CQ43" i="39"/>
  <c r="CP43" i="39"/>
  <c r="CQ29" i="39"/>
  <c r="CR29" i="39"/>
  <c r="CR31" i="39" s="1"/>
  <c r="CS29" i="39"/>
  <c r="CS31" i="39" s="1"/>
  <c r="CT29" i="39"/>
  <c r="CT31" i="39" s="1"/>
  <c r="CQ30" i="39"/>
  <c r="CR30" i="39"/>
  <c r="CR32" i="39" s="1"/>
  <c r="CS30" i="39"/>
  <c r="CS32" i="39" s="1"/>
  <c r="CT30" i="39"/>
  <c r="CT32" i="39" s="1"/>
  <c r="CP30" i="39"/>
  <c r="CP29" i="39"/>
  <c r="CT26" i="39"/>
  <c r="CT28" i="39" s="1"/>
  <c r="CT25" i="39"/>
  <c r="CT27" i="39" s="1"/>
  <c r="CS26" i="39"/>
  <c r="CS28" i="39" s="1"/>
  <c r="CS25" i="39"/>
  <c r="CS27" i="39" s="1"/>
  <c r="CR26" i="39"/>
  <c r="CR28" i="39" s="1"/>
  <c r="CR25" i="39"/>
  <c r="CR27" i="39" s="1"/>
  <c r="CQ26" i="39"/>
  <c r="CQ25" i="39"/>
  <c r="CP26" i="39"/>
  <c r="CP25" i="39"/>
  <c r="G53" i="39"/>
  <c r="F53" i="39"/>
  <c r="E53" i="39"/>
  <c r="D53" i="39"/>
  <c r="G52" i="39"/>
  <c r="F52" i="39"/>
  <c r="E52" i="39"/>
  <c r="D52" i="39"/>
  <c r="G51" i="39"/>
  <c r="F51" i="39"/>
  <c r="E51" i="39"/>
  <c r="D51" i="39"/>
  <c r="G50" i="39"/>
  <c r="F50" i="39"/>
  <c r="E50" i="39"/>
  <c r="D50" i="39"/>
  <c r="G49" i="39"/>
  <c r="F49" i="39"/>
  <c r="E49" i="39"/>
  <c r="D49" i="39"/>
  <c r="G48" i="39"/>
  <c r="F48" i="39"/>
  <c r="E48" i="39"/>
  <c r="D48" i="39"/>
  <c r="G47" i="39"/>
  <c r="F47" i="39"/>
  <c r="E47" i="39"/>
  <c r="D47" i="39"/>
  <c r="G45" i="39"/>
  <c r="CT44" i="39" s="1"/>
  <c r="F45" i="39"/>
  <c r="CS44" i="39" s="1"/>
  <c r="E45" i="39"/>
  <c r="CR44" i="39" s="1"/>
  <c r="D45" i="39"/>
  <c r="CQ44" i="39" s="1"/>
  <c r="G44" i="39"/>
  <c r="F44" i="39"/>
  <c r="E44" i="39"/>
  <c r="D44" i="39"/>
  <c r="G43" i="39"/>
  <c r="F43" i="39"/>
  <c r="E43" i="39"/>
  <c r="D43" i="39"/>
  <c r="G41" i="39"/>
  <c r="F41" i="39"/>
  <c r="E41" i="39"/>
  <c r="D41" i="39"/>
  <c r="G40" i="39"/>
  <c r="F40" i="39"/>
  <c r="E40" i="39"/>
  <c r="D40" i="39"/>
  <c r="G39" i="39"/>
  <c r="F39" i="39"/>
  <c r="E39" i="39"/>
  <c r="D39" i="39"/>
  <c r="G30" i="39"/>
  <c r="F30" i="39"/>
  <c r="E30" i="39"/>
  <c r="D30" i="39"/>
  <c r="G29" i="39"/>
  <c r="F29" i="39"/>
  <c r="E29" i="39"/>
  <c r="D29" i="39"/>
  <c r="G28" i="39"/>
  <c r="F28" i="39"/>
  <c r="E28" i="39"/>
  <c r="D28" i="39"/>
  <c r="G27" i="39"/>
  <c r="F27" i="39"/>
  <c r="E27" i="39"/>
  <c r="D27" i="39"/>
  <c r="G26" i="39"/>
  <c r="F26" i="39"/>
  <c r="E26" i="39"/>
  <c r="D26" i="39"/>
  <c r="G25" i="39"/>
  <c r="F25" i="39"/>
  <c r="E25" i="39"/>
  <c r="D25" i="39"/>
  <c r="G23" i="39"/>
  <c r="F23" i="39"/>
  <c r="E23" i="39"/>
  <c r="D23" i="39"/>
  <c r="G22" i="39"/>
  <c r="F22" i="39"/>
  <c r="E22" i="39"/>
  <c r="D22" i="39"/>
  <c r="G20" i="39"/>
  <c r="F20" i="39"/>
  <c r="E20" i="39"/>
  <c r="D20" i="39"/>
  <c r="G19" i="39"/>
  <c r="F19" i="39"/>
  <c r="E19" i="39"/>
  <c r="D19" i="39"/>
  <c r="G18" i="39"/>
  <c r="F18" i="39"/>
  <c r="E18" i="39"/>
  <c r="D18" i="39"/>
  <c r="G17" i="39"/>
  <c r="F17" i="39"/>
  <c r="E17" i="39"/>
  <c r="D17" i="39"/>
  <c r="G16" i="39"/>
  <c r="F16" i="39"/>
  <c r="E16" i="39"/>
  <c r="D16" i="39"/>
  <c r="C53" i="39"/>
  <c r="C52" i="39"/>
  <c r="C51" i="39"/>
  <c r="C50" i="39"/>
  <c r="C49" i="39"/>
  <c r="C48" i="39"/>
  <c r="C47" i="39"/>
  <c r="C45" i="39"/>
  <c r="CP44" i="39" s="1"/>
  <c r="C44" i="39"/>
  <c r="C43" i="39"/>
  <c r="C41" i="39"/>
  <c r="C40" i="39"/>
  <c r="C39" i="39"/>
  <c r="C30" i="39"/>
  <c r="C29" i="39"/>
  <c r="C27" i="39"/>
  <c r="C17" i="39"/>
  <c r="C28" i="39"/>
  <c r="C26" i="39"/>
  <c r="C25" i="39"/>
  <c r="C23" i="39"/>
  <c r="C22" i="39"/>
  <c r="C20" i="39"/>
  <c r="C19" i="39"/>
  <c r="C18" i="39"/>
  <c r="C16" i="39"/>
  <c r="C1" i="1"/>
  <c r="D1" i="1" s="1"/>
  <c r="E1" i="1" s="1"/>
  <c r="F1" i="1" s="1"/>
  <c r="G1" i="1" s="1"/>
  <c r="H1" i="1" s="1"/>
  <c r="I1" i="1" s="1"/>
  <c r="J1" i="1" s="1"/>
  <c r="K1" i="1" s="1"/>
  <c r="L1" i="1" s="1"/>
  <c r="M1" i="1" s="1"/>
  <c r="N1" i="1" s="1"/>
  <c r="O1" i="1" s="1"/>
  <c r="P1" i="1" s="1"/>
  <c r="Q1" i="1" s="1"/>
  <c r="R1" i="1" s="1"/>
  <c r="S1" i="1" s="1"/>
  <c r="T1" i="1" s="1"/>
  <c r="U1" i="1" s="1"/>
  <c r="V1" i="1" s="1"/>
  <c r="W1" i="1" s="1"/>
  <c r="X1" i="1" s="1"/>
  <c r="Y1" i="1" s="1"/>
  <c r="Z1" i="1" s="1"/>
  <c r="AA1" i="1" s="1"/>
  <c r="AB1" i="1" s="1"/>
  <c r="AC1" i="1" s="1"/>
  <c r="AD1" i="1" s="1"/>
  <c r="AE1" i="1" s="1"/>
  <c r="AF1" i="1" s="1"/>
  <c r="AG1" i="1" s="1"/>
  <c r="AH1" i="1" s="1"/>
  <c r="G21" i="39" l="1"/>
  <c r="G24" i="39"/>
  <c r="E21" i="39"/>
  <c r="E24" i="39"/>
  <c r="F21" i="39"/>
  <c r="F24" i="39"/>
  <c r="D21" i="39"/>
  <c r="D24" i="39"/>
  <c r="G32" i="39"/>
  <c r="BY12" i="39" l="1"/>
  <c r="BY13" i="39"/>
  <c r="BY21" i="39"/>
  <c r="BY22" i="39"/>
  <c r="BY15" i="39"/>
  <c r="BY23" i="39"/>
  <c r="BY24" i="39"/>
  <c r="BY11" i="39"/>
  <c r="BY16" i="39"/>
  <c r="BY17" i="39"/>
  <c r="BY25" i="39"/>
  <c r="BY18" i="39"/>
  <c r="BY26" i="39"/>
  <c r="BY19" i="39"/>
  <c r="BY27" i="39"/>
  <c r="BY20" i="39"/>
  <c r="BY28" i="39"/>
  <c r="BY14" i="39"/>
  <c r="G33" i="39"/>
  <c r="G34" i="39" s="1"/>
  <c r="B24" i="39"/>
  <c r="B21" i="39"/>
  <c r="CE183" i="39"/>
  <c r="CL183" i="39" s="1"/>
  <c r="BP183" i="39"/>
  <c r="BW183" i="39" s="1"/>
  <c r="BA183" i="39"/>
  <c r="BH183" i="39" s="1"/>
  <c r="AL183" i="39"/>
  <c r="AS183" i="39" s="1"/>
  <c r="W183" i="39"/>
  <c r="AD183" i="39" s="1"/>
  <c r="CE182" i="39"/>
  <c r="CL182" i="39" s="1"/>
  <c r="BP182" i="39"/>
  <c r="BW182" i="39" s="1"/>
  <c r="BA182" i="39"/>
  <c r="BH182" i="39" s="1"/>
  <c r="AL182" i="39"/>
  <c r="AS182" i="39" s="1"/>
  <c r="W182" i="39"/>
  <c r="AD182" i="39" s="1"/>
  <c r="CE181" i="39"/>
  <c r="CL181" i="39" s="1"/>
  <c r="BP181" i="39"/>
  <c r="BW181" i="39" s="1"/>
  <c r="BA181" i="39"/>
  <c r="BH181" i="39" s="1"/>
  <c r="AL181" i="39"/>
  <c r="AS181" i="39" s="1"/>
  <c r="W181" i="39"/>
  <c r="AD181" i="39" s="1"/>
  <c r="CE180" i="39"/>
  <c r="CL180" i="39" s="1"/>
  <c r="BP180" i="39"/>
  <c r="BW180" i="39" s="1"/>
  <c r="BA180" i="39"/>
  <c r="BH180" i="39" s="1"/>
  <c r="AL180" i="39"/>
  <c r="AS180" i="39" s="1"/>
  <c r="W180" i="39"/>
  <c r="AD180" i="39" s="1"/>
  <c r="CE179" i="39"/>
  <c r="CL179" i="39" s="1"/>
  <c r="BP179" i="39"/>
  <c r="BW179" i="39" s="1"/>
  <c r="BA179" i="39"/>
  <c r="BH179" i="39" s="1"/>
  <c r="AL179" i="39"/>
  <c r="AS179" i="39" s="1"/>
  <c r="W179" i="39"/>
  <c r="AD179" i="39" s="1"/>
  <c r="CE178" i="39"/>
  <c r="CL178" i="39" s="1"/>
  <c r="BP178" i="39"/>
  <c r="BW178" i="39" s="1"/>
  <c r="BA178" i="39"/>
  <c r="BH178" i="39" s="1"/>
  <c r="AL178" i="39"/>
  <c r="AS178" i="39" s="1"/>
  <c r="W178" i="39"/>
  <c r="AD178" i="39" s="1"/>
  <c r="CE177" i="39"/>
  <c r="CL177" i="39" s="1"/>
  <c r="BP177" i="39"/>
  <c r="BW177" i="39" s="1"/>
  <c r="BA177" i="39"/>
  <c r="BH177" i="39" s="1"/>
  <c r="AL177" i="39"/>
  <c r="AS177" i="39" s="1"/>
  <c r="W177" i="39"/>
  <c r="AD177" i="39" s="1"/>
  <c r="CE176" i="39"/>
  <c r="CL176" i="39" s="1"/>
  <c r="BP176" i="39"/>
  <c r="BW176" i="39" s="1"/>
  <c r="BA176" i="39"/>
  <c r="BH176" i="39" s="1"/>
  <c r="AL176" i="39"/>
  <c r="AS176" i="39" s="1"/>
  <c r="W176" i="39"/>
  <c r="AD176" i="39" s="1"/>
  <c r="CE175" i="39"/>
  <c r="CL175" i="39" s="1"/>
  <c r="BP175" i="39"/>
  <c r="BW175" i="39" s="1"/>
  <c r="BA175" i="39"/>
  <c r="BH175" i="39" s="1"/>
  <c r="AL175" i="39"/>
  <c r="AS175" i="39" s="1"/>
  <c r="W175" i="39"/>
  <c r="AD175" i="39" s="1"/>
  <c r="CE174" i="39"/>
  <c r="CL174" i="39" s="1"/>
  <c r="BP174" i="39"/>
  <c r="BW174" i="39" s="1"/>
  <c r="BA174" i="39"/>
  <c r="BH174" i="39" s="1"/>
  <c r="AL174" i="39"/>
  <c r="AS174" i="39" s="1"/>
  <c r="W174" i="39"/>
  <c r="AD174" i="39" s="1"/>
  <c r="CE173" i="39"/>
  <c r="CL173" i="39" s="1"/>
  <c r="BP173" i="39"/>
  <c r="BW173" i="39" s="1"/>
  <c r="BA173" i="39"/>
  <c r="BH173" i="39" s="1"/>
  <c r="AL173" i="39"/>
  <c r="AS173" i="39" s="1"/>
  <c r="W173" i="39"/>
  <c r="AD173" i="39" s="1"/>
  <c r="CE172" i="39"/>
  <c r="CL172" i="39" s="1"/>
  <c r="BP172" i="39"/>
  <c r="BW172" i="39" s="1"/>
  <c r="BA172" i="39"/>
  <c r="BH172" i="39" s="1"/>
  <c r="AL172" i="39"/>
  <c r="AS172" i="39" s="1"/>
  <c r="W172" i="39"/>
  <c r="AD172" i="39" s="1"/>
  <c r="CE171" i="39"/>
  <c r="CL171" i="39" s="1"/>
  <c r="BP171" i="39"/>
  <c r="BW171" i="39" s="1"/>
  <c r="BA171" i="39"/>
  <c r="BH171" i="39" s="1"/>
  <c r="AL171" i="39"/>
  <c r="AS171" i="39" s="1"/>
  <c r="W171" i="39"/>
  <c r="AD171" i="39" s="1"/>
  <c r="CE170" i="39"/>
  <c r="CL170" i="39" s="1"/>
  <c r="BP170" i="39"/>
  <c r="BW170" i="39" s="1"/>
  <c r="BA170" i="39"/>
  <c r="BH170" i="39" s="1"/>
  <c r="AL170" i="39"/>
  <c r="AS170" i="39" s="1"/>
  <c r="W170" i="39"/>
  <c r="AD170" i="39" s="1"/>
  <c r="CE169" i="39"/>
  <c r="CL169" i="39" s="1"/>
  <c r="BP169" i="39"/>
  <c r="BW169" i="39" s="1"/>
  <c r="BA169" i="39"/>
  <c r="BH169" i="39" s="1"/>
  <c r="AL169" i="39"/>
  <c r="AS169" i="39" s="1"/>
  <c r="W169" i="39"/>
  <c r="AD169" i="39" s="1"/>
  <c r="CE168" i="39"/>
  <c r="CL168" i="39" s="1"/>
  <c r="BP168" i="39"/>
  <c r="BW168" i="39" s="1"/>
  <c r="BA168" i="39"/>
  <c r="BH168" i="39" s="1"/>
  <c r="AL168" i="39"/>
  <c r="AS168" i="39" s="1"/>
  <c r="W168" i="39"/>
  <c r="AD168" i="39" s="1"/>
  <c r="CE167" i="39"/>
  <c r="CL167" i="39" s="1"/>
  <c r="BP167" i="39"/>
  <c r="BW167" i="39" s="1"/>
  <c r="BA167" i="39"/>
  <c r="BH167" i="39" s="1"/>
  <c r="AL167" i="39"/>
  <c r="AS167" i="39" s="1"/>
  <c r="W167" i="39"/>
  <c r="AD167" i="39" s="1"/>
  <c r="CE166" i="39"/>
  <c r="CL166" i="39" s="1"/>
  <c r="BP166" i="39"/>
  <c r="BW166" i="39" s="1"/>
  <c r="BA166" i="39"/>
  <c r="BH166" i="39" s="1"/>
  <c r="AL166" i="39"/>
  <c r="AS166" i="39" s="1"/>
  <c r="W166" i="39"/>
  <c r="AD166" i="39" s="1"/>
  <c r="CE165" i="39"/>
  <c r="CL165" i="39" s="1"/>
  <c r="BP165" i="39"/>
  <c r="BW165" i="39" s="1"/>
  <c r="BA165" i="39"/>
  <c r="BH165" i="39" s="1"/>
  <c r="AL165" i="39"/>
  <c r="AS165" i="39" s="1"/>
  <c r="W165" i="39"/>
  <c r="AD165" i="39" s="1"/>
  <c r="CE164" i="39"/>
  <c r="CL164" i="39" s="1"/>
  <c r="BP164" i="39"/>
  <c r="BW164" i="39" s="1"/>
  <c r="BA164" i="39"/>
  <c r="BH164" i="39" s="1"/>
  <c r="AL164" i="39"/>
  <c r="AS164" i="39" s="1"/>
  <c r="W164" i="39"/>
  <c r="AD164" i="39" s="1"/>
  <c r="CE163" i="39"/>
  <c r="CL163" i="39" s="1"/>
  <c r="BP163" i="39"/>
  <c r="BW163" i="39" s="1"/>
  <c r="BA163" i="39"/>
  <c r="BH163" i="39" s="1"/>
  <c r="AL163" i="39"/>
  <c r="AS163" i="39" s="1"/>
  <c r="W163" i="39"/>
  <c r="AD163" i="39" s="1"/>
  <c r="CE162" i="39"/>
  <c r="CL162" i="39" s="1"/>
  <c r="BP162" i="39"/>
  <c r="BW162" i="39" s="1"/>
  <c r="BA162" i="39"/>
  <c r="BH162" i="39" s="1"/>
  <c r="AL162" i="39"/>
  <c r="AS162" i="39" s="1"/>
  <c r="W162" i="39"/>
  <c r="AD162" i="39" s="1"/>
  <c r="CE161" i="39"/>
  <c r="CL161" i="39" s="1"/>
  <c r="BP161" i="39"/>
  <c r="BW161" i="39" s="1"/>
  <c r="BA161" i="39"/>
  <c r="BH161" i="39" s="1"/>
  <c r="AL161" i="39"/>
  <c r="AS161" i="39" s="1"/>
  <c r="W161" i="39"/>
  <c r="AD161" i="39" s="1"/>
  <c r="CE160" i="39"/>
  <c r="CL160" i="39" s="1"/>
  <c r="BP160" i="39"/>
  <c r="BW160" i="39" s="1"/>
  <c r="BA160" i="39"/>
  <c r="BH160" i="39" s="1"/>
  <c r="AL160" i="39"/>
  <c r="AS160" i="39" s="1"/>
  <c r="W160" i="39"/>
  <c r="AD160" i="39" s="1"/>
  <c r="CE159" i="39"/>
  <c r="CL159" i="39" s="1"/>
  <c r="BP159" i="39"/>
  <c r="BW159" i="39" s="1"/>
  <c r="BA159" i="39"/>
  <c r="BH159" i="39" s="1"/>
  <c r="AL159" i="39"/>
  <c r="AS159" i="39" s="1"/>
  <c r="W159" i="39"/>
  <c r="AD159" i="39" s="1"/>
  <c r="CE158" i="39"/>
  <c r="CL158" i="39" s="1"/>
  <c r="BP158" i="39"/>
  <c r="BW158" i="39" s="1"/>
  <c r="BA158" i="39"/>
  <c r="BH158" i="39" s="1"/>
  <c r="AL158" i="39"/>
  <c r="AS158" i="39" s="1"/>
  <c r="W158" i="39"/>
  <c r="AD158" i="39" s="1"/>
  <c r="CE157" i="39"/>
  <c r="CL157" i="39" s="1"/>
  <c r="BP157" i="39"/>
  <c r="BW157" i="39" s="1"/>
  <c r="BA157" i="39"/>
  <c r="BH157" i="39" s="1"/>
  <c r="AL157" i="39"/>
  <c r="AS157" i="39" s="1"/>
  <c r="W157" i="39"/>
  <c r="AD157" i="39" s="1"/>
  <c r="CE156" i="39"/>
  <c r="CL156" i="39" s="1"/>
  <c r="BP156" i="39"/>
  <c r="BW156" i="39" s="1"/>
  <c r="BA156" i="39"/>
  <c r="BH156" i="39" s="1"/>
  <c r="AL156" i="39"/>
  <c r="AS156" i="39" s="1"/>
  <c r="W156" i="39"/>
  <c r="AD156" i="39" s="1"/>
  <c r="CE155" i="39"/>
  <c r="CL155" i="39" s="1"/>
  <c r="BP155" i="39"/>
  <c r="BW155" i="39" s="1"/>
  <c r="BA155" i="39"/>
  <c r="BH155" i="39" s="1"/>
  <c r="AL155" i="39"/>
  <c r="AS155" i="39" s="1"/>
  <c r="W155" i="39"/>
  <c r="AD155" i="39" s="1"/>
  <c r="CE154" i="39"/>
  <c r="CL154" i="39" s="1"/>
  <c r="BP154" i="39"/>
  <c r="BW154" i="39" s="1"/>
  <c r="BA154" i="39"/>
  <c r="BH154" i="39" s="1"/>
  <c r="AL154" i="39"/>
  <c r="AS154" i="39" s="1"/>
  <c r="W154" i="39"/>
  <c r="AD154" i="39" s="1"/>
  <c r="CE153" i="39"/>
  <c r="CL153" i="39" s="1"/>
  <c r="BP153" i="39"/>
  <c r="BW153" i="39" s="1"/>
  <c r="BA153" i="39"/>
  <c r="BH153" i="39" s="1"/>
  <c r="AL153" i="39"/>
  <c r="AS153" i="39" s="1"/>
  <c r="W153" i="39"/>
  <c r="AD153" i="39" s="1"/>
  <c r="CE152" i="39"/>
  <c r="CL152" i="39" s="1"/>
  <c r="BP152" i="39"/>
  <c r="BW152" i="39" s="1"/>
  <c r="BA152" i="39"/>
  <c r="BH152" i="39" s="1"/>
  <c r="AL152" i="39"/>
  <c r="AS152" i="39" s="1"/>
  <c r="W152" i="39"/>
  <c r="AD152" i="39" s="1"/>
  <c r="CE151" i="39"/>
  <c r="CL151" i="39" s="1"/>
  <c r="BP151" i="39"/>
  <c r="BW151" i="39" s="1"/>
  <c r="BA151" i="39"/>
  <c r="BH151" i="39" s="1"/>
  <c r="AL151" i="39"/>
  <c r="AS151" i="39" s="1"/>
  <c r="W151" i="39"/>
  <c r="AD151" i="39" s="1"/>
  <c r="CE150" i="39"/>
  <c r="CL150" i="39" s="1"/>
  <c r="BP150" i="39"/>
  <c r="BW150" i="39" s="1"/>
  <c r="BA150" i="39"/>
  <c r="BH150" i="39" s="1"/>
  <c r="AL150" i="39"/>
  <c r="AS150" i="39" s="1"/>
  <c r="W150" i="39"/>
  <c r="AD150" i="39" s="1"/>
  <c r="CE149" i="39"/>
  <c r="CL149" i="39" s="1"/>
  <c r="BP149" i="39"/>
  <c r="BW149" i="39" s="1"/>
  <c r="BA149" i="39"/>
  <c r="BH149" i="39" s="1"/>
  <c r="AL149" i="39"/>
  <c r="AS149" i="39" s="1"/>
  <c r="W149" i="39"/>
  <c r="AD149" i="39" s="1"/>
  <c r="CE148" i="39"/>
  <c r="CL148" i="39" s="1"/>
  <c r="BP148" i="39"/>
  <c r="BW148" i="39" s="1"/>
  <c r="BA148" i="39"/>
  <c r="BH148" i="39" s="1"/>
  <c r="AL148" i="39"/>
  <c r="AS148" i="39" s="1"/>
  <c r="W148" i="39"/>
  <c r="AD148" i="39" s="1"/>
  <c r="CE147" i="39"/>
  <c r="CL147" i="39" s="1"/>
  <c r="BP147" i="39"/>
  <c r="BW147" i="39" s="1"/>
  <c r="BA147" i="39"/>
  <c r="BH147" i="39" s="1"/>
  <c r="AL147" i="39"/>
  <c r="AS147" i="39" s="1"/>
  <c r="W147" i="39"/>
  <c r="AD147" i="39" s="1"/>
  <c r="CE146" i="39"/>
  <c r="CL146" i="39" s="1"/>
  <c r="BP146" i="39"/>
  <c r="BW146" i="39" s="1"/>
  <c r="BA146" i="39"/>
  <c r="BH146" i="39" s="1"/>
  <c r="AL146" i="39"/>
  <c r="AS146" i="39" s="1"/>
  <c r="W146" i="39"/>
  <c r="AD146" i="39" s="1"/>
  <c r="CE145" i="39"/>
  <c r="CL145" i="39" s="1"/>
  <c r="BP145" i="39"/>
  <c r="BW145" i="39" s="1"/>
  <c r="BA145" i="39"/>
  <c r="BH145" i="39" s="1"/>
  <c r="AL145" i="39"/>
  <c r="AS145" i="39" s="1"/>
  <c r="W145" i="39"/>
  <c r="AD145" i="39" s="1"/>
  <c r="CE144" i="39"/>
  <c r="CL144" i="39" s="1"/>
  <c r="BP144" i="39"/>
  <c r="BW144" i="39" s="1"/>
  <c r="BA144" i="39"/>
  <c r="BH144" i="39" s="1"/>
  <c r="AL144" i="39"/>
  <c r="AS144" i="39" s="1"/>
  <c r="W144" i="39"/>
  <c r="AD144" i="39" s="1"/>
  <c r="CE143" i="39"/>
  <c r="CL143" i="39" s="1"/>
  <c r="BP143" i="39"/>
  <c r="BW143" i="39" s="1"/>
  <c r="BA143" i="39"/>
  <c r="BH143" i="39" s="1"/>
  <c r="AL143" i="39"/>
  <c r="AS143" i="39" s="1"/>
  <c r="W143" i="39"/>
  <c r="AD143" i="39" s="1"/>
  <c r="CE142" i="39"/>
  <c r="CL142" i="39" s="1"/>
  <c r="BP142" i="39"/>
  <c r="BW142" i="39" s="1"/>
  <c r="BA142" i="39"/>
  <c r="BH142" i="39" s="1"/>
  <c r="AL142" i="39"/>
  <c r="AS142" i="39" s="1"/>
  <c r="W142" i="39"/>
  <c r="AD142" i="39" s="1"/>
  <c r="CE141" i="39"/>
  <c r="CL141" i="39" s="1"/>
  <c r="BP141" i="39"/>
  <c r="BW141" i="39" s="1"/>
  <c r="BA141" i="39"/>
  <c r="BH141" i="39" s="1"/>
  <c r="AL141" i="39"/>
  <c r="AS141" i="39" s="1"/>
  <c r="W141" i="39"/>
  <c r="AD141" i="39" s="1"/>
  <c r="CE140" i="39"/>
  <c r="CL140" i="39" s="1"/>
  <c r="BP140" i="39"/>
  <c r="BW140" i="39" s="1"/>
  <c r="BA140" i="39"/>
  <c r="BH140" i="39" s="1"/>
  <c r="AL140" i="39"/>
  <c r="AS140" i="39" s="1"/>
  <c r="W140" i="39"/>
  <c r="AD140" i="39" s="1"/>
  <c r="CE139" i="39"/>
  <c r="CL139" i="39" s="1"/>
  <c r="BP139" i="39"/>
  <c r="BW139" i="39" s="1"/>
  <c r="BA139" i="39"/>
  <c r="BH139" i="39" s="1"/>
  <c r="AL139" i="39"/>
  <c r="AS139" i="39" s="1"/>
  <c r="W139" i="39"/>
  <c r="AD139" i="39" s="1"/>
  <c r="CE138" i="39"/>
  <c r="CL138" i="39" s="1"/>
  <c r="BP138" i="39"/>
  <c r="BW138" i="39" s="1"/>
  <c r="BA138" i="39"/>
  <c r="BH138" i="39" s="1"/>
  <c r="AL138" i="39"/>
  <c r="AS138" i="39" s="1"/>
  <c r="W138" i="39"/>
  <c r="AD138" i="39" s="1"/>
  <c r="CE137" i="39"/>
  <c r="CL137" i="39" s="1"/>
  <c r="BP137" i="39"/>
  <c r="BW137" i="39" s="1"/>
  <c r="BA137" i="39"/>
  <c r="BH137" i="39" s="1"/>
  <c r="AL137" i="39"/>
  <c r="AS137" i="39" s="1"/>
  <c r="W137" i="39"/>
  <c r="AD137" i="39" s="1"/>
  <c r="CE136" i="39"/>
  <c r="CL136" i="39" s="1"/>
  <c r="BP136" i="39"/>
  <c r="BW136" i="39" s="1"/>
  <c r="BA136" i="39"/>
  <c r="BH136" i="39" s="1"/>
  <c r="AL136" i="39"/>
  <c r="AS136" i="39" s="1"/>
  <c r="W136" i="39"/>
  <c r="AD136" i="39" s="1"/>
  <c r="CE135" i="39"/>
  <c r="CL135" i="39" s="1"/>
  <c r="BP135" i="39"/>
  <c r="BW135" i="39" s="1"/>
  <c r="BA135" i="39"/>
  <c r="BH135" i="39" s="1"/>
  <c r="AL135" i="39"/>
  <c r="AS135" i="39" s="1"/>
  <c r="W135" i="39"/>
  <c r="AD135" i="39" s="1"/>
  <c r="CE134" i="39"/>
  <c r="CL134" i="39" s="1"/>
  <c r="BP134" i="39"/>
  <c r="BW134" i="39" s="1"/>
  <c r="BA134" i="39"/>
  <c r="BH134" i="39" s="1"/>
  <c r="AL134" i="39"/>
  <c r="AS134" i="39" s="1"/>
  <c r="W134" i="39"/>
  <c r="AD134" i="39" s="1"/>
  <c r="CE133" i="39"/>
  <c r="CL133" i="39" s="1"/>
  <c r="BP133" i="39"/>
  <c r="BW133" i="39" s="1"/>
  <c r="BA133" i="39"/>
  <c r="BH133" i="39" s="1"/>
  <c r="AL133" i="39"/>
  <c r="AS133" i="39" s="1"/>
  <c r="W133" i="39"/>
  <c r="AD133" i="39" s="1"/>
  <c r="CE132" i="39"/>
  <c r="CL132" i="39" s="1"/>
  <c r="BP132" i="39"/>
  <c r="BW132" i="39" s="1"/>
  <c r="BA132" i="39"/>
  <c r="BH132" i="39" s="1"/>
  <c r="AL132" i="39"/>
  <c r="AS132" i="39" s="1"/>
  <c r="W132" i="39"/>
  <c r="AD132" i="39" s="1"/>
  <c r="CE131" i="39"/>
  <c r="CL131" i="39" s="1"/>
  <c r="BP131" i="39"/>
  <c r="BW131" i="39" s="1"/>
  <c r="BA131" i="39"/>
  <c r="BH131" i="39" s="1"/>
  <c r="AL131" i="39"/>
  <c r="AS131" i="39" s="1"/>
  <c r="W131" i="39"/>
  <c r="AD131" i="39" s="1"/>
  <c r="CE130" i="39"/>
  <c r="CL130" i="39" s="1"/>
  <c r="BP130" i="39"/>
  <c r="BW130" i="39" s="1"/>
  <c r="BA130" i="39"/>
  <c r="BH130" i="39" s="1"/>
  <c r="AL130" i="39"/>
  <c r="AS130" i="39" s="1"/>
  <c r="W130" i="39"/>
  <c r="AD130" i="39" s="1"/>
  <c r="CE129" i="39"/>
  <c r="CL129" i="39" s="1"/>
  <c r="BP129" i="39"/>
  <c r="BW129" i="39" s="1"/>
  <c r="BA129" i="39"/>
  <c r="BH129" i="39" s="1"/>
  <c r="AL129" i="39"/>
  <c r="AS129" i="39" s="1"/>
  <c r="W129" i="39"/>
  <c r="AD129" i="39" s="1"/>
  <c r="CE128" i="39"/>
  <c r="CL128" i="39" s="1"/>
  <c r="BP128" i="39"/>
  <c r="BW128" i="39" s="1"/>
  <c r="BA128" i="39"/>
  <c r="BH128" i="39" s="1"/>
  <c r="AL128" i="39"/>
  <c r="AS128" i="39" s="1"/>
  <c r="W128" i="39"/>
  <c r="AD128" i="39" s="1"/>
  <c r="CE127" i="39"/>
  <c r="CL127" i="39" s="1"/>
  <c r="BP127" i="39"/>
  <c r="BW127" i="39" s="1"/>
  <c r="BA127" i="39"/>
  <c r="BH127" i="39" s="1"/>
  <c r="AL127" i="39"/>
  <c r="AS127" i="39" s="1"/>
  <c r="W127" i="39"/>
  <c r="AD127" i="39" s="1"/>
  <c r="CE126" i="39"/>
  <c r="CL126" i="39" s="1"/>
  <c r="BP126" i="39"/>
  <c r="BW126" i="39" s="1"/>
  <c r="BA126" i="39"/>
  <c r="BH126" i="39" s="1"/>
  <c r="AL126" i="39"/>
  <c r="AS126" i="39" s="1"/>
  <c r="W126" i="39"/>
  <c r="AD126" i="39" s="1"/>
  <c r="CE125" i="39"/>
  <c r="CL125" i="39" s="1"/>
  <c r="BP125" i="39"/>
  <c r="BW125" i="39" s="1"/>
  <c r="BA125" i="39"/>
  <c r="BH125" i="39" s="1"/>
  <c r="AL125" i="39"/>
  <c r="AS125" i="39" s="1"/>
  <c r="W125" i="39"/>
  <c r="AD125" i="39" s="1"/>
  <c r="CE124" i="39"/>
  <c r="CL124" i="39" s="1"/>
  <c r="BP124" i="39"/>
  <c r="BW124" i="39" s="1"/>
  <c r="BA124" i="39"/>
  <c r="BH124" i="39" s="1"/>
  <c r="AL124" i="39"/>
  <c r="AS124" i="39" s="1"/>
  <c r="W124" i="39"/>
  <c r="AD124" i="39" s="1"/>
  <c r="CE123" i="39"/>
  <c r="CL123" i="39" s="1"/>
  <c r="BP123" i="39"/>
  <c r="BW123" i="39" s="1"/>
  <c r="BA123" i="39"/>
  <c r="BH123" i="39" s="1"/>
  <c r="AL123" i="39"/>
  <c r="AS123" i="39" s="1"/>
  <c r="W123" i="39"/>
  <c r="AD123" i="39" s="1"/>
  <c r="CE122" i="39"/>
  <c r="CL122" i="39" s="1"/>
  <c r="BP122" i="39"/>
  <c r="BW122" i="39" s="1"/>
  <c r="BA122" i="39"/>
  <c r="BH122" i="39" s="1"/>
  <c r="AL122" i="39"/>
  <c r="AS122" i="39" s="1"/>
  <c r="W122" i="39"/>
  <c r="AD122" i="39" s="1"/>
  <c r="CE121" i="39"/>
  <c r="CL121" i="39" s="1"/>
  <c r="BP121" i="39"/>
  <c r="BW121" i="39" s="1"/>
  <c r="BA121" i="39"/>
  <c r="BH121" i="39" s="1"/>
  <c r="AL121" i="39"/>
  <c r="AS121" i="39" s="1"/>
  <c r="W121" i="39"/>
  <c r="AD121" i="39" s="1"/>
  <c r="CE120" i="39"/>
  <c r="CL120" i="39" s="1"/>
  <c r="BP120" i="39"/>
  <c r="BW120" i="39" s="1"/>
  <c r="BA120" i="39"/>
  <c r="BH120" i="39" s="1"/>
  <c r="AL120" i="39"/>
  <c r="AS120" i="39" s="1"/>
  <c r="W120" i="39"/>
  <c r="AD120" i="39" s="1"/>
  <c r="CE119" i="39"/>
  <c r="CL119" i="39" s="1"/>
  <c r="BP119" i="39"/>
  <c r="BW119" i="39" s="1"/>
  <c r="BA119" i="39"/>
  <c r="BH119" i="39" s="1"/>
  <c r="AL119" i="39"/>
  <c r="AS119" i="39" s="1"/>
  <c r="W119" i="39"/>
  <c r="AD119" i="39" s="1"/>
  <c r="CE118" i="39"/>
  <c r="CL118" i="39" s="1"/>
  <c r="BP118" i="39"/>
  <c r="BW118" i="39" s="1"/>
  <c r="BA118" i="39"/>
  <c r="BH118" i="39" s="1"/>
  <c r="AL118" i="39"/>
  <c r="AS118" i="39" s="1"/>
  <c r="W118" i="39"/>
  <c r="AD118" i="39" s="1"/>
  <c r="CE117" i="39"/>
  <c r="CL117" i="39" s="1"/>
  <c r="BP117" i="39"/>
  <c r="BW117" i="39" s="1"/>
  <c r="BA117" i="39"/>
  <c r="BH117" i="39" s="1"/>
  <c r="AL117" i="39"/>
  <c r="AS117" i="39" s="1"/>
  <c r="W117" i="39"/>
  <c r="AD117" i="39" s="1"/>
  <c r="CE116" i="39"/>
  <c r="CL116" i="39" s="1"/>
  <c r="BP116" i="39"/>
  <c r="BW116" i="39" s="1"/>
  <c r="BA116" i="39"/>
  <c r="BH116" i="39" s="1"/>
  <c r="AL116" i="39"/>
  <c r="AS116" i="39" s="1"/>
  <c r="W116" i="39"/>
  <c r="AD116" i="39" s="1"/>
  <c r="CE115" i="39"/>
  <c r="CL115" i="39" s="1"/>
  <c r="BP115" i="39"/>
  <c r="BW115" i="39" s="1"/>
  <c r="BA115" i="39"/>
  <c r="BH115" i="39" s="1"/>
  <c r="AL115" i="39"/>
  <c r="AS115" i="39" s="1"/>
  <c r="W115" i="39"/>
  <c r="AD115" i="39" s="1"/>
  <c r="CE114" i="39"/>
  <c r="CL114" i="39" s="1"/>
  <c r="BP114" i="39"/>
  <c r="BW114" i="39" s="1"/>
  <c r="BA114" i="39"/>
  <c r="BH114" i="39" s="1"/>
  <c r="AL114" i="39"/>
  <c r="AS114" i="39" s="1"/>
  <c r="W114" i="39"/>
  <c r="AD114" i="39" s="1"/>
  <c r="CE113" i="39"/>
  <c r="CL113" i="39" s="1"/>
  <c r="BP113" i="39"/>
  <c r="BW113" i="39" s="1"/>
  <c r="BA113" i="39"/>
  <c r="BH113" i="39" s="1"/>
  <c r="AL113" i="39"/>
  <c r="AS113" i="39" s="1"/>
  <c r="W113" i="39"/>
  <c r="AD113" i="39" s="1"/>
  <c r="CE112" i="39"/>
  <c r="CL112" i="39" s="1"/>
  <c r="BP112" i="39"/>
  <c r="BW112" i="39" s="1"/>
  <c r="BA112" i="39"/>
  <c r="BH112" i="39" s="1"/>
  <c r="AL112" i="39"/>
  <c r="AS112" i="39" s="1"/>
  <c r="W112" i="39"/>
  <c r="AD112" i="39" s="1"/>
  <c r="CE111" i="39"/>
  <c r="CL111" i="39" s="1"/>
  <c r="BP111" i="39"/>
  <c r="BW111" i="39" s="1"/>
  <c r="BA111" i="39"/>
  <c r="BH111" i="39" s="1"/>
  <c r="AL111" i="39"/>
  <c r="AS111" i="39" s="1"/>
  <c r="W111" i="39"/>
  <c r="AD111" i="39" s="1"/>
  <c r="CE110" i="39"/>
  <c r="CL110" i="39" s="1"/>
  <c r="BP110" i="39"/>
  <c r="BW110" i="39" s="1"/>
  <c r="BA110" i="39"/>
  <c r="BH110" i="39" s="1"/>
  <c r="AL110" i="39"/>
  <c r="AS110" i="39" s="1"/>
  <c r="W110" i="39"/>
  <c r="AD110" i="39" s="1"/>
  <c r="CE109" i="39"/>
  <c r="CL109" i="39" s="1"/>
  <c r="BP109" i="39"/>
  <c r="BW109" i="39" s="1"/>
  <c r="BA109" i="39"/>
  <c r="BH109" i="39" s="1"/>
  <c r="AL109" i="39"/>
  <c r="AS109" i="39" s="1"/>
  <c r="W109" i="39"/>
  <c r="AD109" i="39" s="1"/>
  <c r="CE108" i="39"/>
  <c r="CL108" i="39" s="1"/>
  <c r="BP108" i="39"/>
  <c r="BW108" i="39" s="1"/>
  <c r="BA108" i="39"/>
  <c r="BH108" i="39" s="1"/>
  <c r="AL108" i="39"/>
  <c r="AS108" i="39" s="1"/>
  <c r="W108" i="39"/>
  <c r="AD108" i="39" s="1"/>
  <c r="CE107" i="39"/>
  <c r="CL107" i="39" s="1"/>
  <c r="BP107" i="39"/>
  <c r="BW107" i="39" s="1"/>
  <c r="BA107" i="39"/>
  <c r="BH107" i="39" s="1"/>
  <c r="AL107" i="39"/>
  <c r="AS107" i="39" s="1"/>
  <c r="W107" i="39"/>
  <c r="AD107" i="39" s="1"/>
  <c r="CE106" i="39"/>
  <c r="CL106" i="39" s="1"/>
  <c r="BP106" i="39"/>
  <c r="BW106" i="39" s="1"/>
  <c r="BA106" i="39"/>
  <c r="BH106" i="39" s="1"/>
  <c r="AL106" i="39"/>
  <c r="AS106" i="39" s="1"/>
  <c r="W106" i="39"/>
  <c r="AD106" i="39" s="1"/>
  <c r="CE105" i="39"/>
  <c r="CL105" i="39" s="1"/>
  <c r="BP105" i="39"/>
  <c r="BW105" i="39" s="1"/>
  <c r="BA105" i="39"/>
  <c r="BH105" i="39" s="1"/>
  <c r="AL105" i="39"/>
  <c r="AS105" i="39" s="1"/>
  <c r="W105" i="39"/>
  <c r="AD105" i="39" s="1"/>
  <c r="CE104" i="39"/>
  <c r="CL104" i="39" s="1"/>
  <c r="BP104" i="39"/>
  <c r="BW104" i="39" s="1"/>
  <c r="BA104" i="39"/>
  <c r="BH104" i="39" s="1"/>
  <c r="AL104" i="39"/>
  <c r="AS104" i="39" s="1"/>
  <c r="W104" i="39"/>
  <c r="AD104" i="39" s="1"/>
  <c r="CE103" i="39"/>
  <c r="CL103" i="39" s="1"/>
  <c r="BP103" i="39"/>
  <c r="BW103" i="39" s="1"/>
  <c r="BA103" i="39"/>
  <c r="BH103" i="39" s="1"/>
  <c r="AL103" i="39"/>
  <c r="AS103" i="39" s="1"/>
  <c r="W103" i="39"/>
  <c r="AD103" i="39" s="1"/>
  <c r="CE102" i="39"/>
  <c r="CL102" i="39" s="1"/>
  <c r="BP102" i="39"/>
  <c r="BW102" i="39" s="1"/>
  <c r="BA102" i="39"/>
  <c r="BH102" i="39" s="1"/>
  <c r="AL102" i="39"/>
  <c r="AS102" i="39" s="1"/>
  <c r="W102" i="39"/>
  <c r="AD102" i="39" s="1"/>
  <c r="CE101" i="39"/>
  <c r="CL101" i="39" s="1"/>
  <c r="BP101" i="39"/>
  <c r="BW101" i="39" s="1"/>
  <c r="BA101" i="39"/>
  <c r="BH101" i="39" s="1"/>
  <c r="AL101" i="39"/>
  <c r="AS101" i="39" s="1"/>
  <c r="W101" i="39"/>
  <c r="AD101" i="39" s="1"/>
  <c r="CE100" i="39"/>
  <c r="CL100" i="39" s="1"/>
  <c r="BP100" i="39"/>
  <c r="BW100" i="39" s="1"/>
  <c r="BA100" i="39"/>
  <c r="BH100" i="39" s="1"/>
  <c r="AL100" i="39"/>
  <c r="AS100" i="39" s="1"/>
  <c r="W100" i="39"/>
  <c r="AD100" i="39" s="1"/>
  <c r="CE99" i="39"/>
  <c r="CL99" i="39" s="1"/>
  <c r="BP99" i="39"/>
  <c r="BW99" i="39" s="1"/>
  <c r="BA99" i="39"/>
  <c r="BH99" i="39" s="1"/>
  <c r="AL99" i="39"/>
  <c r="AS99" i="39" s="1"/>
  <c r="W99" i="39"/>
  <c r="AD99" i="39" s="1"/>
  <c r="CE98" i="39"/>
  <c r="CL98" i="39" s="1"/>
  <c r="BP98" i="39"/>
  <c r="BW98" i="39" s="1"/>
  <c r="BA98" i="39"/>
  <c r="BH98" i="39" s="1"/>
  <c r="AL98" i="39"/>
  <c r="AS98" i="39" s="1"/>
  <c r="W98" i="39"/>
  <c r="AD98" i="39" s="1"/>
  <c r="CE97" i="39"/>
  <c r="CL97" i="39" s="1"/>
  <c r="BP97" i="39"/>
  <c r="BW97" i="39" s="1"/>
  <c r="BA97" i="39"/>
  <c r="BH97" i="39" s="1"/>
  <c r="AL97" i="39"/>
  <c r="AS97" i="39" s="1"/>
  <c r="W97" i="39"/>
  <c r="AD97" i="39" s="1"/>
  <c r="CE96" i="39"/>
  <c r="CL96" i="39" s="1"/>
  <c r="BP96" i="39"/>
  <c r="BW96" i="39" s="1"/>
  <c r="BA96" i="39"/>
  <c r="BH96" i="39" s="1"/>
  <c r="AL96" i="39"/>
  <c r="AS96" i="39" s="1"/>
  <c r="W96" i="39"/>
  <c r="AD96" i="39" s="1"/>
  <c r="CE95" i="39"/>
  <c r="CL95" i="39" s="1"/>
  <c r="BP95" i="39"/>
  <c r="BW95" i="39" s="1"/>
  <c r="BA95" i="39"/>
  <c r="BH95" i="39" s="1"/>
  <c r="AL95" i="39"/>
  <c r="AS95" i="39" s="1"/>
  <c r="W95" i="39"/>
  <c r="AD95" i="39" s="1"/>
  <c r="CE94" i="39"/>
  <c r="CL94" i="39" s="1"/>
  <c r="BP94" i="39"/>
  <c r="BW94" i="39" s="1"/>
  <c r="BA94" i="39"/>
  <c r="BH94" i="39" s="1"/>
  <c r="AL94" i="39"/>
  <c r="AS94" i="39" s="1"/>
  <c r="W94" i="39"/>
  <c r="AD94" i="39" s="1"/>
  <c r="CE93" i="39"/>
  <c r="CL93" i="39" s="1"/>
  <c r="BP93" i="39"/>
  <c r="BW93" i="39" s="1"/>
  <c r="BA93" i="39"/>
  <c r="BH93" i="39" s="1"/>
  <c r="AL93" i="39"/>
  <c r="AS93" i="39" s="1"/>
  <c r="W93" i="39"/>
  <c r="AD93" i="39" s="1"/>
  <c r="CE92" i="39"/>
  <c r="CL92" i="39" s="1"/>
  <c r="BP92" i="39"/>
  <c r="BW92" i="39" s="1"/>
  <c r="BA92" i="39"/>
  <c r="BH92" i="39" s="1"/>
  <c r="AL92" i="39"/>
  <c r="AS92" i="39" s="1"/>
  <c r="W92" i="39"/>
  <c r="AD92" i="39" s="1"/>
  <c r="CE91" i="39"/>
  <c r="CL91" i="39" s="1"/>
  <c r="BP91" i="39"/>
  <c r="BW91" i="39" s="1"/>
  <c r="BA91" i="39"/>
  <c r="BH91" i="39" s="1"/>
  <c r="AL91" i="39"/>
  <c r="AS91" i="39" s="1"/>
  <c r="W91" i="39"/>
  <c r="AD91" i="39" s="1"/>
  <c r="CE90" i="39"/>
  <c r="CL90" i="39" s="1"/>
  <c r="BP90" i="39"/>
  <c r="BW90" i="39" s="1"/>
  <c r="BA90" i="39"/>
  <c r="BH90" i="39" s="1"/>
  <c r="AL90" i="39"/>
  <c r="AS90" i="39" s="1"/>
  <c r="W90" i="39"/>
  <c r="AD90" i="39" s="1"/>
  <c r="CE89" i="39"/>
  <c r="CL89" i="39" s="1"/>
  <c r="BP89" i="39"/>
  <c r="BW89" i="39" s="1"/>
  <c r="BA89" i="39"/>
  <c r="BH89" i="39" s="1"/>
  <c r="AL89" i="39"/>
  <c r="AS89" i="39" s="1"/>
  <c r="W89" i="39"/>
  <c r="AD89" i="39" s="1"/>
  <c r="CE88" i="39"/>
  <c r="CL88" i="39" s="1"/>
  <c r="BP88" i="39"/>
  <c r="BW88" i="39" s="1"/>
  <c r="BA88" i="39"/>
  <c r="BH88" i="39" s="1"/>
  <c r="AL88" i="39"/>
  <c r="AS88" i="39" s="1"/>
  <c r="W88" i="39"/>
  <c r="AD88" i="39" s="1"/>
  <c r="CE87" i="39"/>
  <c r="CL87" i="39" s="1"/>
  <c r="BP87" i="39"/>
  <c r="BW87" i="39" s="1"/>
  <c r="BA87" i="39"/>
  <c r="BH87" i="39" s="1"/>
  <c r="AL87" i="39"/>
  <c r="AS87" i="39" s="1"/>
  <c r="W87" i="39"/>
  <c r="AD87" i="39" s="1"/>
  <c r="CE86" i="39"/>
  <c r="CL86" i="39" s="1"/>
  <c r="BP86" i="39"/>
  <c r="BW86" i="39" s="1"/>
  <c r="BA86" i="39"/>
  <c r="BH86" i="39" s="1"/>
  <c r="AL86" i="39"/>
  <c r="AS86" i="39" s="1"/>
  <c r="W86" i="39"/>
  <c r="AD86" i="39" s="1"/>
  <c r="CE85" i="39"/>
  <c r="CL85" i="39" s="1"/>
  <c r="BP85" i="39"/>
  <c r="BW85" i="39" s="1"/>
  <c r="BA85" i="39"/>
  <c r="BH85" i="39" s="1"/>
  <c r="AL85" i="39"/>
  <c r="AS85" i="39" s="1"/>
  <c r="W85" i="39"/>
  <c r="AD85" i="39" s="1"/>
  <c r="CE84" i="39"/>
  <c r="CL84" i="39" s="1"/>
  <c r="BP84" i="39"/>
  <c r="BW84" i="39" s="1"/>
  <c r="BA84" i="39"/>
  <c r="BH84" i="39" s="1"/>
  <c r="AL84" i="39"/>
  <c r="AS84" i="39" s="1"/>
  <c r="W84" i="39"/>
  <c r="AD84" i="39" s="1"/>
  <c r="CE83" i="39"/>
  <c r="CL83" i="39" s="1"/>
  <c r="BP83" i="39"/>
  <c r="BW83" i="39" s="1"/>
  <c r="BA83" i="39"/>
  <c r="BH83" i="39" s="1"/>
  <c r="AL83" i="39"/>
  <c r="AS83" i="39" s="1"/>
  <c r="W83" i="39"/>
  <c r="AD83" i="39" s="1"/>
  <c r="CE82" i="39"/>
  <c r="CL82" i="39" s="1"/>
  <c r="BP82" i="39"/>
  <c r="BW82" i="39" s="1"/>
  <c r="BA82" i="39"/>
  <c r="BH82" i="39" s="1"/>
  <c r="AL82" i="39"/>
  <c r="AS82" i="39" s="1"/>
  <c r="W82" i="39"/>
  <c r="AD82" i="39" s="1"/>
  <c r="CE81" i="39"/>
  <c r="CL81" i="39" s="1"/>
  <c r="BP81" i="39"/>
  <c r="BW81" i="39" s="1"/>
  <c r="BA81" i="39"/>
  <c r="BH81" i="39" s="1"/>
  <c r="AL81" i="39"/>
  <c r="AS81" i="39" s="1"/>
  <c r="W81" i="39"/>
  <c r="AD81" i="39" s="1"/>
  <c r="CE80" i="39"/>
  <c r="CL80" i="39" s="1"/>
  <c r="BP80" i="39"/>
  <c r="BW80" i="39" s="1"/>
  <c r="BA80" i="39"/>
  <c r="BH80" i="39" s="1"/>
  <c r="AL80" i="39"/>
  <c r="AS80" i="39" s="1"/>
  <c r="W80" i="39"/>
  <c r="AD80" i="39" s="1"/>
  <c r="CE79" i="39"/>
  <c r="CL79" i="39" s="1"/>
  <c r="BP79" i="39"/>
  <c r="BW79" i="39" s="1"/>
  <c r="BA79" i="39"/>
  <c r="BH79" i="39" s="1"/>
  <c r="AL79" i="39"/>
  <c r="AS79" i="39" s="1"/>
  <c r="W79" i="39"/>
  <c r="AD79" i="39" s="1"/>
  <c r="CE78" i="39"/>
  <c r="CL78" i="39" s="1"/>
  <c r="BP78" i="39"/>
  <c r="BW78" i="39" s="1"/>
  <c r="BA78" i="39"/>
  <c r="BH78" i="39" s="1"/>
  <c r="AL78" i="39"/>
  <c r="AS78" i="39" s="1"/>
  <c r="W78" i="39"/>
  <c r="AD78" i="39" s="1"/>
  <c r="CE77" i="39"/>
  <c r="CL77" i="39" s="1"/>
  <c r="BP77" i="39"/>
  <c r="BW77" i="39" s="1"/>
  <c r="BA77" i="39"/>
  <c r="BH77" i="39" s="1"/>
  <c r="AL77" i="39"/>
  <c r="AS77" i="39" s="1"/>
  <c r="W77" i="39"/>
  <c r="AD77" i="39" s="1"/>
  <c r="CE76" i="39"/>
  <c r="CL76" i="39" s="1"/>
  <c r="BP76" i="39"/>
  <c r="BW76" i="39" s="1"/>
  <c r="BA76" i="39"/>
  <c r="BH76" i="39" s="1"/>
  <c r="AL76" i="39"/>
  <c r="AS76" i="39" s="1"/>
  <c r="W76" i="39"/>
  <c r="AD76" i="39" s="1"/>
  <c r="CE75" i="39"/>
  <c r="CL75" i="39" s="1"/>
  <c r="BP75" i="39"/>
  <c r="BW75" i="39" s="1"/>
  <c r="BA75" i="39"/>
  <c r="BH75" i="39" s="1"/>
  <c r="AL75" i="39"/>
  <c r="AS75" i="39" s="1"/>
  <c r="W75" i="39"/>
  <c r="AD75" i="39" s="1"/>
  <c r="CE74" i="39"/>
  <c r="CL74" i="39" s="1"/>
  <c r="BP74" i="39"/>
  <c r="BW74" i="39" s="1"/>
  <c r="BA74" i="39"/>
  <c r="BH74" i="39" s="1"/>
  <c r="AL74" i="39"/>
  <c r="AS74" i="39" s="1"/>
  <c r="W74" i="39"/>
  <c r="AD74" i="39" s="1"/>
  <c r="CE73" i="39"/>
  <c r="CL73" i="39" s="1"/>
  <c r="BP73" i="39"/>
  <c r="BW73" i="39" s="1"/>
  <c r="BA73" i="39"/>
  <c r="BH73" i="39" s="1"/>
  <c r="AL73" i="39"/>
  <c r="AS73" i="39" s="1"/>
  <c r="W73" i="39"/>
  <c r="AD73" i="39" s="1"/>
  <c r="CE72" i="39"/>
  <c r="CL72" i="39" s="1"/>
  <c r="BP72" i="39"/>
  <c r="BW72" i="39" s="1"/>
  <c r="BA72" i="39"/>
  <c r="BH72" i="39" s="1"/>
  <c r="AL72" i="39"/>
  <c r="AS72" i="39" s="1"/>
  <c r="W72" i="39"/>
  <c r="AD72" i="39" s="1"/>
  <c r="CE71" i="39"/>
  <c r="CL71" i="39" s="1"/>
  <c r="BP71" i="39"/>
  <c r="BW71" i="39" s="1"/>
  <c r="BA71" i="39"/>
  <c r="BH71" i="39" s="1"/>
  <c r="AL71" i="39"/>
  <c r="AS71" i="39" s="1"/>
  <c r="W71" i="39"/>
  <c r="AD71" i="39" s="1"/>
  <c r="CE70" i="39"/>
  <c r="CL70" i="39" s="1"/>
  <c r="BP70" i="39"/>
  <c r="BW70" i="39" s="1"/>
  <c r="BA70" i="39"/>
  <c r="BH70" i="39" s="1"/>
  <c r="AL70" i="39"/>
  <c r="AS70" i="39" s="1"/>
  <c r="W70" i="39"/>
  <c r="AD70" i="39" s="1"/>
  <c r="CE69" i="39"/>
  <c r="CL69" i="39" s="1"/>
  <c r="BP69" i="39"/>
  <c r="BW69" i="39" s="1"/>
  <c r="BA69" i="39"/>
  <c r="BH69" i="39" s="1"/>
  <c r="AL69" i="39"/>
  <c r="AS69" i="39" s="1"/>
  <c r="W69" i="39"/>
  <c r="AD69" i="39" s="1"/>
  <c r="CE68" i="39"/>
  <c r="CL68" i="39" s="1"/>
  <c r="BP68" i="39"/>
  <c r="BW68" i="39" s="1"/>
  <c r="BA68" i="39"/>
  <c r="BH68" i="39" s="1"/>
  <c r="AL68" i="39"/>
  <c r="AS68" i="39" s="1"/>
  <c r="W68" i="39"/>
  <c r="AD68" i="39" s="1"/>
  <c r="CE67" i="39"/>
  <c r="CL67" i="39" s="1"/>
  <c r="BP67" i="39"/>
  <c r="BW67" i="39" s="1"/>
  <c r="BA67" i="39"/>
  <c r="BH67" i="39" s="1"/>
  <c r="AL67" i="39"/>
  <c r="AS67" i="39" s="1"/>
  <c r="W67" i="39"/>
  <c r="AD67" i="39" s="1"/>
  <c r="CE66" i="39"/>
  <c r="CL66" i="39" s="1"/>
  <c r="BP66" i="39"/>
  <c r="BW66" i="39" s="1"/>
  <c r="BA66" i="39"/>
  <c r="BH66" i="39" s="1"/>
  <c r="AL66" i="39"/>
  <c r="AS66" i="39" s="1"/>
  <c r="W66" i="39"/>
  <c r="AD66" i="39" s="1"/>
  <c r="CE65" i="39"/>
  <c r="CL65" i="39" s="1"/>
  <c r="BP65" i="39"/>
  <c r="BW65" i="39" s="1"/>
  <c r="BA65" i="39"/>
  <c r="BH65" i="39" s="1"/>
  <c r="AL65" i="39"/>
  <c r="AS65" i="39" s="1"/>
  <c r="W65" i="39"/>
  <c r="AD65" i="39" s="1"/>
  <c r="CE64" i="39"/>
  <c r="CL64" i="39" s="1"/>
  <c r="BP64" i="39"/>
  <c r="BW64" i="39" s="1"/>
  <c r="BA64" i="39"/>
  <c r="BH64" i="39" s="1"/>
  <c r="AL64" i="39"/>
  <c r="AS64" i="39" s="1"/>
  <c r="W64" i="39"/>
  <c r="AD64" i="39" s="1"/>
  <c r="CE63" i="39"/>
  <c r="CL63" i="39" s="1"/>
  <c r="BP63" i="39"/>
  <c r="BW63" i="39" s="1"/>
  <c r="BA63" i="39"/>
  <c r="BH63" i="39" s="1"/>
  <c r="AL63" i="39"/>
  <c r="AS63" i="39" s="1"/>
  <c r="W63" i="39"/>
  <c r="AD63" i="39" s="1"/>
  <c r="CE62" i="39"/>
  <c r="CL62" i="39" s="1"/>
  <c r="BP62" i="39"/>
  <c r="BW62" i="39" s="1"/>
  <c r="BA62" i="39"/>
  <c r="BH62" i="39" s="1"/>
  <c r="AL62" i="39"/>
  <c r="AS62" i="39" s="1"/>
  <c r="W62" i="39"/>
  <c r="AD62" i="39" s="1"/>
  <c r="CE61" i="39"/>
  <c r="CL61" i="39" s="1"/>
  <c r="BP61" i="39"/>
  <c r="BW61" i="39" s="1"/>
  <c r="BA61" i="39"/>
  <c r="BH61" i="39" s="1"/>
  <c r="AL61" i="39"/>
  <c r="AS61" i="39" s="1"/>
  <c r="W61" i="39"/>
  <c r="AD61" i="39" s="1"/>
  <c r="CE60" i="39"/>
  <c r="CL60" i="39" s="1"/>
  <c r="BP60" i="39"/>
  <c r="BW60" i="39" s="1"/>
  <c r="BA60" i="39"/>
  <c r="BH60" i="39" s="1"/>
  <c r="AL60" i="39"/>
  <c r="AS60" i="39" s="1"/>
  <c r="W60" i="39"/>
  <c r="AD60" i="39" s="1"/>
  <c r="CE59" i="39"/>
  <c r="CL59" i="39" s="1"/>
  <c r="BP59" i="39"/>
  <c r="BW59" i="39" s="1"/>
  <c r="BA59" i="39"/>
  <c r="BH59" i="39" s="1"/>
  <c r="AL59" i="39"/>
  <c r="AS59" i="39" s="1"/>
  <c r="W59" i="39"/>
  <c r="AD59" i="39" s="1"/>
  <c r="CE58" i="39"/>
  <c r="CL58" i="39" s="1"/>
  <c r="BP58" i="39"/>
  <c r="BW58" i="39" s="1"/>
  <c r="BA58" i="39"/>
  <c r="BH58" i="39" s="1"/>
  <c r="AL58" i="39"/>
  <c r="AS58" i="39" s="1"/>
  <c r="W58" i="39"/>
  <c r="AD58" i="39" s="1"/>
  <c r="CE57" i="39"/>
  <c r="CL57" i="39" s="1"/>
  <c r="BP57" i="39"/>
  <c r="BW57" i="39" s="1"/>
  <c r="BA57" i="39"/>
  <c r="BH57" i="39" s="1"/>
  <c r="AL57" i="39"/>
  <c r="AS57" i="39" s="1"/>
  <c r="W57" i="39"/>
  <c r="AD57" i="39" s="1"/>
  <c r="CE56" i="39"/>
  <c r="CL56" i="39" s="1"/>
  <c r="BP56" i="39"/>
  <c r="BW56" i="39" s="1"/>
  <c r="BA56" i="39"/>
  <c r="BH56" i="39" s="1"/>
  <c r="AL56" i="39"/>
  <c r="AS56" i="39" s="1"/>
  <c r="W56" i="39"/>
  <c r="AD56" i="39" s="1"/>
  <c r="CE55" i="39"/>
  <c r="CL55" i="39" s="1"/>
  <c r="BP55" i="39"/>
  <c r="BW55" i="39" s="1"/>
  <c r="BA55" i="39"/>
  <c r="BH55" i="39" s="1"/>
  <c r="AL55" i="39"/>
  <c r="AS55" i="39" s="1"/>
  <c r="W55" i="39"/>
  <c r="AD55" i="39" s="1"/>
  <c r="CE54" i="39"/>
  <c r="CL54" i="39" s="1"/>
  <c r="BP54" i="39"/>
  <c r="BW54" i="39" s="1"/>
  <c r="BA54" i="39"/>
  <c r="BH54" i="39" s="1"/>
  <c r="AL54" i="39"/>
  <c r="AS54" i="39" s="1"/>
  <c r="W54" i="39"/>
  <c r="AD54" i="39" s="1"/>
  <c r="CE53" i="39"/>
  <c r="CL53" i="39" s="1"/>
  <c r="BP53" i="39"/>
  <c r="BW53" i="39" s="1"/>
  <c r="BA53" i="39"/>
  <c r="BH53" i="39" s="1"/>
  <c r="AL53" i="39"/>
  <c r="AS53" i="39" s="1"/>
  <c r="W53" i="39"/>
  <c r="AD53" i="39" s="1"/>
  <c r="CE52" i="39"/>
  <c r="CL52" i="39" s="1"/>
  <c r="BP52" i="39"/>
  <c r="BW52" i="39" s="1"/>
  <c r="BA52" i="39"/>
  <c r="BH52" i="39" s="1"/>
  <c r="AL52" i="39"/>
  <c r="AS52" i="39" s="1"/>
  <c r="W52" i="39"/>
  <c r="AD52" i="39" s="1"/>
  <c r="CE51" i="39"/>
  <c r="CL51" i="39" s="1"/>
  <c r="BP51" i="39"/>
  <c r="BW51" i="39" s="1"/>
  <c r="BA51" i="39"/>
  <c r="BH51" i="39" s="1"/>
  <c r="AL51" i="39"/>
  <c r="AS51" i="39" s="1"/>
  <c r="W51" i="39"/>
  <c r="AD51" i="39" s="1"/>
  <c r="CE50" i="39"/>
  <c r="CL50" i="39" s="1"/>
  <c r="BP50" i="39"/>
  <c r="BW50" i="39" s="1"/>
  <c r="BA50" i="39"/>
  <c r="BH50" i="39" s="1"/>
  <c r="AL50" i="39"/>
  <c r="AS50" i="39" s="1"/>
  <c r="W50" i="39"/>
  <c r="AD50" i="39" s="1"/>
  <c r="CE49" i="39"/>
  <c r="CL49" i="39" s="1"/>
  <c r="BP49" i="39"/>
  <c r="BW49" i="39" s="1"/>
  <c r="BA49" i="39"/>
  <c r="BH49" i="39" s="1"/>
  <c r="AL49" i="39"/>
  <c r="AS49" i="39" s="1"/>
  <c r="W49" i="39"/>
  <c r="AD49" i="39" s="1"/>
  <c r="CE48" i="39"/>
  <c r="CL48" i="39" s="1"/>
  <c r="BP48" i="39"/>
  <c r="BW48" i="39" s="1"/>
  <c r="BA48" i="39"/>
  <c r="BH48" i="39" s="1"/>
  <c r="AL48" i="39"/>
  <c r="AS48" i="39" s="1"/>
  <c r="W48" i="39"/>
  <c r="AD48" i="39" s="1"/>
  <c r="CE47" i="39"/>
  <c r="CL47" i="39" s="1"/>
  <c r="BP47" i="39"/>
  <c r="BW47" i="39" s="1"/>
  <c r="BA47" i="39"/>
  <c r="BH47" i="39" s="1"/>
  <c r="AL47" i="39"/>
  <c r="AS47" i="39" s="1"/>
  <c r="W47" i="39"/>
  <c r="AD47" i="39" s="1"/>
  <c r="CE46" i="39"/>
  <c r="CL46" i="39" s="1"/>
  <c r="BP46" i="39"/>
  <c r="BW46" i="39" s="1"/>
  <c r="BA46" i="39"/>
  <c r="BH46" i="39" s="1"/>
  <c r="AL46" i="39"/>
  <c r="AS46" i="39" s="1"/>
  <c r="W46" i="39"/>
  <c r="AD46" i="39" s="1"/>
  <c r="CE45" i="39"/>
  <c r="CL45" i="39" s="1"/>
  <c r="BP45" i="39"/>
  <c r="BW45" i="39" s="1"/>
  <c r="BA45" i="39"/>
  <c r="BH45" i="39" s="1"/>
  <c r="AL45" i="39"/>
  <c r="AS45" i="39" s="1"/>
  <c r="W45" i="39"/>
  <c r="AD45" i="39" s="1"/>
  <c r="CE44" i="39"/>
  <c r="CL44" i="39" s="1"/>
  <c r="BP44" i="39"/>
  <c r="BW44" i="39" s="1"/>
  <c r="BA44" i="39"/>
  <c r="BH44" i="39" s="1"/>
  <c r="AL44" i="39"/>
  <c r="AS44" i="39" s="1"/>
  <c r="W44" i="39"/>
  <c r="AD44" i="39" s="1"/>
  <c r="CE43" i="39"/>
  <c r="CL43" i="39" s="1"/>
  <c r="BP43" i="39"/>
  <c r="BW43" i="39" s="1"/>
  <c r="BA43" i="39"/>
  <c r="BH43" i="39" s="1"/>
  <c r="AL43" i="39"/>
  <c r="AS43" i="39" s="1"/>
  <c r="W43" i="39"/>
  <c r="AD43" i="39" s="1"/>
  <c r="CE42" i="39"/>
  <c r="CL42" i="39" s="1"/>
  <c r="BP42" i="39"/>
  <c r="BW42" i="39" s="1"/>
  <c r="BA42" i="39"/>
  <c r="BH42" i="39" s="1"/>
  <c r="AL42" i="39"/>
  <c r="AS42" i="39" s="1"/>
  <c r="W42" i="39"/>
  <c r="AD42" i="39" s="1"/>
  <c r="CE41" i="39"/>
  <c r="CL41" i="39" s="1"/>
  <c r="BP41" i="39"/>
  <c r="BW41" i="39" s="1"/>
  <c r="BA41" i="39"/>
  <c r="BH41" i="39" s="1"/>
  <c r="AL41" i="39"/>
  <c r="AS41" i="39" s="1"/>
  <c r="W41" i="39"/>
  <c r="AD41" i="39" s="1"/>
  <c r="CE40" i="39"/>
  <c r="CL40" i="39" s="1"/>
  <c r="BP40" i="39"/>
  <c r="BW40" i="39" s="1"/>
  <c r="BA40" i="39"/>
  <c r="BH40" i="39" s="1"/>
  <c r="AL40" i="39"/>
  <c r="AS40" i="39" s="1"/>
  <c r="W40" i="39"/>
  <c r="AD40" i="39" s="1"/>
  <c r="CE39" i="39"/>
  <c r="CL39" i="39" s="1"/>
  <c r="BP39" i="39"/>
  <c r="BW39" i="39" s="1"/>
  <c r="BA39" i="39"/>
  <c r="BH39" i="39" s="1"/>
  <c r="AL39" i="39"/>
  <c r="AS39" i="39" s="1"/>
  <c r="W39" i="39"/>
  <c r="AD39" i="39" s="1"/>
  <c r="CE38" i="39"/>
  <c r="CL38" i="39" s="1"/>
  <c r="BP38" i="39"/>
  <c r="BW38" i="39" s="1"/>
  <c r="BA38" i="39"/>
  <c r="BH38" i="39" s="1"/>
  <c r="AL38" i="39"/>
  <c r="AS38" i="39" s="1"/>
  <c r="W38" i="39"/>
  <c r="AD38" i="39" s="1"/>
  <c r="CE37" i="39"/>
  <c r="CL37" i="39" s="1"/>
  <c r="BP37" i="39"/>
  <c r="BW37" i="39" s="1"/>
  <c r="BA37" i="39"/>
  <c r="BH37" i="39" s="1"/>
  <c r="AL37" i="39"/>
  <c r="AS37" i="39" s="1"/>
  <c r="W37" i="39"/>
  <c r="AD37" i="39" s="1"/>
  <c r="CE36" i="39"/>
  <c r="CL36" i="39" s="1"/>
  <c r="BP36" i="39"/>
  <c r="BW36" i="39" s="1"/>
  <c r="BA36" i="39"/>
  <c r="BH36" i="39" s="1"/>
  <c r="AL36" i="39"/>
  <c r="AS36" i="39" s="1"/>
  <c r="W36" i="39"/>
  <c r="AD36" i="39" s="1"/>
  <c r="CE35" i="39"/>
  <c r="CL35" i="39" s="1"/>
  <c r="BP35" i="39"/>
  <c r="BW35" i="39" s="1"/>
  <c r="BA35" i="39"/>
  <c r="BH35" i="39" s="1"/>
  <c r="AL35" i="39"/>
  <c r="AS35" i="39" s="1"/>
  <c r="W35" i="39"/>
  <c r="AD35" i="39" s="1"/>
  <c r="CE34" i="39"/>
  <c r="CL34" i="39" s="1"/>
  <c r="BP34" i="39"/>
  <c r="BW34" i="39" s="1"/>
  <c r="BA34" i="39"/>
  <c r="BH34" i="39" s="1"/>
  <c r="AL34" i="39"/>
  <c r="AS34" i="39" s="1"/>
  <c r="W34" i="39"/>
  <c r="AD34" i="39" s="1"/>
  <c r="CE33" i="39"/>
  <c r="CL33" i="39" s="1"/>
  <c r="BP33" i="39"/>
  <c r="BW33" i="39" s="1"/>
  <c r="BA33" i="39"/>
  <c r="BH33" i="39" s="1"/>
  <c r="AL33" i="39"/>
  <c r="AS33" i="39" s="1"/>
  <c r="W33" i="39"/>
  <c r="AD33" i="39" s="1"/>
  <c r="CE32" i="39"/>
  <c r="CL32" i="39" s="1"/>
  <c r="BP32" i="39"/>
  <c r="BW32" i="39" s="1"/>
  <c r="BA32" i="39"/>
  <c r="BH32" i="39" s="1"/>
  <c r="AL32" i="39"/>
  <c r="AS32" i="39" s="1"/>
  <c r="W32" i="39"/>
  <c r="AD32" i="39" s="1"/>
  <c r="CE31" i="39"/>
  <c r="CL31" i="39" s="1"/>
  <c r="BP31" i="39"/>
  <c r="BW31" i="39" s="1"/>
  <c r="BA31" i="39"/>
  <c r="BH31" i="39" s="1"/>
  <c r="AL31" i="39"/>
  <c r="AS31" i="39" s="1"/>
  <c r="W31" i="39"/>
  <c r="AD31" i="39" s="1"/>
  <c r="CE30" i="39"/>
  <c r="CL30" i="39" s="1"/>
  <c r="BP30" i="39"/>
  <c r="BW30" i="39" s="1"/>
  <c r="BA30" i="39"/>
  <c r="BH30" i="39" s="1"/>
  <c r="AL30" i="39"/>
  <c r="AS30" i="39" s="1"/>
  <c r="W30" i="39"/>
  <c r="AD30" i="39" s="1"/>
  <c r="CE29" i="39"/>
  <c r="CL29" i="39" s="1"/>
  <c r="BP29" i="39"/>
  <c r="BW29" i="39" s="1"/>
  <c r="BA29" i="39"/>
  <c r="BH29" i="39" s="1"/>
  <c r="AL29" i="39"/>
  <c r="AS29" i="39" s="1"/>
  <c r="W29" i="39"/>
  <c r="AD29" i="39" s="1"/>
  <c r="CE28" i="39"/>
  <c r="CL28" i="39" s="1"/>
  <c r="BP28" i="39"/>
  <c r="BW28" i="39" s="1"/>
  <c r="BA28" i="39"/>
  <c r="BH28" i="39" s="1"/>
  <c r="AL28" i="39"/>
  <c r="AS28" i="39" s="1"/>
  <c r="W28" i="39"/>
  <c r="AD28" i="39" s="1"/>
  <c r="CE27" i="39"/>
  <c r="CL27" i="39" s="1"/>
  <c r="BP27" i="39"/>
  <c r="BW27" i="39" s="1"/>
  <c r="BA27" i="39"/>
  <c r="BH27" i="39" s="1"/>
  <c r="AL27" i="39"/>
  <c r="AS27" i="39" s="1"/>
  <c r="W27" i="39"/>
  <c r="AD27" i="39" s="1"/>
  <c r="CE26" i="39"/>
  <c r="CL26" i="39" s="1"/>
  <c r="BP26" i="39"/>
  <c r="BW26" i="39" s="1"/>
  <c r="BA26" i="39"/>
  <c r="BH26" i="39" s="1"/>
  <c r="AL26" i="39"/>
  <c r="AS26" i="39" s="1"/>
  <c r="W26" i="39"/>
  <c r="AD26" i="39" s="1"/>
  <c r="CE25" i="39"/>
  <c r="CL25" i="39" s="1"/>
  <c r="BP25" i="39"/>
  <c r="BW25" i="39" s="1"/>
  <c r="BA25" i="39"/>
  <c r="BH25" i="39" s="1"/>
  <c r="AL25" i="39"/>
  <c r="AS25" i="39" s="1"/>
  <c r="W25" i="39"/>
  <c r="AD25" i="39" s="1"/>
  <c r="CE24" i="39"/>
  <c r="CL24" i="39" s="1"/>
  <c r="BP24" i="39"/>
  <c r="BW24" i="39" s="1"/>
  <c r="BA24" i="39"/>
  <c r="BH24" i="39" s="1"/>
  <c r="AL24" i="39"/>
  <c r="AS24" i="39" s="1"/>
  <c r="W24" i="39"/>
  <c r="AD24" i="39" s="1"/>
  <c r="CE23" i="39"/>
  <c r="CL23" i="39" s="1"/>
  <c r="BP23" i="39"/>
  <c r="BW23" i="39" s="1"/>
  <c r="BA23" i="39"/>
  <c r="BH23" i="39" s="1"/>
  <c r="AL23" i="39"/>
  <c r="AS23" i="39" s="1"/>
  <c r="W23" i="39"/>
  <c r="AD23" i="39" s="1"/>
  <c r="CE22" i="39"/>
  <c r="CL22" i="39" s="1"/>
  <c r="BP22" i="39"/>
  <c r="BW22" i="39" s="1"/>
  <c r="BA22" i="39"/>
  <c r="BH22" i="39" s="1"/>
  <c r="AL22" i="39"/>
  <c r="AS22" i="39" s="1"/>
  <c r="W22" i="39"/>
  <c r="AD22" i="39" s="1"/>
  <c r="CE21" i="39"/>
  <c r="CL21" i="39" s="1"/>
  <c r="BP21" i="39"/>
  <c r="BW21" i="39" s="1"/>
  <c r="BA21" i="39"/>
  <c r="BH21" i="39" s="1"/>
  <c r="AL21" i="39"/>
  <c r="AS21" i="39" s="1"/>
  <c r="W21" i="39"/>
  <c r="AD21" i="39" s="1"/>
  <c r="CE20" i="39"/>
  <c r="CL20" i="39" s="1"/>
  <c r="BP20" i="39"/>
  <c r="BW20" i="39" s="1"/>
  <c r="BA20" i="39"/>
  <c r="BH20" i="39" s="1"/>
  <c r="AL20" i="39"/>
  <c r="AS20" i="39" s="1"/>
  <c r="W20" i="39"/>
  <c r="AD20" i="39" s="1"/>
  <c r="CE19" i="39"/>
  <c r="CL19" i="39" s="1"/>
  <c r="BP19" i="39"/>
  <c r="BW19" i="39" s="1"/>
  <c r="BA19" i="39"/>
  <c r="BH19" i="39" s="1"/>
  <c r="AL19" i="39"/>
  <c r="AS19" i="39" s="1"/>
  <c r="W19" i="39"/>
  <c r="AD19" i="39" s="1"/>
  <c r="CE18" i="39"/>
  <c r="CL18" i="39" s="1"/>
  <c r="BP18" i="39"/>
  <c r="BW18" i="39" s="1"/>
  <c r="BA18" i="39"/>
  <c r="BH18" i="39" s="1"/>
  <c r="AL18" i="39"/>
  <c r="AS18" i="39" s="1"/>
  <c r="W18" i="39"/>
  <c r="AD18" i="39" s="1"/>
  <c r="CE17" i="39"/>
  <c r="CL17" i="39" s="1"/>
  <c r="BP17" i="39"/>
  <c r="BW17" i="39" s="1"/>
  <c r="BA17" i="39"/>
  <c r="BH17" i="39" s="1"/>
  <c r="AL17" i="39"/>
  <c r="AS17" i="39" s="1"/>
  <c r="W17" i="39"/>
  <c r="AD17" i="39" s="1"/>
  <c r="CE16" i="39"/>
  <c r="CL16" i="39" s="1"/>
  <c r="BP16" i="39"/>
  <c r="BW16" i="39" s="1"/>
  <c r="BA16" i="39"/>
  <c r="BH16" i="39" s="1"/>
  <c r="AL16" i="39"/>
  <c r="AS16" i="39" s="1"/>
  <c r="W16" i="39"/>
  <c r="AD16" i="39" s="1"/>
  <c r="CE15" i="39"/>
  <c r="CL15" i="39" s="1"/>
  <c r="BP15" i="39"/>
  <c r="BW15" i="39" s="1"/>
  <c r="BA15" i="39"/>
  <c r="BH15" i="39" s="1"/>
  <c r="AL15" i="39"/>
  <c r="AS15" i="39" s="1"/>
  <c r="W15" i="39"/>
  <c r="AD15" i="39" s="1"/>
  <c r="CE14" i="39"/>
  <c r="CL14" i="39" s="1"/>
  <c r="BP14" i="39"/>
  <c r="BW14" i="39" s="1"/>
  <c r="BA14" i="39"/>
  <c r="BH14" i="39" s="1"/>
  <c r="AL14" i="39"/>
  <c r="AS14" i="39" s="1"/>
  <c r="W14" i="39"/>
  <c r="AD14" i="39" s="1"/>
  <c r="CE13" i="39"/>
  <c r="CL13" i="39" s="1"/>
  <c r="BP13" i="39"/>
  <c r="BW13" i="39" s="1"/>
  <c r="BA13" i="39"/>
  <c r="BH13" i="39" s="1"/>
  <c r="AL13" i="39"/>
  <c r="AS13" i="39" s="1"/>
  <c r="W13" i="39"/>
  <c r="AD13" i="39" s="1"/>
  <c r="CE12" i="39"/>
  <c r="CL12" i="39" s="1"/>
  <c r="BP12" i="39"/>
  <c r="BW12" i="39" s="1"/>
  <c r="BA12" i="39"/>
  <c r="BH12" i="39" s="1"/>
  <c r="AL12" i="39"/>
  <c r="AS12" i="39" s="1"/>
  <c r="W12" i="39"/>
  <c r="AD12" i="39" s="1"/>
  <c r="B37" i="39" l="1"/>
  <c r="B36" i="39"/>
  <c r="B35" i="39"/>
  <c r="B34" i="39"/>
  <c r="CE11" i="39"/>
  <c r="CL11" i="39" s="1"/>
  <c r="BP11" i="39"/>
  <c r="BW11" i="39" s="1"/>
  <c r="BA11" i="39"/>
  <c r="BH11" i="39" s="1"/>
  <c r="AL11" i="39"/>
  <c r="AS11" i="39" s="1"/>
  <c r="P30" i="39"/>
  <c r="P31" i="39"/>
  <c r="BY31" i="39" s="1"/>
  <c r="P32" i="39"/>
  <c r="BY32" i="39" s="1"/>
  <c r="P33" i="39"/>
  <c r="P34" i="39"/>
  <c r="BY34" i="39" s="1"/>
  <c r="P35" i="39"/>
  <c r="BY35" i="39" s="1"/>
  <c r="P36" i="39"/>
  <c r="P37" i="39"/>
  <c r="P38" i="39"/>
  <c r="P39" i="39"/>
  <c r="P40" i="39"/>
  <c r="P41" i="39"/>
  <c r="P42" i="39"/>
  <c r="BY42" i="39" s="1"/>
  <c r="P43" i="39"/>
  <c r="BY43" i="39" s="1"/>
  <c r="P44" i="39"/>
  <c r="P45" i="39"/>
  <c r="P46" i="39"/>
  <c r="P50" i="39" l="1"/>
  <c r="P68" i="39" s="1"/>
  <c r="P60" i="39"/>
  <c r="P49" i="39"/>
  <c r="P67" i="39" s="1"/>
  <c r="P55" i="39"/>
  <c r="BY55" i="39" s="1"/>
  <c r="BY37" i="39"/>
  <c r="P51" i="39"/>
  <c r="BY51" i="39" s="1"/>
  <c r="BY33" i="39"/>
  <c r="P62" i="39"/>
  <c r="BY62" i="39" s="1"/>
  <c r="BY44" i="39"/>
  <c r="P63" i="39"/>
  <c r="BY63" i="39" s="1"/>
  <c r="BY45" i="39"/>
  <c r="P54" i="39"/>
  <c r="BY54" i="39" s="1"/>
  <c r="BY36" i="39"/>
  <c r="P59" i="39"/>
  <c r="BY59" i="39" s="1"/>
  <c r="BY41" i="39"/>
  <c r="P58" i="39"/>
  <c r="P76" i="39" s="1"/>
  <c r="BY40" i="39"/>
  <c r="BY49" i="39"/>
  <c r="P57" i="39"/>
  <c r="P75" i="39" s="1"/>
  <c r="BY75" i="39" s="1"/>
  <c r="BY39" i="39"/>
  <c r="P52" i="39"/>
  <c r="P64" i="39"/>
  <c r="BY64" i="39" s="1"/>
  <c r="BY46" i="39"/>
  <c r="P56" i="39"/>
  <c r="BY56" i="39" s="1"/>
  <c r="BY38" i="39"/>
  <c r="P48" i="39"/>
  <c r="BY48" i="39" s="1"/>
  <c r="BY30" i="39"/>
  <c r="P78" i="39"/>
  <c r="BY78" i="39" s="1"/>
  <c r="BY60" i="39"/>
  <c r="P73" i="39"/>
  <c r="BY73" i="39" s="1"/>
  <c r="P66" i="39"/>
  <c r="BY66" i="39" s="1"/>
  <c r="P61" i="39"/>
  <c r="BY61" i="39" s="1"/>
  <c r="P53" i="39"/>
  <c r="BY53" i="39" s="1"/>
  <c r="P29" i="39"/>
  <c r="BY29" i="39" s="1"/>
  <c r="W11" i="39"/>
  <c r="AD11" i="39" s="1"/>
  <c r="CP7" i="39"/>
  <c r="P72" i="39" l="1"/>
  <c r="BY72" i="39" s="1"/>
  <c r="BY57" i="39"/>
  <c r="P77" i="39"/>
  <c r="BY77" i="39" s="1"/>
  <c r="P69" i="39"/>
  <c r="BY69" i="39" s="1"/>
  <c r="BY50" i="39"/>
  <c r="BY58" i="39"/>
  <c r="P80" i="39"/>
  <c r="BY80" i="39" s="1"/>
  <c r="P81" i="39"/>
  <c r="BY81" i="39" s="1"/>
  <c r="P85" i="39"/>
  <c r="BY67" i="39"/>
  <c r="P93" i="39"/>
  <c r="BY93" i="39" s="1"/>
  <c r="P86" i="39"/>
  <c r="BY68" i="39"/>
  <c r="P70" i="39"/>
  <c r="BY52" i="39"/>
  <c r="P74" i="39"/>
  <c r="BY74" i="39" s="1"/>
  <c r="P82" i="39"/>
  <c r="BY82" i="39" s="1"/>
  <c r="P96" i="39"/>
  <c r="BY96" i="39" s="1"/>
  <c r="P94" i="39"/>
  <c r="BY76" i="39"/>
  <c r="P47" i="39"/>
  <c r="BY47" i="39" s="1"/>
  <c r="P79" i="39"/>
  <c r="BY79" i="39" s="1"/>
  <c r="P84" i="39"/>
  <c r="BY84" i="39" s="1"/>
  <c r="P87" i="39"/>
  <c r="BY87" i="39" s="1"/>
  <c r="P91" i="39"/>
  <c r="BY91" i="39" s="1"/>
  <c r="P90" i="39"/>
  <c r="BY90" i="39" s="1"/>
  <c r="P71" i="39"/>
  <c r="BY71" i="39" s="1"/>
  <c r="P99" i="39" l="1"/>
  <c r="BY99" i="39" s="1"/>
  <c r="P114" i="39"/>
  <c r="BY114" i="39" s="1"/>
  <c r="P111" i="39"/>
  <c r="BY111" i="39" s="1"/>
  <c r="P95" i="39"/>
  <c r="BY95" i="39" s="1"/>
  <c r="P100" i="39"/>
  <c r="BY100" i="39" s="1"/>
  <c r="P98" i="39"/>
  <c r="BY98" i="39" s="1"/>
  <c r="BY70" i="39"/>
  <c r="P88" i="39"/>
  <c r="BY86" i="39"/>
  <c r="P104" i="39"/>
  <c r="P92" i="39"/>
  <c r="BY92" i="39" s="1"/>
  <c r="BY85" i="39"/>
  <c r="P103" i="39"/>
  <c r="BY94" i="39"/>
  <c r="P112" i="39"/>
  <c r="P65" i="39"/>
  <c r="BY65" i="39" s="1"/>
  <c r="P116" i="39"/>
  <c r="BY116" i="39" s="1"/>
  <c r="P109" i="39"/>
  <c r="BY109" i="39" s="1"/>
  <c r="P102" i="39"/>
  <c r="BY102" i="39" s="1"/>
  <c r="P89" i="39"/>
  <c r="BY89" i="39" s="1"/>
  <c r="P117" i="39"/>
  <c r="BY117" i="39" s="1"/>
  <c r="P105" i="39"/>
  <c r="BY105" i="39" s="1"/>
  <c r="P129" i="39"/>
  <c r="BY129" i="39" s="1"/>
  <c r="P113" i="39"/>
  <c r="BY113" i="39" s="1"/>
  <c r="P108" i="39"/>
  <c r="BY108" i="39" s="1"/>
  <c r="P118" i="39"/>
  <c r="BY118" i="39" s="1"/>
  <c r="P132" i="39"/>
  <c r="BY132" i="39" s="1"/>
  <c r="P97" i="39"/>
  <c r="BY97" i="39" s="1"/>
  <c r="P110" i="39" l="1"/>
  <c r="BY110" i="39" s="1"/>
  <c r="BY103" i="39"/>
  <c r="P121" i="39"/>
  <c r="BY104" i="39"/>
  <c r="P122" i="39"/>
  <c r="BY88" i="39"/>
  <c r="P106" i="39"/>
  <c r="BY112" i="39"/>
  <c r="P130" i="39"/>
  <c r="P150" i="39"/>
  <c r="BY150" i="39" s="1"/>
  <c r="P131" i="39"/>
  <c r="BY131" i="39" s="1"/>
  <c r="P123" i="39"/>
  <c r="BY123" i="39" s="1"/>
  <c r="P120" i="39"/>
  <c r="BY120" i="39" s="1"/>
  <c r="P83" i="39"/>
  <c r="BY83" i="39" s="1"/>
  <c r="P135" i="39"/>
  <c r="BY135" i="39" s="1"/>
  <c r="P147" i="39"/>
  <c r="BY147" i="39" s="1"/>
  <c r="P115" i="39"/>
  <c r="BY115" i="39" s="1"/>
  <c r="P107" i="39"/>
  <c r="BY107" i="39" s="1"/>
  <c r="P134" i="39"/>
  <c r="BY134" i="39" s="1"/>
  <c r="P136" i="39"/>
  <c r="BY136" i="39" s="1"/>
  <c r="P126" i="39"/>
  <c r="BY126" i="39" s="1"/>
  <c r="P128" i="39"/>
  <c r="BY128" i="39" s="1"/>
  <c r="P127" i="39"/>
  <c r="BY127" i="39" s="1"/>
  <c r="F32" i="39"/>
  <c r="F33" i="39" s="1"/>
  <c r="F34" i="39" s="1"/>
  <c r="CQ27" i="39"/>
  <c r="CQ28" i="39"/>
  <c r="CQ31" i="39"/>
  <c r="CQ32" i="39"/>
  <c r="CP27" i="39"/>
  <c r="BY106" i="39" l="1"/>
  <c r="P124" i="39"/>
  <c r="CK124" i="39" s="1"/>
  <c r="BY122" i="39"/>
  <c r="P140" i="39"/>
  <c r="BY121" i="39"/>
  <c r="P139" i="39"/>
  <c r="CK139" i="39" s="1"/>
  <c r="BY130" i="39"/>
  <c r="P148" i="39"/>
  <c r="BG148" i="39" s="1"/>
  <c r="C21" i="39"/>
  <c r="BK8" i="39"/>
  <c r="BL133" i="39" s="1"/>
  <c r="BS133" i="39" s="1"/>
  <c r="BZ8" i="39"/>
  <c r="AG8" i="39"/>
  <c r="AV8" i="39"/>
  <c r="CD147" i="39"/>
  <c r="CD140" i="39"/>
  <c r="CK136" i="39"/>
  <c r="CD135" i="39"/>
  <c r="CD134" i="39"/>
  <c r="CK132" i="39"/>
  <c r="CD136" i="39"/>
  <c r="CD132" i="39"/>
  <c r="CK131" i="39"/>
  <c r="CD131" i="39"/>
  <c r="CK130" i="39"/>
  <c r="CK134" i="39"/>
  <c r="CK129" i="39"/>
  <c r="CK116" i="39"/>
  <c r="CD114" i="39"/>
  <c r="CD128" i="39"/>
  <c r="CK121" i="39"/>
  <c r="CK120" i="39"/>
  <c r="CK117" i="39"/>
  <c r="CD115" i="39"/>
  <c r="CK127" i="39"/>
  <c r="CK126" i="39"/>
  <c r="CK122" i="39"/>
  <c r="CD130" i="39"/>
  <c r="CD129" i="39"/>
  <c r="CK118" i="39"/>
  <c r="CD116" i="39"/>
  <c r="CK150" i="39"/>
  <c r="CK147" i="39"/>
  <c r="CD121" i="39"/>
  <c r="CD120" i="39"/>
  <c r="CD117" i="39"/>
  <c r="CD150" i="39"/>
  <c r="CK128" i="39"/>
  <c r="CD118" i="39"/>
  <c r="CK115" i="39"/>
  <c r="CK123" i="39"/>
  <c r="CD122" i="39"/>
  <c r="CD106" i="39"/>
  <c r="CD100" i="39"/>
  <c r="CD99" i="39"/>
  <c r="CK95" i="39"/>
  <c r="CD93" i="39"/>
  <c r="CK140" i="39"/>
  <c r="CK112" i="39"/>
  <c r="CD109" i="39"/>
  <c r="CK104" i="39"/>
  <c r="CK103" i="39"/>
  <c r="CD94" i="39"/>
  <c r="CD123" i="39"/>
  <c r="CK110" i="39"/>
  <c r="CD107" i="39"/>
  <c r="CK97" i="39"/>
  <c r="CK96" i="39"/>
  <c r="CD95" i="39"/>
  <c r="CK114" i="39"/>
  <c r="CD112" i="39"/>
  <c r="CK108" i="39"/>
  <c r="CD104" i="39"/>
  <c r="CD103" i="39"/>
  <c r="CK98" i="39"/>
  <c r="CK135" i="39"/>
  <c r="CK111" i="39"/>
  <c r="CD110" i="39"/>
  <c r="CK105" i="39"/>
  <c r="CD97" i="39"/>
  <c r="CD96" i="39"/>
  <c r="CD127" i="39"/>
  <c r="CD111" i="39"/>
  <c r="CK109" i="39"/>
  <c r="CD108" i="39"/>
  <c r="CK94" i="39"/>
  <c r="CD86" i="39"/>
  <c r="CD83" i="39"/>
  <c r="CD79" i="39"/>
  <c r="CD71" i="39"/>
  <c r="CK70" i="39"/>
  <c r="CK102" i="39"/>
  <c r="CK99" i="39"/>
  <c r="CD98" i="39"/>
  <c r="CD82" i="39"/>
  <c r="CK77" i="39"/>
  <c r="CK73" i="39"/>
  <c r="CD72" i="39"/>
  <c r="CK69" i="39"/>
  <c r="CK113" i="39"/>
  <c r="CK106" i="39"/>
  <c r="CD102" i="39"/>
  <c r="CK93" i="39"/>
  <c r="CK92" i="39"/>
  <c r="CK88" i="39"/>
  <c r="CK78" i="39"/>
  <c r="CD77" i="39"/>
  <c r="CK75" i="39"/>
  <c r="CK74" i="39"/>
  <c r="CD73" i="39"/>
  <c r="CD105" i="39"/>
  <c r="CD113" i="39"/>
  <c r="CD92" i="39"/>
  <c r="CD89" i="39"/>
  <c r="CD88" i="39"/>
  <c r="CK86" i="39"/>
  <c r="CK83" i="39"/>
  <c r="CK80" i="39"/>
  <c r="CK79" i="39"/>
  <c r="CD78" i="39"/>
  <c r="CD74" i="39"/>
  <c r="CK71" i="39"/>
  <c r="CD90" i="39"/>
  <c r="CD87" i="39"/>
  <c r="CK81" i="39"/>
  <c r="CK89" i="39"/>
  <c r="CD70" i="39"/>
  <c r="CK64" i="39"/>
  <c r="CK62" i="39"/>
  <c r="CK107" i="39"/>
  <c r="CK85" i="39"/>
  <c r="CD81" i="39"/>
  <c r="CD75" i="39"/>
  <c r="CD65" i="39"/>
  <c r="CD59" i="39"/>
  <c r="CD56" i="39"/>
  <c r="CK72" i="39"/>
  <c r="CD63" i="39"/>
  <c r="CD62" i="39"/>
  <c r="CK58" i="39"/>
  <c r="CK54" i="39"/>
  <c r="CK100" i="39"/>
  <c r="CD85" i="39"/>
  <c r="CK84" i="39"/>
  <c r="CK82" i="39"/>
  <c r="CD80" i="39"/>
  <c r="CK91" i="39"/>
  <c r="CK66" i="39"/>
  <c r="CK61" i="39"/>
  <c r="CK60" i="39"/>
  <c r="CD126" i="39"/>
  <c r="CK90" i="39"/>
  <c r="CK87" i="39"/>
  <c r="CD84" i="39"/>
  <c r="CD76" i="39"/>
  <c r="CK68" i="39"/>
  <c r="CD58" i="39"/>
  <c r="CK57" i="39"/>
  <c r="CK55" i="39"/>
  <c r="CD54" i="39"/>
  <c r="CD67" i="39"/>
  <c r="CK65" i="39"/>
  <c r="CD60" i="39"/>
  <c r="CD37" i="39"/>
  <c r="CD36" i="39"/>
  <c r="CD91" i="39"/>
  <c r="CK76" i="39"/>
  <c r="CD55" i="39"/>
  <c r="CD50" i="39"/>
  <c r="CD44" i="39"/>
  <c r="CK39" i="39"/>
  <c r="CD38" i="39"/>
  <c r="CK35" i="39"/>
  <c r="CD66" i="39"/>
  <c r="CD64" i="39"/>
  <c r="CD53" i="39"/>
  <c r="CD52" i="39"/>
  <c r="CK47" i="39"/>
  <c r="CK46" i="39"/>
  <c r="CD45" i="39"/>
  <c r="CK63" i="39"/>
  <c r="CK49" i="39"/>
  <c r="CK48" i="39"/>
  <c r="CK43" i="39"/>
  <c r="CK40" i="39"/>
  <c r="CD39" i="39"/>
  <c r="CD35" i="39"/>
  <c r="CK33" i="39"/>
  <c r="CD61" i="39"/>
  <c r="CD57" i="39"/>
  <c r="CK51" i="39"/>
  <c r="CD47" i="39"/>
  <c r="CK42" i="39"/>
  <c r="CD68" i="39"/>
  <c r="CK56" i="39"/>
  <c r="CD49" i="39"/>
  <c r="CD46" i="39"/>
  <c r="CD43" i="39"/>
  <c r="CK41" i="39"/>
  <c r="CK37" i="39"/>
  <c r="CK36" i="39"/>
  <c r="CD69" i="39"/>
  <c r="CK67" i="39"/>
  <c r="CD51" i="39"/>
  <c r="CD48" i="39"/>
  <c r="CK44" i="39"/>
  <c r="CK53" i="39"/>
  <c r="CK38" i="39"/>
  <c r="CD26" i="39"/>
  <c r="CD12" i="39"/>
  <c r="CK20" i="39"/>
  <c r="CK19" i="39"/>
  <c r="CD16" i="39"/>
  <c r="CK13" i="39"/>
  <c r="CK15" i="39"/>
  <c r="CK18" i="39"/>
  <c r="CD15" i="39"/>
  <c r="CD22" i="39"/>
  <c r="CD20" i="39"/>
  <c r="CK29" i="39"/>
  <c r="CK27" i="39"/>
  <c r="CD25" i="39"/>
  <c r="CK24" i="39"/>
  <c r="CD23" i="39"/>
  <c r="CK21" i="39"/>
  <c r="CD17" i="39"/>
  <c r="CK16" i="39"/>
  <c r="CK14" i="39"/>
  <c r="CD42" i="39"/>
  <c r="CK34" i="39"/>
  <c r="CD33" i="39"/>
  <c r="CK30" i="39"/>
  <c r="CD18" i="39"/>
  <c r="CD24" i="39"/>
  <c r="CK22" i="39"/>
  <c r="CD21" i="39"/>
  <c r="CD13" i="39"/>
  <c r="CK52" i="39"/>
  <c r="CK50" i="39"/>
  <c r="CK45" i="39"/>
  <c r="CK32" i="39"/>
  <c r="CK31" i="39"/>
  <c r="CD29" i="39"/>
  <c r="CD40" i="39"/>
  <c r="CD34" i="39"/>
  <c r="CD30" i="39"/>
  <c r="CK28" i="39"/>
  <c r="CD27" i="39"/>
  <c r="CD14" i="39"/>
  <c r="CK12" i="39"/>
  <c r="CD41" i="39"/>
  <c r="CD32" i="39"/>
  <c r="CK26" i="39"/>
  <c r="CK59" i="39"/>
  <c r="CD31" i="39"/>
  <c r="CD28" i="39"/>
  <c r="CK25" i="39"/>
  <c r="CK23" i="39"/>
  <c r="CD19" i="39"/>
  <c r="CK17" i="39"/>
  <c r="BV150" i="39"/>
  <c r="BV147" i="39"/>
  <c r="BV140" i="39"/>
  <c r="BV135" i="39"/>
  <c r="BV134" i="39"/>
  <c r="BO131" i="39"/>
  <c r="BV130" i="39"/>
  <c r="BO147" i="39"/>
  <c r="BO140" i="39"/>
  <c r="BV136" i="39"/>
  <c r="BO135" i="39"/>
  <c r="BO134" i="39"/>
  <c r="BV132" i="39"/>
  <c r="BO130" i="39"/>
  <c r="BO150" i="39"/>
  <c r="BO129" i="39"/>
  <c r="BV127" i="39"/>
  <c r="BV122" i="39"/>
  <c r="BO120" i="39"/>
  <c r="BO121" i="39"/>
  <c r="BV118" i="39"/>
  <c r="BO117" i="39"/>
  <c r="BO116" i="39"/>
  <c r="BO127" i="39"/>
  <c r="BO126" i="39"/>
  <c r="BV124" i="39"/>
  <c r="BV123" i="39"/>
  <c r="BO122" i="39"/>
  <c r="BV115" i="39"/>
  <c r="BV114" i="39"/>
  <c r="BO132" i="39"/>
  <c r="BV128" i="39"/>
  <c r="BV129" i="39"/>
  <c r="BO128" i="39"/>
  <c r="BV120" i="39"/>
  <c r="BV116" i="39"/>
  <c r="BO114" i="39"/>
  <c r="BO124" i="39"/>
  <c r="BV117" i="39"/>
  <c r="BV111" i="39"/>
  <c r="BO103" i="39"/>
  <c r="BO95" i="39"/>
  <c r="BO115" i="39"/>
  <c r="BV113" i="39"/>
  <c r="BO112" i="39"/>
  <c r="BV108" i="39"/>
  <c r="BV105" i="39"/>
  <c r="BO104" i="39"/>
  <c r="BV131" i="39"/>
  <c r="BV106" i="39"/>
  <c r="BV102" i="39"/>
  <c r="BO97" i="39"/>
  <c r="BO96" i="39"/>
  <c r="BV93" i="39"/>
  <c r="BO118" i="39"/>
  <c r="BO110" i="39"/>
  <c r="BO108" i="39"/>
  <c r="BV100" i="39"/>
  <c r="BV99" i="39"/>
  <c r="BO98" i="39"/>
  <c r="BO136" i="39"/>
  <c r="BO113" i="39"/>
  <c r="BO111" i="39"/>
  <c r="BV109" i="39"/>
  <c r="BO105" i="39"/>
  <c r="BV126" i="39"/>
  <c r="BO109" i="39"/>
  <c r="BV97" i="39"/>
  <c r="BV96" i="39"/>
  <c r="BO123" i="39"/>
  <c r="BV121" i="39"/>
  <c r="BO93" i="39"/>
  <c r="BV88" i="39"/>
  <c r="BO82" i="39"/>
  <c r="BV78" i="39"/>
  <c r="BO77" i="39"/>
  <c r="BV75" i="39"/>
  <c r="BO73" i="39"/>
  <c r="BO70" i="39"/>
  <c r="BV107" i="39"/>
  <c r="BV104" i="39"/>
  <c r="BO89" i="39"/>
  <c r="BV85" i="39"/>
  <c r="BV76" i="39"/>
  <c r="BO69" i="39"/>
  <c r="BV110" i="39"/>
  <c r="BV112" i="39"/>
  <c r="BO107" i="39"/>
  <c r="BV94" i="39"/>
  <c r="BO92" i="39"/>
  <c r="BO90" i="39"/>
  <c r="BO88" i="39"/>
  <c r="BV86" i="39"/>
  <c r="BO85" i="39"/>
  <c r="BO84" i="39"/>
  <c r="BV79" i="39"/>
  <c r="BO99" i="39"/>
  <c r="BV95" i="39"/>
  <c r="BV87" i="39"/>
  <c r="BO83" i="39"/>
  <c r="BO80" i="39"/>
  <c r="BO79" i="39"/>
  <c r="BV77" i="39"/>
  <c r="BO76" i="39"/>
  <c r="BV70" i="39"/>
  <c r="BO100" i="39"/>
  <c r="BV91" i="39"/>
  <c r="BV84" i="39"/>
  <c r="BV82" i="39"/>
  <c r="BO94" i="39"/>
  <c r="BV69" i="39"/>
  <c r="BV67" i="39"/>
  <c r="BV60" i="39"/>
  <c r="BO59" i="39"/>
  <c r="BV54" i="39"/>
  <c r="BV103" i="39"/>
  <c r="BO91" i="39"/>
  <c r="BV90" i="39"/>
  <c r="BO74" i="39"/>
  <c r="BO72" i="39"/>
  <c r="BV66" i="39"/>
  <c r="BO64" i="39"/>
  <c r="BO62" i="39"/>
  <c r="BV61" i="39"/>
  <c r="BV92" i="39"/>
  <c r="BO87" i="39"/>
  <c r="BV81" i="39"/>
  <c r="BV73" i="39"/>
  <c r="BV71" i="39"/>
  <c r="BV68" i="39"/>
  <c r="BO67" i="39"/>
  <c r="BO60" i="39"/>
  <c r="BO58" i="39"/>
  <c r="BV57" i="39"/>
  <c r="BV55" i="39"/>
  <c r="BV89" i="39"/>
  <c r="BO102" i="39"/>
  <c r="BV98" i="39"/>
  <c r="BO86" i="39"/>
  <c r="BV83" i="39"/>
  <c r="BO81" i="39"/>
  <c r="BO78" i="39"/>
  <c r="BO75" i="39"/>
  <c r="BO71" i="39"/>
  <c r="BV65" i="39"/>
  <c r="BV63" i="39"/>
  <c r="BV59" i="39"/>
  <c r="BO106" i="39"/>
  <c r="BV80" i="39"/>
  <c r="BV62" i="39"/>
  <c r="BO56" i="39"/>
  <c r="BV74" i="39"/>
  <c r="BO57" i="39"/>
  <c r="BV56" i="39"/>
  <c r="BO53" i="39"/>
  <c r="BV49" i="39"/>
  <c r="BV48" i="39"/>
  <c r="BV46" i="39"/>
  <c r="BO45" i="39"/>
  <c r="BV42" i="39"/>
  <c r="BV40" i="39"/>
  <c r="BV72" i="39"/>
  <c r="BO68" i="39"/>
  <c r="BO54" i="39"/>
  <c r="BV51" i="39"/>
  <c r="BO39" i="39"/>
  <c r="BV34" i="39"/>
  <c r="BO48" i="39"/>
  <c r="BO46" i="39"/>
  <c r="BV41" i="39"/>
  <c r="BO40" i="39"/>
  <c r="BV36" i="39"/>
  <c r="BO35" i="39"/>
  <c r="BV50" i="39"/>
  <c r="BV44" i="39"/>
  <c r="BO43" i="39"/>
  <c r="BO42" i="39"/>
  <c r="BV37" i="39"/>
  <c r="BV64" i="39"/>
  <c r="BV52" i="39"/>
  <c r="BO49" i="39"/>
  <c r="BO47" i="39"/>
  <c r="BV38" i="39"/>
  <c r="BO65" i="39"/>
  <c r="BV58" i="39"/>
  <c r="BV53" i="39"/>
  <c r="BO51" i="39"/>
  <c r="BV45" i="39"/>
  <c r="BO44" i="39"/>
  <c r="BO41" i="39"/>
  <c r="BO66" i="39"/>
  <c r="BO61" i="39"/>
  <c r="BO55" i="39"/>
  <c r="BO52" i="39"/>
  <c r="BV47" i="39"/>
  <c r="BO34" i="39"/>
  <c r="BO33" i="39"/>
  <c r="BV22" i="39"/>
  <c r="BV15" i="39"/>
  <c r="BO25" i="39"/>
  <c r="BO17" i="39"/>
  <c r="BV35" i="39"/>
  <c r="BV32" i="39"/>
  <c r="BV31" i="39"/>
  <c r="BO29" i="39"/>
  <c r="BO27" i="39"/>
  <c r="BO21" i="39"/>
  <c r="BV20" i="39"/>
  <c r="BV19" i="39"/>
  <c r="BV13" i="39"/>
  <c r="BV18" i="39"/>
  <c r="BO37" i="39"/>
  <c r="BO36" i="39"/>
  <c r="BV28" i="39"/>
  <c r="BO18" i="39"/>
  <c r="BO14" i="39"/>
  <c r="BO31" i="39"/>
  <c r="BO30" i="39"/>
  <c r="BV26" i="39"/>
  <c r="BO24" i="39"/>
  <c r="BO19" i="39"/>
  <c r="BO16" i="39"/>
  <c r="BV12" i="39"/>
  <c r="BV25" i="39"/>
  <c r="BV23" i="39"/>
  <c r="BO22" i="39"/>
  <c r="BV17" i="39"/>
  <c r="BO13" i="39"/>
  <c r="BV21" i="39"/>
  <c r="BO63" i="39"/>
  <c r="BV43" i="39"/>
  <c r="BV39" i="39"/>
  <c r="BO38" i="39"/>
  <c r="BO32" i="39"/>
  <c r="BO28" i="39"/>
  <c r="BO20" i="39"/>
  <c r="BO26" i="39"/>
  <c r="BV33" i="39"/>
  <c r="BV29" i="39"/>
  <c r="BO23" i="39"/>
  <c r="BO50" i="39"/>
  <c r="BV30" i="39"/>
  <c r="BV27" i="39"/>
  <c r="BV24" i="39"/>
  <c r="BV16" i="39"/>
  <c r="BO15" i="39"/>
  <c r="BV14" i="39"/>
  <c r="BO12" i="39"/>
  <c r="AZ147" i="39"/>
  <c r="BG140" i="39"/>
  <c r="AZ136" i="39"/>
  <c r="BG150" i="39"/>
  <c r="AZ140" i="39"/>
  <c r="AZ132" i="39"/>
  <c r="BG136" i="39"/>
  <c r="BG135" i="39"/>
  <c r="AZ135" i="39"/>
  <c r="BG131" i="39"/>
  <c r="AZ124" i="39"/>
  <c r="AZ121" i="39"/>
  <c r="BG147" i="39"/>
  <c r="AZ134" i="39"/>
  <c r="BG130" i="39"/>
  <c r="BG128" i="39"/>
  <c r="AZ126" i="39"/>
  <c r="BG123" i="39"/>
  <c r="BG115" i="39"/>
  <c r="AZ139" i="39"/>
  <c r="AZ127" i="39"/>
  <c r="AZ122" i="39"/>
  <c r="BG118" i="39"/>
  <c r="AZ117" i="39"/>
  <c r="AZ131" i="39"/>
  <c r="BG114" i="39"/>
  <c r="AZ150" i="39"/>
  <c r="AZ130" i="39"/>
  <c r="BG129" i="39"/>
  <c r="BG124" i="39"/>
  <c r="AZ123" i="39"/>
  <c r="BG120" i="39"/>
  <c r="BG116" i="39"/>
  <c r="BG126" i="39"/>
  <c r="AZ120" i="39"/>
  <c r="BG117" i="39"/>
  <c r="AZ116" i="39"/>
  <c r="BG112" i="39"/>
  <c r="BG110" i="39"/>
  <c r="AZ107" i="39"/>
  <c r="BG105" i="39"/>
  <c r="BG104" i="39"/>
  <c r="AZ103" i="39"/>
  <c r="BG100" i="39"/>
  <c r="BG121" i="39"/>
  <c r="BG113" i="39"/>
  <c r="AZ108" i="39"/>
  <c r="BG99" i="39"/>
  <c r="BG98" i="39"/>
  <c r="BG97" i="39"/>
  <c r="BG96" i="39"/>
  <c r="AZ95" i="39"/>
  <c r="BG132" i="39"/>
  <c r="AZ114" i="39"/>
  <c r="AZ112" i="39"/>
  <c r="BG111" i="39"/>
  <c r="BG109" i="39"/>
  <c r="BG106" i="39"/>
  <c r="AZ105" i="39"/>
  <c r="AZ104" i="39"/>
  <c r="BG102" i="39"/>
  <c r="BG94" i="39"/>
  <c r="AZ129" i="39"/>
  <c r="BG127" i="39"/>
  <c r="BG122" i="39"/>
  <c r="AZ113" i="39"/>
  <c r="AZ110" i="39"/>
  <c r="AZ99" i="39"/>
  <c r="AZ98" i="39"/>
  <c r="AZ97" i="39"/>
  <c r="AZ96" i="39"/>
  <c r="BG134" i="39"/>
  <c r="BG107" i="39"/>
  <c r="AZ106" i="39"/>
  <c r="AZ128" i="39"/>
  <c r="AZ115" i="39"/>
  <c r="BG108" i="39"/>
  <c r="BG95" i="39"/>
  <c r="AZ111" i="39"/>
  <c r="AZ94" i="39"/>
  <c r="BG88" i="39"/>
  <c r="BG85" i="39"/>
  <c r="AZ82" i="39"/>
  <c r="BG75" i="39"/>
  <c r="BG103" i="39"/>
  <c r="AZ102" i="39"/>
  <c r="AZ100" i="39"/>
  <c r="BG90" i="39"/>
  <c r="BG86" i="39"/>
  <c r="BG83" i="39"/>
  <c r="BG79" i="39"/>
  <c r="BG78" i="39"/>
  <c r="AZ70" i="39"/>
  <c r="AZ118" i="39"/>
  <c r="AZ109" i="39"/>
  <c r="BG91" i="39"/>
  <c r="AZ90" i="39"/>
  <c r="AZ88" i="39"/>
  <c r="AZ86" i="39"/>
  <c r="AZ85" i="39"/>
  <c r="BG76" i="39"/>
  <c r="AZ75" i="39"/>
  <c r="AZ71" i="39"/>
  <c r="BG93" i="39"/>
  <c r="AZ92" i="39"/>
  <c r="AZ79" i="39"/>
  <c r="AZ76" i="39"/>
  <c r="AZ74" i="39"/>
  <c r="AZ87" i="39"/>
  <c r="AZ84" i="39"/>
  <c r="BG92" i="39"/>
  <c r="BG89" i="39"/>
  <c r="BG77" i="39"/>
  <c r="AZ65" i="39"/>
  <c r="AZ93" i="39"/>
  <c r="AZ81" i="39"/>
  <c r="BG80" i="39"/>
  <c r="AZ78" i="39"/>
  <c r="AZ69" i="39"/>
  <c r="AZ61" i="39"/>
  <c r="AZ59" i="39"/>
  <c r="AZ58" i="39"/>
  <c r="AZ77" i="39"/>
  <c r="AZ73" i="39"/>
  <c r="BG72" i="39"/>
  <c r="AZ66" i="39"/>
  <c r="AZ60" i="39"/>
  <c r="BG56" i="39"/>
  <c r="AZ89" i="39"/>
  <c r="AZ83" i="39"/>
  <c r="BG82" i="39"/>
  <c r="AZ80" i="39"/>
  <c r="BG74" i="39"/>
  <c r="AZ72" i="39"/>
  <c r="BG68" i="39"/>
  <c r="BG65" i="39"/>
  <c r="BG57" i="39"/>
  <c r="AZ91" i="39"/>
  <c r="BG87" i="39"/>
  <c r="BG84" i="39"/>
  <c r="BG64" i="39"/>
  <c r="BG73" i="39"/>
  <c r="BG66" i="39"/>
  <c r="BG62" i="39"/>
  <c r="AZ56" i="39"/>
  <c r="BG55" i="39"/>
  <c r="AZ38" i="39"/>
  <c r="BG36" i="39"/>
  <c r="BG81" i="39"/>
  <c r="BG63" i="39"/>
  <c r="BG58" i="39"/>
  <c r="BG47" i="39"/>
  <c r="AZ39" i="39"/>
  <c r="BG37" i="39"/>
  <c r="BG35" i="39"/>
  <c r="BG69" i="39"/>
  <c r="AZ64" i="39"/>
  <c r="AZ62" i="39"/>
  <c r="AZ54" i="39"/>
  <c r="BG52" i="39"/>
  <c r="BG49" i="39"/>
  <c r="AZ46" i="39"/>
  <c r="BG44" i="39"/>
  <c r="BG43" i="39"/>
  <c r="AZ42" i="39"/>
  <c r="AZ40" i="39"/>
  <c r="BG34" i="39"/>
  <c r="BG33" i="39"/>
  <c r="AZ63" i="39"/>
  <c r="AZ55" i="39"/>
  <c r="BG53" i="39"/>
  <c r="AZ48" i="39"/>
  <c r="BG45" i="39"/>
  <c r="BG41" i="39"/>
  <c r="BG38" i="39"/>
  <c r="AZ36" i="39"/>
  <c r="AZ35" i="39"/>
  <c r="AZ57" i="39"/>
  <c r="BG51" i="39"/>
  <c r="BG50" i="39"/>
  <c r="AZ49" i="39"/>
  <c r="AZ43" i="39"/>
  <c r="BG71" i="39"/>
  <c r="AZ68" i="39"/>
  <c r="BG67" i="39"/>
  <c r="BG60" i="39"/>
  <c r="AZ53" i="39"/>
  <c r="AZ47" i="39"/>
  <c r="AZ45" i="39"/>
  <c r="AZ44" i="39"/>
  <c r="AZ41" i="39"/>
  <c r="BG70" i="39"/>
  <c r="BG59" i="39"/>
  <c r="BG54" i="39"/>
  <c r="AZ51" i="39"/>
  <c r="BG40" i="39"/>
  <c r="BG24" i="39"/>
  <c r="AZ14" i="39"/>
  <c r="AZ22" i="39"/>
  <c r="AZ20" i="39"/>
  <c r="AZ34" i="39"/>
  <c r="BG31" i="39"/>
  <c r="BG30" i="39"/>
  <c r="AZ27" i="39"/>
  <c r="AZ18" i="39"/>
  <c r="AZ16" i="39"/>
  <c r="AZ15" i="39"/>
  <c r="AZ67" i="39"/>
  <c r="AZ52" i="39"/>
  <c r="AZ50" i="39"/>
  <c r="BG32" i="39"/>
  <c r="AZ29" i="39"/>
  <c r="BG28" i="39"/>
  <c r="BG25" i="39"/>
  <c r="AZ24" i="39"/>
  <c r="BG23" i="39"/>
  <c r="BG22" i="39"/>
  <c r="AZ21" i="39"/>
  <c r="BG20" i="39"/>
  <c r="BG17" i="39"/>
  <c r="BG61" i="39"/>
  <c r="AZ30" i="39"/>
  <c r="AZ19" i="39"/>
  <c r="BG13" i="39"/>
  <c r="BG12" i="39"/>
  <c r="AZ28" i="39"/>
  <c r="BG27" i="39"/>
  <c r="BG26" i="39"/>
  <c r="AZ32" i="39"/>
  <c r="AZ31" i="39"/>
  <c r="AZ37" i="39"/>
  <c r="AZ25" i="39"/>
  <c r="AZ23" i="39"/>
  <c r="AZ17" i="39"/>
  <c r="BG15" i="39"/>
  <c r="BG48" i="39"/>
  <c r="BG46" i="39"/>
  <c r="AZ33" i="39"/>
  <c r="AZ13" i="39"/>
  <c r="BG42" i="39"/>
  <c r="BG39" i="39"/>
  <c r="BG29" i="39"/>
  <c r="AZ26" i="39"/>
  <c r="BG21" i="39"/>
  <c r="BG19" i="39"/>
  <c r="BG18" i="39"/>
  <c r="BG16" i="39"/>
  <c r="AZ12" i="39"/>
  <c r="BG14" i="39"/>
  <c r="AK140" i="39"/>
  <c r="AK147" i="39"/>
  <c r="AR132" i="39"/>
  <c r="AR135" i="39"/>
  <c r="AR150" i="39"/>
  <c r="AK132" i="39"/>
  <c r="AR140" i="39"/>
  <c r="AR131" i="39"/>
  <c r="AK150" i="39"/>
  <c r="AK129" i="39"/>
  <c r="AR127" i="39"/>
  <c r="AK124" i="39"/>
  <c r="AR123" i="39"/>
  <c r="AR122" i="39"/>
  <c r="AR117" i="39"/>
  <c r="AK115" i="39"/>
  <c r="AK126" i="39"/>
  <c r="AK136" i="39"/>
  <c r="AR130" i="39"/>
  <c r="AR128" i="39"/>
  <c r="AK121" i="39"/>
  <c r="AK117" i="39"/>
  <c r="AR116" i="39"/>
  <c r="AK135" i="39"/>
  <c r="AR134" i="39"/>
  <c r="AK127" i="39"/>
  <c r="AK123" i="39"/>
  <c r="AK122" i="39"/>
  <c r="AR120" i="39"/>
  <c r="AR118" i="39"/>
  <c r="AR147" i="39"/>
  <c r="AK130" i="39"/>
  <c r="AK114" i="39"/>
  <c r="AK131" i="39"/>
  <c r="AR129" i="39"/>
  <c r="AR126" i="39"/>
  <c r="AR124" i="39"/>
  <c r="AR121" i="39"/>
  <c r="AK120" i="39"/>
  <c r="AK116" i="39"/>
  <c r="AR136" i="39"/>
  <c r="AK107" i="39"/>
  <c r="AR106" i="39"/>
  <c r="AR99" i="39"/>
  <c r="AR96" i="39"/>
  <c r="AR94" i="39"/>
  <c r="AK128" i="39"/>
  <c r="AK113" i="39"/>
  <c r="AK110" i="39"/>
  <c r="AK108" i="39"/>
  <c r="AK105" i="39"/>
  <c r="AR102" i="39"/>
  <c r="AK97" i="39"/>
  <c r="AK95" i="39"/>
  <c r="AK118" i="39"/>
  <c r="AR111" i="39"/>
  <c r="AK104" i="39"/>
  <c r="AK98" i="39"/>
  <c r="AK96" i="39"/>
  <c r="AR93" i="39"/>
  <c r="AK106" i="39"/>
  <c r="AK102" i="39"/>
  <c r="AR114" i="39"/>
  <c r="AK112" i="39"/>
  <c r="AK111" i="39"/>
  <c r="AR109" i="39"/>
  <c r="AR100" i="39"/>
  <c r="AK99" i="39"/>
  <c r="AR113" i="39"/>
  <c r="AK109" i="39"/>
  <c r="AR108" i="39"/>
  <c r="AR98" i="39"/>
  <c r="AR97" i="39"/>
  <c r="AR90" i="39"/>
  <c r="AR88" i="39"/>
  <c r="AR85" i="39"/>
  <c r="AK82" i="39"/>
  <c r="AK81" i="39"/>
  <c r="AR76" i="39"/>
  <c r="AR73" i="39"/>
  <c r="AR71" i="39"/>
  <c r="AR110" i="39"/>
  <c r="AR105" i="39"/>
  <c r="AR104" i="39"/>
  <c r="AR91" i="39"/>
  <c r="AR89" i="39"/>
  <c r="AR84" i="39"/>
  <c r="AK83" i="39"/>
  <c r="AR74" i="39"/>
  <c r="AR72" i="39"/>
  <c r="AK134" i="39"/>
  <c r="AR112" i="39"/>
  <c r="AR92" i="39"/>
  <c r="AK91" i="39"/>
  <c r="AK90" i="39"/>
  <c r="AK88" i="39"/>
  <c r="AK86" i="39"/>
  <c r="AR79" i="39"/>
  <c r="AK71" i="39"/>
  <c r="AR115" i="39"/>
  <c r="AR103" i="39"/>
  <c r="AK93" i="39"/>
  <c r="AR87" i="39"/>
  <c r="AK84" i="39"/>
  <c r="AK79" i="39"/>
  <c r="AR107" i="39"/>
  <c r="AK92" i="39"/>
  <c r="AK75" i="39"/>
  <c r="AR95" i="39"/>
  <c r="AR82" i="39"/>
  <c r="AR80" i="39"/>
  <c r="AK70" i="39"/>
  <c r="AR86" i="39"/>
  <c r="AR62" i="39"/>
  <c r="AK89" i="39"/>
  <c r="AK80" i="39"/>
  <c r="AK76" i="39"/>
  <c r="AK72" i="39"/>
  <c r="AR68" i="39"/>
  <c r="AR67" i="39"/>
  <c r="AK66" i="39"/>
  <c r="AK65" i="39"/>
  <c r="AR63" i="39"/>
  <c r="AK60" i="39"/>
  <c r="AK59" i="39"/>
  <c r="AR57" i="39"/>
  <c r="AR55" i="39"/>
  <c r="AK87" i="39"/>
  <c r="AK94" i="39"/>
  <c r="AR70" i="39"/>
  <c r="AR69" i="39"/>
  <c r="AK63" i="39"/>
  <c r="AR61" i="39"/>
  <c r="AR58" i="39"/>
  <c r="AK100" i="39"/>
  <c r="AR83" i="39"/>
  <c r="AR81" i="39"/>
  <c r="AK78" i="39"/>
  <c r="AK77" i="39"/>
  <c r="AR75" i="39"/>
  <c r="AK68" i="39"/>
  <c r="AK67" i="39"/>
  <c r="AK62" i="39"/>
  <c r="AR56" i="39"/>
  <c r="AK55" i="39"/>
  <c r="AR78" i="39"/>
  <c r="AR54" i="39"/>
  <c r="AR49" i="39"/>
  <c r="AR46" i="39"/>
  <c r="AK38" i="39"/>
  <c r="AR37" i="39"/>
  <c r="AR36" i="39"/>
  <c r="AR35" i="39"/>
  <c r="AK103" i="39"/>
  <c r="AK85" i="39"/>
  <c r="AK74" i="39"/>
  <c r="AK57" i="39"/>
  <c r="AR45" i="39"/>
  <c r="AR43" i="39"/>
  <c r="AR41" i="39"/>
  <c r="AR40" i="39"/>
  <c r="AK39" i="39"/>
  <c r="AR60" i="39"/>
  <c r="AR59" i="39"/>
  <c r="AK54" i="39"/>
  <c r="AR53" i="39"/>
  <c r="AR50" i="39"/>
  <c r="AR48" i="39"/>
  <c r="AR47" i="39"/>
  <c r="AK46" i="39"/>
  <c r="AR44" i="39"/>
  <c r="AR77" i="39"/>
  <c r="AR65" i="39"/>
  <c r="AR64" i="39"/>
  <c r="AR51" i="39"/>
  <c r="AK40" i="39"/>
  <c r="AK36" i="39"/>
  <c r="AR34" i="39"/>
  <c r="AK73" i="39"/>
  <c r="AR66" i="39"/>
  <c r="AK61" i="39"/>
  <c r="AR52" i="39"/>
  <c r="AK50" i="39"/>
  <c r="AK49" i="39"/>
  <c r="AK48" i="39"/>
  <c r="AK43" i="39"/>
  <c r="AK41" i="39"/>
  <c r="AK64" i="39"/>
  <c r="AK56" i="39"/>
  <c r="AK47" i="39"/>
  <c r="AK45" i="39"/>
  <c r="AK44" i="39"/>
  <c r="AR42" i="39"/>
  <c r="AK58" i="39"/>
  <c r="AK53" i="39"/>
  <c r="AK33" i="39"/>
  <c r="AK24" i="39"/>
  <c r="AR22" i="39"/>
  <c r="AR20" i="39"/>
  <c r="AK12" i="39"/>
  <c r="AR16" i="39"/>
  <c r="AK69" i="39"/>
  <c r="AK51" i="39"/>
  <c r="AK37" i="39"/>
  <c r="AR31" i="39"/>
  <c r="AK29" i="39"/>
  <c r="AR28" i="39"/>
  <c r="AK27" i="39"/>
  <c r="AK26" i="39"/>
  <c r="AR13" i="39"/>
  <c r="AK42" i="39"/>
  <c r="AR38" i="39"/>
  <c r="AR25" i="39"/>
  <c r="AR23" i="39"/>
  <c r="AR19" i="39"/>
  <c r="AK18" i="39"/>
  <c r="AR17" i="39"/>
  <c r="AK15" i="39"/>
  <c r="AK14" i="39"/>
  <c r="AR39" i="39"/>
  <c r="AK30" i="39"/>
  <c r="AK28" i="39"/>
  <c r="AK22" i="39"/>
  <c r="AR14" i="39"/>
  <c r="AK25" i="39"/>
  <c r="AK20" i="39"/>
  <c r="AK19" i="39"/>
  <c r="AK52" i="39"/>
  <c r="AK34" i="39"/>
  <c r="AR33" i="39"/>
  <c r="AK32" i="39"/>
  <c r="AK31" i="39"/>
  <c r="AK35" i="39"/>
  <c r="AR26" i="39"/>
  <c r="AR24" i="39"/>
  <c r="AK23" i="39"/>
  <c r="AR21" i="39"/>
  <c r="AK17" i="39"/>
  <c r="AK13" i="39"/>
  <c r="AR12" i="39"/>
  <c r="AR32" i="39"/>
  <c r="AR30" i="39"/>
  <c r="AR29" i="39"/>
  <c r="AR27" i="39"/>
  <c r="AK21" i="39"/>
  <c r="AR18" i="39"/>
  <c r="AK16" i="39"/>
  <c r="AR15" i="39"/>
  <c r="C24" i="39"/>
  <c r="V130" i="39"/>
  <c r="V123" i="39"/>
  <c r="AC150" i="39"/>
  <c r="V147" i="39"/>
  <c r="V150" i="39"/>
  <c r="AC136" i="39"/>
  <c r="V135" i="39"/>
  <c r="AC131" i="39"/>
  <c r="V128" i="39"/>
  <c r="V121" i="39"/>
  <c r="AC134" i="39"/>
  <c r="V132" i="39"/>
  <c r="V127" i="39"/>
  <c r="V124" i="39"/>
  <c r="AC118" i="39"/>
  <c r="AC117" i="39"/>
  <c r="V140" i="39"/>
  <c r="AC147" i="39"/>
  <c r="V134" i="39"/>
  <c r="V120" i="39"/>
  <c r="V116" i="39"/>
  <c r="AC115" i="39"/>
  <c r="V114" i="39"/>
  <c r="V110" i="39"/>
  <c r="V106" i="39"/>
  <c r="AC102" i="39"/>
  <c r="AC100" i="39"/>
  <c r="AC96" i="39"/>
  <c r="AC93" i="39"/>
  <c r="V89" i="39"/>
  <c r="AC81" i="39"/>
  <c r="V76" i="39"/>
  <c r="V75" i="39"/>
  <c r="V73" i="39"/>
  <c r="V65" i="39"/>
  <c r="AC63" i="39"/>
  <c r="V62" i="39"/>
  <c r="AC140" i="39"/>
  <c r="AC139" i="39"/>
  <c r="AC132" i="39"/>
  <c r="V131" i="39"/>
  <c r="V129" i="39"/>
  <c r="AC121" i="39"/>
  <c r="V108" i="39"/>
  <c r="V107" i="39"/>
  <c r="V99" i="39"/>
  <c r="V94" i="39"/>
  <c r="AC86" i="39"/>
  <c r="V79" i="39"/>
  <c r="V78" i="39"/>
  <c r="AC128" i="39"/>
  <c r="AC126" i="39"/>
  <c r="V113" i="39"/>
  <c r="AC112" i="39"/>
  <c r="V111" i="39"/>
  <c r="AC105" i="39"/>
  <c r="AC104" i="39"/>
  <c r="V100" i="39"/>
  <c r="V95" i="39"/>
  <c r="AC92" i="39"/>
  <c r="V91" i="39"/>
  <c r="AC88" i="39"/>
  <c r="AC87" i="39"/>
  <c r="AC85" i="39"/>
  <c r="AC82" i="39"/>
  <c r="AC77" i="39"/>
  <c r="V117" i="39"/>
  <c r="AC116" i="39"/>
  <c r="V115" i="39"/>
  <c r="AC97" i="39"/>
  <c r="V96" i="39"/>
  <c r="V93" i="39"/>
  <c r="AC90" i="39"/>
  <c r="V86" i="39"/>
  <c r="AC84" i="39"/>
  <c r="V83" i="39"/>
  <c r="V81" i="39"/>
  <c r="AC74" i="39"/>
  <c r="AC73" i="39"/>
  <c r="AC61" i="39"/>
  <c r="AC59" i="39"/>
  <c r="AC130" i="39"/>
  <c r="AC114" i="39"/>
  <c r="AC109" i="39"/>
  <c r="AC103" i="39"/>
  <c r="V102" i="39"/>
  <c r="AC98" i="39"/>
  <c r="V92" i="39"/>
  <c r="V88" i="39"/>
  <c r="V82" i="39"/>
  <c r="AC79" i="39"/>
  <c r="AC75" i="39"/>
  <c r="AC72" i="39"/>
  <c r="V70" i="39"/>
  <c r="AC69" i="39"/>
  <c r="V66" i="39"/>
  <c r="V63" i="39"/>
  <c r="V126" i="39"/>
  <c r="AC122" i="39"/>
  <c r="V112" i="39"/>
  <c r="AC110" i="39"/>
  <c r="V105" i="39"/>
  <c r="V104" i="39"/>
  <c r="AC89" i="39"/>
  <c r="V85" i="39"/>
  <c r="AC80" i="39"/>
  <c r="V77" i="39"/>
  <c r="AC76" i="39"/>
  <c r="V74" i="39"/>
  <c r="V71" i="39"/>
  <c r="V64" i="39"/>
  <c r="AC62" i="39"/>
  <c r="V61" i="39"/>
  <c r="V60" i="39"/>
  <c r="V59" i="39"/>
  <c r="AC127" i="39"/>
  <c r="AC124" i="39"/>
  <c r="V118" i="39"/>
  <c r="AC111" i="39"/>
  <c r="V109" i="39"/>
  <c r="AC106" i="39"/>
  <c r="V98" i="39"/>
  <c r="V97" i="39"/>
  <c r="AC94" i="39"/>
  <c r="AC91" i="39"/>
  <c r="V87" i="39"/>
  <c r="V84" i="39"/>
  <c r="V72" i="39"/>
  <c r="AC68" i="39"/>
  <c r="AC67" i="39"/>
  <c r="AC65" i="39"/>
  <c r="AC113" i="39"/>
  <c r="AC51" i="39"/>
  <c r="V50" i="39"/>
  <c r="V47" i="39"/>
  <c r="V45" i="39"/>
  <c r="V44" i="39"/>
  <c r="V40" i="39"/>
  <c r="V38" i="39"/>
  <c r="V35" i="39"/>
  <c r="V28" i="39"/>
  <c r="V27" i="39"/>
  <c r="AC16" i="39"/>
  <c r="AC14" i="39"/>
  <c r="AC99" i="39"/>
  <c r="AC95" i="39"/>
  <c r="AC78" i="39"/>
  <c r="V67" i="39"/>
  <c r="V58" i="39"/>
  <c r="AC57" i="39"/>
  <c r="V53" i="39"/>
  <c r="V48" i="39"/>
  <c r="V42" i="39"/>
  <c r="V41" i="39"/>
  <c r="V34" i="39"/>
  <c r="V26" i="39"/>
  <c r="AC25" i="39"/>
  <c r="AC24" i="39"/>
  <c r="V23" i="39"/>
  <c r="AC22" i="39"/>
  <c r="V21" i="39"/>
  <c r="V18" i="39"/>
  <c r="V20" i="39"/>
  <c r="V16" i="39"/>
  <c r="V55" i="39"/>
  <c r="AC123" i="39"/>
  <c r="V90" i="39"/>
  <c r="V80" i="39"/>
  <c r="AC70" i="39"/>
  <c r="AC64" i="39"/>
  <c r="V52" i="39"/>
  <c r="V51" i="39"/>
  <c r="V49" i="39"/>
  <c r="V46" i="39"/>
  <c r="AC39" i="39"/>
  <c r="AC33" i="39"/>
  <c r="AC30" i="39"/>
  <c r="V19" i="39"/>
  <c r="V15" i="39"/>
  <c r="AC13" i="39"/>
  <c r="AC129" i="39"/>
  <c r="AC107" i="39"/>
  <c r="AC83" i="39"/>
  <c r="V68" i="39"/>
  <c r="AC60" i="39"/>
  <c r="V56" i="39"/>
  <c r="V54" i="39"/>
  <c r="AC36" i="39"/>
  <c r="AC31" i="39"/>
  <c r="V24" i="39"/>
  <c r="AC17" i="39"/>
  <c r="V14" i="39"/>
  <c r="AC12" i="39"/>
  <c r="AC71" i="39"/>
  <c r="AC53" i="39"/>
  <c r="V31" i="39"/>
  <c r="AC135" i="39"/>
  <c r="V122" i="39"/>
  <c r="AC108" i="39"/>
  <c r="AC66" i="39"/>
  <c r="V57" i="39"/>
  <c r="AC50" i="39"/>
  <c r="AC43" i="39"/>
  <c r="AC40" i="39"/>
  <c r="V39" i="39"/>
  <c r="AC38" i="39"/>
  <c r="AC37" i="39"/>
  <c r="AC32" i="39"/>
  <c r="V30" i="39"/>
  <c r="V29" i="39"/>
  <c r="V25" i="39"/>
  <c r="V22" i="39"/>
  <c r="AC120" i="39"/>
  <c r="V136" i="39"/>
  <c r="AC58" i="39"/>
  <c r="AC55" i="39"/>
  <c r="AC48" i="39"/>
  <c r="AC44" i="39"/>
  <c r="AC42" i="39"/>
  <c r="AC35" i="39"/>
  <c r="AC27" i="39"/>
  <c r="V17" i="39"/>
  <c r="AC15" i="39"/>
  <c r="AC54" i="39"/>
  <c r="AC47" i="39"/>
  <c r="AC46" i="39"/>
  <c r="AC45" i="39"/>
  <c r="V43" i="39"/>
  <c r="AC41" i="39"/>
  <c r="V37" i="39"/>
  <c r="V36" i="39"/>
  <c r="AC34" i="39"/>
  <c r="V33" i="39"/>
  <c r="V32" i="39"/>
  <c r="AC28" i="39"/>
  <c r="AC23" i="39"/>
  <c r="AC21" i="39"/>
  <c r="AC20" i="39"/>
  <c r="V13" i="39"/>
  <c r="V12" i="39"/>
  <c r="V103" i="39"/>
  <c r="V69" i="39"/>
  <c r="AC56" i="39"/>
  <c r="AC52" i="39"/>
  <c r="AC49" i="39"/>
  <c r="AC26" i="39"/>
  <c r="AC18" i="39"/>
  <c r="AC19" i="39"/>
  <c r="AC29" i="39"/>
  <c r="P153" i="39"/>
  <c r="P144" i="39"/>
  <c r="P146" i="39"/>
  <c r="P125" i="39"/>
  <c r="P165" i="39"/>
  <c r="P141" i="39"/>
  <c r="AR11" i="39"/>
  <c r="AK11" i="39"/>
  <c r="BG11" i="39"/>
  <c r="AZ11" i="39"/>
  <c r="BV11" i="39"/>
  <c r="BO11" i="39"/>
  <c r="CD11" i="39"/>
  <c r="CK11" i="39"/>
  <c r="P149" i="39"/>
  <c r="P145" i="39"/>
  <c r="P152" i="39"/>
  <c r="P133" i="39"/>
  <c r="P138" i="39"/>
  <c r="V11" i="39"/>
  <c r="AC11" i="39"/>
  <c r="P154" i="39"/>
  <c r="P101" i="39"/>
  <c r="P168" i="39"/>
  <c r="CV31" i="39"/>
  <c r="CV35" i="39"/>
  <c r="CV39" i="39"/>
  <c r="CV43" i="39"/>
  <c r="CV49" i="39"/>
  <c r="CD124" i="39" l="1"/>
  <c r="AK139" i="39"/>
  <c r="V139" i="39"/>
  <c r="CD139" i="39"/>
  <c r="BG139" i="39"/>
  <c r="AR139" i="39"/>
  <c r="BO139" i="39"/>
  <c r="BV139" i="39"/>
  <c r="CK148" i="39"/>
  <c r="BO148" i="39"/>
  <c r="V148" i="39"/>
  <c r="AK148" i="39"/>
  <c r="AR141" i="39"/>
  <c r="BY141" i="39"/>
  <c r="AZ148" i="39"/>
  <c r="BY139" i="39"/>
  <c r="P157" i="39"/>
  <c r="BV148" i="39"/>
  <c r="CD148" i="39"/>
  <c r="AC148" i="39"/>
  <c r="AR148" i="39"/>
  <c r="BY140" i="39"/>
  <c r="P158" i="39"/>
  <c r="BJ158" i="39" s="1"/>
  <c r="AZ133" i="39"/>
  <c r="BY133" i="39"/>
  <c r="BV138" i="39"/>
  <c r="BY138" i="39"/>
  <c r="BO101" i="39"/>
  <c r="BY101" i="39"/>
  <c r="AR152" i="39"/>
  <c r="BY152" i="39"/>
  <c r="AR144" i="39"/>
  <c r="BY144" i="39"/>
  <c r="BY124" i="39"/>
  <c r="P142" i="39"/>
  <c r="BJ142" i="39" s="1"/>
  <c r="BO154" i="39"/>
  <c r="BY154" i="39"/>
  <c r="CK125" i="39"/>
  <c r="BY125" i="39"/>
  <c r="CK153" i="39"/>
  <c r="BY153" i="39"/>
  <c r="BG168" i="39"/>
  <c r="BY168" i="39"/>
  <c r="AK146" i="39"/>
  <c r="BY146" i="39"/>
  <c r="BV145" i="39"/>
  <c r="BY145" i="39"/>
  <c r="V149" i="39"/>
  <c r="BY149" i="39"/>
  <c r="BY148" i="39"/>
  <c r="P166" i="39"/>
  <c r="BO165" i="39"/>
  <c r="BY165" i="39"/>
  <c r="BL126" i="39"/>
  <c r="BS126" i="39" s="1"/>
  <c r="BL150" i="39"/>
  <c r="BS150" i="39" s="1"/>
  <c r="BL168" i="39"/>
  <c r="BS168" i="39" s="1"/>
  <c r="BL129" i="39"/>
  <c r="BS129" i="39" s="1"/>
  <c r="BL90" i="39"/>
  <c r="BS90" i="39" s="1"/>
  <c r="BL71" i="39"/>
  <c r="BS71" i="39" s="1"/>
  <c r="BL114" i="39"/>
  <c r="BS114" i="39" s="1"/>
  <c r="BL111" i="39"/>
  <c r="BS111" i="39" s="1"/>
  <c r="BL27" i="39"/>
  <c r="BS27" i="39" s="1"/>
  <c r="BL64" i="39"/>
  <c r="BS64" i="39" s="1"/>
  <c r="BL43" i="39"/>
  <c r="BS43" i="39" s="1"/>
  <c r="BL152" i="39"/>
  <c r="BS152" i="39" s="1"/>
  <c r="BL12" i="39"/>
  <c r="BS12" i="39" s="1"/>
  <c r="BL142" i="39"/>
  <c r="BS142" i="39" s="1"/>
  <c r="BL25" i="39"/>
  <c r="BS25" i="39" s="1"/>
  <c r="BL87" i="39"/>
  <c r="BS87" i="39" s="1"/>
  <c r="BL113" i="39"/>
  <c r="BS113" i="39" s="1"/>
  <c r="BL67" i="39"/>
  <c r="BS67" i="39" s="1"/>
  <c r="BL24" i="39"/>
  <c r="BS24" i="39" s="1"/>
  <c r="BL153" i="39"/>
  <c r="BS153" i="39" s="1"/>
  <c r="BL44" i="39"/>
  <c r="BS44" i="39" s="1"/>
  <c r="BL102" i="39"/>
  <c r="BS102" i="39" s="1"/>
  <c r="BL40" i="39"/>
  <c r="BS40" i="39" s="1"/>
  <c r="BL74" i="39"/>
  <c r="BS74" i="39" s="1"/>
  <c r="BL108" i="39"/>
  <c r="BS108" i="39" s="1"/>
  <c r="BL110" i="39"/>
  <c r="BS110" i="39" s="1"/>
  <c r="BL94" i="39"/>
  <c r="BS94" i="39" s="1"/>
  <c r="BL135" i="39"/>
  <c r="BS135" i="39" s="1"/>
  <c r="BL88" i="39"/>
  <c r="BS88" i="39" s="1"/>
  <c r="BL49" i="39"/>
  <c r="BS49" i="39" s="1"/>
  <c r="BL177" i="39"/>
  <c r="BS177" i="39" s="1"/>
  <c r="BL138" i="39"/>
  <c r="BS138" i="39" s="1"/>
  <c r="BL91" i="39"/>
  <c r="BS91" i="39" s="1"/>
  <c r="BL140" i="39"/>
  <c r="BS140" i="39" s="1"/>
  <c r="BL14" i="39"/>
  <c r="BS14" i="39" s="1"/>
  <c r="BL23" i="39"/>
  <c r="BS23" i="39" s="1"/>
  <c r="BL151" i="39"/>
  <c r="BS151" i="39" s="1"/>
  <c r="BL104" i="39"/>
  <c r="BS104" i="39" s="1"/>
  <c r="BL65" i="39"/>
  <c r="BS65" i="39" s="1"/>
  <c r="BL26" i="39"/>
  <c r="BS26" i="39" s="1"/>
  <c r="BL154" i="39"/>
  <c r="BS154" i="39" s="1"/>
  <c r="BL107" i="39"/>
  <c r="BS107" i="39" s="1"/>
  <c r="BL172" i="39"/>
  <c r="BS172" i="39" s="1"/>
  <c r="BL134" i="39"/>
  <c r="BS134" i="39" s="1"/>
  <c r="BL39" i="39"/>
  <c r="BS39" i="39" s="1"/>
  <c r="BL167" i="39"/>
  <c r="BS167" i="39" s="1"/>
  <c r="BL120" i="39"/>
  <c r="BS120" i="39" s="1"/>
  <c r="BL81" i="39"/>
  <c r="BS81" i="39" s="1"/>
  <c r="BL42" i="39"/>
  <c r="BS42" i="39" s="1"/>
  <c r="BL170" i="39"/>
  <c r="BS170" i="39" s="1"/>
  <c r="BL123" i="39"/>
  <c r="BS123" i="39" s="1"/>
  <c r="BL29" i="39"/>
  <c r="BS29" i="39" s="1"/>
  <c r="BL182" i="39"/>
  <c r="BS182" i="39" s="1"/>
  <c r="BL47" i="39"/>
  <c r="BS47" i="39" s="1"/>
  <c r="BL175" i="39"/>
  <c r="BS175" i="39" s="1"/>
  <c r="BL128" i="39"/>
  <c r="BS128" i="39" s="1"/>
  <c r="BL89" i="39"/>
  <c r="BS89" i="39" s="1"/>
  <c r="BL50" i="39"/>
  <c r="BS50" i="39" s="1"/>
  <c r="BL178" i="39"/>
  <c r="BS178" i="39" s="1"/>
  <c r="BL155" i="39"/>
  <c r="BS155" i="39" s="1"/>
  <c r="BL61" i="39"/>
  <c r="BS61" i="39" s="1"/>
  <c r="BL93" i="39"/>
  <c r="BS93" i="39" s="1"/>
  <c r="BL38" i="39"/>
  <c r="BS38" i="39" s="1"/>
  <c r="BL86" i="39"/>
  <c r="BS86" i="39" s="1"/>
  <c r="BL103" i="39"/>
  <c r="BS103" i="39" s="1"/>
  <c r="BL56" i="39"/>
  <c r="BS56" i="39" s="1"/>
  <c r="BL17" i="39"/>
  <c r="BS17" i="39" s="1"/>
  <c r="BL145" i="39"/>
  <c r="BS145" i="39" s="1"/>
  <c r="BL106" i="39"/>
  <c r="BS106" i="39" s="1"/>
  <c r="BL59" i="39"/>
  <c r="BS59" i="39" s="1"/>
  <c r="BL76" i="39"/>
  <c r="BS76" i="39" s="1"/>
  <c r="BL20" i="39"/>
  <c r="BS20" i="39" s="1"/>
  <c r="BL148" i="39"/>
  <c r="BS148" i="39" s="1"/>
  <c r="BL101" i="39"/>
  <c r="BS101" i="39" s="1"/>
  <c r="BL125" i="39"/>
  <c r="BS125" i="39" s="1"/>
  <c r="BL60" i="39"/>
  <c r="BS60" i="39" s="1"/>
  <c r="BL13" i="39"/>
  <c r="BS13" i="39" s="1"/>
  <c r="BL141" i="39"/>
  <c r="BS141" i="39" s="1"/>
  <c r="BL157" i="39"/>
  <c r="BS157" i="39" s="1"/>
  <c r="BL131" i="39"/>
  <c r="BS131" i="39" s="1"/>
  <c r="BL84" i="39"/>
  <c r="BS84" i="39" s="1"/>
  <c r="BL37" i="39"/>
  <c r="BS37" i="39" s="1"/>
  <c r="BL165" i="39"/>
  <c r="BS165" i="39" s="1"/>
  <c r="BL171" i="39"/>
  <c r="BS171" i="39" s="1"/>
  <c r="BL124" i="39"/>
  <c r="BS124" i="39" s="1"/>
  <c r="BL77" i="39"/>
  <c r="BS77" i="39" s="1"/>
  <c r="BL54" i="39"/>
  <c r="BS54" i="39" s="1"/>
  <c r="BL70" i="39"/>
  <c r="BS70" i="39" s="1"/>
  <c r="BL22" i="39"/>
  <c r="BS22" i="39" s="1"/>
  <c r="BL31" i="39"/>
  <c r="BS31" i="39" s="1"/>
  <c r="BL95" i="39"/>
  <c r="BS95" i="39" s="1"/>
  <c r="BL159" i="39"/>
  <c r="BS159" i="39" s="1"/>
  <c r="BL48" i="39"/>
  <c r="BS48" i="39" s="1"/>
  <c r="BL112" i="39"/>
  <c r="BS112" i="39" s="1"/>
  <c r="BL176" i="39"/>
  <c r="BS176" i="39" s="1"/>
  <c r="BL73" i="39"/>
  <c r="BS73" i="39" s="1"/>
  <c r="BL137" i="39"/>
  <c r="BS137" i="39" s="1"/>
  <c r="BL34" i="39"/>
  <c r="BS34" i="39" s="1"/>
  <c r="BL98" i="39"/>
  <c r="BS98" i="39" s="1"/>
  <c r="BL162" i="39"/>
  <c r="BS162" i="39" s="1"/>
  <c r="BL51" i="39"/>
  <c r="BS51" i="39" s="1"/>
  <c r="BL115" i="39"/>
  <c r="BS115" i="39" s="1"/>
  <c r="BL179" i="39"/>
  <c r="BS179" i="39" s="1"/>
  <c r="BL68" i="39"/>
  <c r="BS68" i="39" s="1"/>
  <c r="BL132" i="39"/>
  <c r="BS132" i="39" s="1"/>
  <c r="BL21" i="39"/>
  <c r="BS21" i="39" s="1"/>
  <c r="BL85" i="39"/>
  <c r="BS85" i="39" s="1"/>
  <c r="BL149" i="39"/>
  <c r="BS149" i="39" s="1"/>
  <c r="BL166" i="39"/>
  <c r="BS166" i="39" s="1"/>
  <c r="BL15" i="39"/>
  <c r="BS15" i="39" s="1"/>
  <c r="BL62" i="39"/>
  <c r="BS62" i="39" s="1"/>
  <c r="BL55" i="39"/>
  <c r="BS55" i="39" s="1"/>
  <c r="BL119" i="39"/>
  <c r="BS119" i="39" s="1"/>
  <c r="BL183" i="39"/>
  <c r="BS183" i="39" s="1"/>
  <c r="BL72" i="39"/>
  <c r="BS72" i="39" s="1"/>
  <c r="BL136" i="39"/>
  <c r="BS136" i="39" s="1"/>
  <c r="BL33" i="39"/>
  <c r="BS33" i="39" s="1"/>
  <c r="BL97" i="39"/>
  <c r="BS97" i="39" s="1"/>
  <c r="BL161" i="39"/>
  <c r="BS161" i="39" s="1"/>
  <c r="BL58" i="39"/>
  <c r="BS58" i="39" s="1"/>
  <c r="BL122" i="39"/>
  <c r="BS122" i="39" s="1"/>
  <c r="BL11" i="39"/>
  <c r="BS11" i="39" s="1"/>
  <c r="BL75" i="39"/>
  <c r="BS75" i="39" s="1"/>
  <c r="BL139" i="39"/>
  <c r="BS139" i="39" s="1"/>
  <c r="BL28" i="39"/>
  <c r="BS28" i="39" s="1"/>
  <c r="BL92" i="39"/>
  <c r="BS92" i="39" s="1"/>
  <c r="BL156" i="39"/>
  <c r="BS156" i="39" s="1"/>
  <c r="BL45" i="39"/>
  <c r="BS45" i="39" s="1"/>
  <c r="BL109" i="39"/>
  <c r="BS109" i="39" s="1"/>
  <c r="BL173" i="39"/>
  <c r="BS173" i="39" s="1"/>
  <c r="BL46" i="39"/>
  <c r="BS46" i="39" s="1"/>
  <c r="BL78" i="39"/>
  <c r="BS78" i="39" s="1"/>
  <c r="BL30" i="39"/>
  <c r="BS30" i="39" s="1"/>
  <c r="BL63" i="39"/>
  <c r="BS63" i="39" s="1"/>
  <c r="BL127" i="39"/>
  <c r="BS127" i="39" s="1"/>
  <c r="BL16" i="39"/>
  <c r="BS16" i="39" s="1"/>
  <c r="BL80" i="39"/>
  <c r="BS80" i="39" s="1"/>
  <c r="BL144" i="39"/>
  <c r="BS144" i="39" s="1"/>
  <c r="BL41" i="39"/>
  <c r="BS41" i="39" s="1"/>
  <c r="BL105" i="39"/>
  <c r="BS105" i="39" s="1"/>
  <c r="BL169" i="39"/>
  <c r="BS169" i="39" s="1"/>
  <c r="BL66" i="39"/>
  <c r="BS66" i="39" s="1"/>
  <c r="BL130" i="39"/>
  <c r="BS130" i="39" s="1"/>
  <c r="BL19" i="39"/>
  <c r="BS19" i="39" s="1"/>
  <c r="BL83" i="39"/>
  <c r="BS83" i="39" s="1"/>
  <c r="BL147" i="39"/>
  <c r="BS147" i="39" s="1"/>
  <c r="BL36" i="39"/>
  <c r="BS36" i="39" s="1"/>
  <c r="BL100" i="39"/>
  <c r="BS100" i="39" s="1"/>
  <c r="BL164" i="39"/>
  <c r="BS164" i="39" s="1"/>
  <c r="BL53" i="39"/>
  <c r="BS53" i="39" s="1"/>
  <c r="BL117" i="39"/>
  <c r="BS117" i="39" s="1"/>
  <c r="BL181" i="39"/>
  <c r="BS181" i="39" s="1"/>
  <c r="BL174" i="39"/>
  <c r="BS174" i="39" s="1"/>
  <c r="BL118" i="39"/>
  <c r="BS118" i="39" s="1"/>
  <c r="BL158" i="39"/>
  <c r="BS158" i="39" s="1"/>
  <c r="BL79" i="39"/>
  <c r="BS79" i="39" s="1"/>
  <c r="BL143" i="39"/>
  <c r="BS143" i="39" s="1"/>
  <c r="BL32" i="39"/>
  <c r="BS32" i="39" s="1"/>
  <c r="BL96" i="39"/>
  <c r="BS96" i="39" s="1"/>
  <c r="BL160" i="39"/>
  <c r="BS160" i="39" s="1"/>
  <c r="BL57" i="39"/>
  <c r="BS57" i="39" s="1"/>
  <c r="BL121" i="39"/>
  <c r="BS121" i="39" s="1"/>
  <c r="BL18" i="39"/>
  <c r="BS18" i="39" s="1"/>
  <c r="BL82" i="39"/>
  <c r="BS82" i="39" s="1"/>
  <c r="BL146" i="39"/>
  <c r="BS146" i="39" s="1"/>
  <c r="BL35" i="39"/>
  <c r="BS35" i="39" s="1"/>
  <c r="BL99" i="39"/>
  <c r="BS99" i="39" s="1"/>
  <c r="BL163" i="39"/>
  <c r="BS163" i="39" s="1"/>
  <c r="BL52" i="39"/>
  <c r="BS52" i="39" s="1"/>
  <c r="BL116" i="39"/>
  <c r="BS116" i="39" s="1"/>
  <c r="BL180" i="39"/>
  <c r="BS180" i="39" s="1"/>
  <c r="BL69" i="39"/>
  <c r="BS69" i="39" s="1"/>
  <c r="CA176" i="39"/>
  <c r="CH176" i="39" s="1"/>
  <c r="CA168" i="39"/>
  <c r="CH168" i="39" s="1"/>
  <c r="CA160" i="39"/>
  <c r="CH160" i="39" s="1"/>
  <c r="CA152" i="39"/>
  <c r="CH152" i="39" s="1"/>
  <c r="CA144" i="39"/>
  <c r="CH144" i="39" s="1"/>
  <c r="CA136" i="39"/>
  <c r="CH136" i="39" s="1"/>
  <c r="CA128" i="39"/>
  <c r="CH128" i="39" s="1"/>
  <c r="CA120" i="39"/>
  <c r="CH120" i="39" s="1"/>
  <c r="CA112" i="39"/>
  <c r="CH112" i="39" s="1"/>
  <c r="CA104" i="39"/>
  <c r="CH104" i="39" s="1"/>
  <c r="CA96" i="39"/>
  <c r="CH96" i="39" s="1"/>
  <c r="CA88" i="39"/>
  <c r="CH88" i="39" s="1"/>
  <c r="CA80" i="39"/>
  <c r="CH80" i="39" s="1"/>
  <c r="CA72" i="39"/>
  <c r="CH72" i="39" s="1"/>
  <c r="CA64" i="39"/>
  <c r="CH64" i="39" s="1"/>
  <c r="CA56" i="39"/>
  <c r="CH56" i="39" s="1"/>
  <c r="CA48" i="39"/>
  <c r="CH48" i="39" s="1"/>
  <c r="CA40" i="39"/>
  <c r="CH40" i="39" s="1"/>
  <c r="CA32" i="39"/>
  <c r="CH32" i="39" s="1"/>
  <c r="CA24" i="39"/>
  <c r="CH24" i="39" s="1"/>
  <c r="CA16" i="39"/>
  <c r="CH16" i="39" s="1"/>
  <c r="CA183" i="39"/>
  <c r="CH183" i="39" s="1"/>
  <c r="CA175" i="39"/>
  <c r="CH175" i="39" s="1"/>
  <c r="CA167" i="39"/>
  <c r="CH167" i="39" s="1"/>
  <c r="CA159" i="39"/>
  <c r="CH159" i="39" s="1"/>
  <c r="CA151" i="39"/>
  <c r="CH151" i="39" s="1"/>
  <c r="CA143" i="39"/>
  <c r="CH143" i="39" s="1"/>
  <c r="CA135" i="39"/>
  <c r="CH135" i="39" s="1"/>
  <c r="CA127" i="39"/>
  <c r="CH127" i="39" s="1"/>
  <c r="CA119" i="39"/>
  <c r="CH119" i="39" s="1"/>
  <c r="CA111" i="39"/>
  <c r="CH111" i="39" s="1"/>
  <c r="CA103" i="39"/>
  <c r="CH103" i="39" s="1"/>
  <c r="CA95" i="39"/>
  <c r="CH95" i="39" s="1"/>
  <c r="CA87" i="39"/>
  <c r="CH87" i="39" s="1"/>
  <c r="CA79" i="39"/>
  <c r="CH79" i="39" s="1"/>
  <c r="CA71" i="39"/>
  <c r="CH71" i="39" s="1"/>
  <c r="CA63" i="39"/>
  <c r="CH63" i="39" s="1"/>
  <c r="CA55" i="39"/>
  <c r="CH55" i="39" s="1"/>
  <c r="CA47" i="39"/>
  <c r="CH47" i="39" s="1"/>
  <c r="CA39" i="39"/>
  <c r="CH39" i="39" s="1"/>
  <c r="CA31" i="39"/>
  <c r="CH31" i="39" s="1"/>
  <c r="CA23" i="39"/>
  <c r="CH23" i="39" s="1"/>
  <c r="CA15" i="39"/>
  <c r="CH15" i="39" s="1"/>
  <c r="CA182" i="39"/>
  <c r="CH182" i="39" s="1"/>
  <c r="CA174" i="39"/>
  <c r="CH174" i="39" s="1"/>
  <c r="CA166" i="39"/>
  <c r="CH166" i="39" s="1"/>
  <c r="CA158" i="39"/>
  <c r="CH158" i="39" s="1"/>
  <c r="CA150" i="39"/>
  <c r="CH150" i="39" s="1"/>
  <c r="CA142" i="39"/>
  <c r="CH142" i="39" s="1"/>
  <c r="CA134" i="39"/>
  <c r="CH134" i="39" s="1"/>
  <c r="CA126" i="39"/>
  <c r="CH126" i="39" s="1"/>
  <c r="CA118" i="39"/>
  <c r="CH118" i="39" s="1"/>
  <c r="CA110" i="39"/>
  <c r="CH110" i="39" s="1"/>
  <c r="CA102" i="39"/>
  <c r="CH102" i="39" s="1"/>
  <c r="CA94" i="39"/>
  <c r="CH94" i="39" s="1"/>
  <c r="CA86" i="39"/>
  <c r="CH86" i="39" s="1"/>
  <c r="CA78" i="39"/>
  <c r="CH78" i="39" s="1"/>
  <c r="CA70" i="39"/>
  <c r="CH70" i="39" s="1"/>
  <c r="CA62" i="39"/>
  <c r="CH62" i="39" s="1"/>
  <c r="CA54" i="39"/>
  <c r="CH54" i="39" s="1"/>
  <c r="CA46" i="39"/>
  <c r="CH46" i="39" s="1"/>
  <c r="CA38" i="39"/>
  <c r="CH38" i="39" s="1"/>
  <c r="CA30" i="39"/>
  <c r="CH30" i="39" s="1"/>
  <c r="CA22" i="39"/>
  <c r="CH22" i="39" s="1"/>
  <c r="CA14" i="39"/>
  <c r="CH14" i="39" s="1"/>
  <c r="CA181" i="39"/>
  <c r="CH181" i="39" s="1"/>
  <c r="CA173" i="39"/>
  <c r="CH173" i="39" s="1"/>
  <c r="CA165" i="39"/>
  <c r="CH165" i="39" s="1"/>
  <c r="CA157" i="39"/>
  <c r="CH157" i="39" s="1"/>
  <c r="CA149" i="39"/>
  <c r="CH149" i="39" s="1"/>
  <c r="CA141" i="39"/>
  <c r="CH141" i="39" s="1"/>
  <c r="CA133" i="39"/>
  <c r="CH133" i="39" s="1"/>
  <c r="CA125" i="39"/>
  <c r="CH125" i="39" s="1"/>
  <c r="CA117" i="39"/>
  <c r="CH117" i="39" s="1"/>
  <c r="CA109" i="39"/>
  <c r="CH109" i="39" s="1"/>
  <c r="CA101" i="39"/>
  <c r="CH101" i="39" s="1"/>
  <c r="CA93" i="39"/>
  <c r="CH93" i="39" s="1"/>
  <c r="CA85" i="39"/>
  <c r="CH85" i="39" s="1"/>
  <c r="CA77" i="39"/>
  <c r="CH77" i="39" s="1"/>
  <c r="CA69" i="39"/>
  <c r="CH69" i="39" s="1"/>
  <c r="CA61" i="39"/>
  <c r="CH61" i="39" s="1"/>
  <c r="CA53" i="39"/>
  <c r="CH53" i="39" s="1"/>
  <c r="CA45" i="39"/>
  <c r="CH45" i="39" s="1"/>
  <c r="CA37" i="39"/>
  <c r="CH37" i="39" s="1"/>
  <c r="CA29" i="39"/>
  <c r="CH29" i="39" s="1"/>
  <c r="CA21" i="39"/>
  <c r="CH21" i="39" s="1"/>
  <c r="CA13" i="39"/>
  <c r="CH13" i="39" s="1"/>
  <c r="CA180" i="39"/>
  <c r="CH180" i="39" s="1"/>
  <c r="CA172" i="39"/>
  <c r="CH172" i="39" s="1"/>
  <c r="CA164" i="39"/>
  <c r="CH164" i="39" s="1"/>
  <c r="CA156" i="39"/>
  <c r="CH156" i="39" s="1"/>
  <c r="CA148" i="39"/>
  <c r="CH148" i="39" s="1"/>
  <c r="CA140" i="39"/>
  <c r="CH140" i="39" s="1"/>
  <c r="CA132" i="39"/>
  <c r="CH132" i="39" s="1"/>
  <c r="CA124" i="39"/>
  <c r="CH124" i="39" s="1"/>
  <c r="CA116" i="39"/>
  <c r="CH116" i="39" s="1"/>
  <c r="CA108" i="39"/>
  <c r="CH108" i="39" s="1"/>
  <c r="CA100" i="39"/>
  <c r="CH100" i="39" s="1"/>
  <c r="CA92" i="39"/>
  <c r="CH92" i="39" s="1"/>
  <c r="CA84" i="39"/>
  <c r="CH84" i="39" s="1"/>
  <c r="CA76" i="39"/>
  <c r="CH76" i="39" s="1"/>
  <c r="CA68" i="39"/>
  <c r="CH68" i="39" s="1"/>
  <c r="CA60" i="39"/>
  <c r="CH60" i="39" s="1"/>
  <c r="CA52" i="39"/>
  <c r="CH52" i="39" s="1"/>
  <c r="CA44" i="39"/>
  <c r="CH44" i="39" s="1"/>
  <c r="CA36" i="39"/>
  <c r="CH36" i="39" s="1"/>
  <c r="CA28" i="39"/>
  <c r="CH28" i="39" s="1"/>
  <c r="CA20" i="39"/>
  <c r="CH20" i="39" s="1"/>
  <c r="CA12" i="39"/>
  <c r="CH12" i="39" s="1"/>
  <c r="CA179" i="39"/>
  <c r="CH179" i="39" s="1"/>
  <c r="CA171" i="39"/>
  <c r="CH171" i="39" s="1"/>
  <c r="CA163" i="39"/>
  <c r="CH163" i="39" s="1"/>
  <c r="CA155" i="39"/>
  <c r="CH155" i="39" s="1"/>
  <c r="CA147" i="39"/>
  <c r="CH147" i="39" s="1"/>
  <c r="CA139" i="39"/>
  <c r="CH139" i="39" s="1"/>
  <c r="CA131" i="39"/>
  <c r="CH131" i="39" s="1"/>
  <c r="CA123" i="39"/>
  <c r="CH123" i="39" s="1"/>
  <c r="CA115" i="39"/>
  <c r="CH115" i="39" s="1"/>
  <c r="CA107" i="39"/>
  <c r="CH107" i="39" s="1"/>
  <c r="CA99" i="39"/>
  <c r="CH99" i="39" s="1"/>
  <c r="CA91" i="39"/>
  <c r="CH91" i="39" s="1"/>
  <c r="CA83" i="39"/>
  <c r="CH83" i="39" s="1"/>
  <c r="CA75" i="39"/>
  <c r="CH75" i="39" s="1"/>
  <c r="CA67" i="39"/>
  <c r="CH67" i="39" s="1"/>
  <c r="CA59" i="39"/>
  <c r="CH59" i="39" s="1"/>
  <c r="CA51" i="39"/>
  <c r="CH51" i="39" s="1"/>
  <c r="CA43" i="39"/>
  <c r="CH43" i="39" s="1"/>
  <c r="CA35" i="39"/>
  <c r="CH35" i="39" s="1"/>
  <c r="CA27" i="39"/>
  <c r="CH27" i="39" s="1"/>
  <c r="CA19" i="39"/>
  <c r="CH19" i="39" s="1"/>
  <c r="CA11" i="39"/>
  <c r="CH11" i="39" s="1"/>
  <c r="CA178" i="39"/>
  <c r="CH178" i="39" s="1"/>
  <c r="CA170" i="39"/>
  <c r="CH170" i="39" s="1"/>
  <c r="CA162" i="39"/>
  <c r="CH162" i="39" s="1"/>
  <c r="CA154" i="39"/>
  <c r="CH154" i="39" s="1"/>
  <c r="CA146" i="39"/>
  <c r="CH146" i="39" s="1"/>
  <c r="CA138" i="39"/>
  <c r="CH138" i="39" s="1"/>
  <c r="CA130" i="39"/>
  <c r="CH130" i="39" s="1"/>
  <c r="CA122" i="39"/>
  <c r="CH122" i="39" s="1"/>
  <c r="CA114" i="39"/>
  <c r="CH114" i="39" s="1"/>
  <c r="CA106" i="39"/>
  <c r="CH106" i="39" s="1"/>
  <c r="CA98" i="39"/>
  <c r="CH98" i="39" s="1"/>
  <c r="CA90" i="39"/>
  <c r="CH90" i="39" s="1"/>
  <c r="CA82" i="39"/>
  <c r="CH82" i="39" s="1"/>
  <c r="CA74" i="39"/>
  <c r="CH74" i="39" s="1"/>
  <c r="CA66" i="39"/>
  <c r="CH66" i="39" s="1"/>
  <c r="CA58" i="39"/>
  <c r="CH58" i="39" s="1"/>
  <c r="CA50" i="39"/>
  <c r="CH50" i="39" s="1"/>
  <c r="CA42" i="39"/>
  <c r="CH42" i="39" s="1"/>
  <c r="CA34" i="39"/>
  <c r="CH34" i="39" s="1"/>
  <c r="CA26" i="39"/>
  <c r="CH26" i="39" s="1"/>
  <c r="CA18" i="39"/>
  <c r="CH18" i="39" s="1"/>
  <c r="CA177" i="39"/>
  <c r="CH177" i="39" s="1"/>
  <c r="CA113" i="39"/>
  <c r="CH113" i="39" s="1"/>
  <c r="CA49" i="39"/>
  <c r="CH49" i="39" s="1"/>
  <c r="CA73" i="39"/>
  <c r="CH73" i="39" s="1"/>
  <c r="CA169" i="39"/>
  <c r="CH169" i="39" s="1"/>
  <c r="CA105" i="39"/>
  <c r="CH105" i="39" s="1"/>
  <c r="CA41" i="39"/>
  <c r="CH41" i="39" s="1"/>
  <c r="CA161" i="39"/>
  <c r="CH161" i="39" s="1"/>
  <c r="CA97" i="39"/>
  <c r="CH97" i="39" s="1"/>
  <c r="CA33" i="39"/>
  <c r="CH33" i="39" s="1"/>
  <c r="CA81" i="39"/>
  <c r="CH81" i="39" s="1"/>
  <c r="CA153" i="39"/>
  <c r="CH153" i="39" s="1"/>
  <c r="CA89" i="39"/>
  <c r="CH89" i="39" s="1"/>
  <c r="CA25" i="39"/>
  <c r="CH25" i="39" s="1"/>
  <c r="CA145" i="39"/>
  <c r="CH145" i="39" s="1"/>
  <c r="CA129" i="39"/>
  <c r="CH129" i="39" s="1"/>
  <c r="CA65" i="39"/>
  <c r="CH65" i="39" s="1"/>
  <c r="CA121" i="39"/>
  <c r="CH121" i="39" s="1"/>
  <c r="CA57" i="39"/>
  <c r="CH57" i="39" s="1"/>
  <c r="CA17" i="39"/>
  <c r="CH17" i="39" s="1"/>
  <c r="CA137" i="39"/>
  <c r="CH137" i="39" s="1"/>
  <c r="AW183" i="39"/>
  <c r="BD183" i="39" s="1"/>
  <c r="AW175" i="39"/>
  <c r="BD175" i="39" s="1"/>
  <c r="AW167" i="39"/>
  <c r="BD167" i="39" s="1"/>
  <c r="AW159" i="39"/>
  <c r="BD159" i="39" s="1"/>
  <c r="AW151" i="39"/>
  <c r="BD151" i="39" s="1"/>
  <c r="AW143" i="39"/>
  <c r="BD143" i="39" s="1"/>
  <c r="AW135" i="39"/>
  <c r="BD135" i="39" s="1"/>
  <c r="AW127" i="39"/>
  <c r="BD127" i="39" s="1"/>
  <c r="AW119" i="39"/>
  <c r="BD119" i="39" s="1"/>
  <c r="AW111" i="39"/>
  <c r="BD111" i="39" s="1"/>
  <c r="AW103" i="39"/>
  <c r="BD103" i="39" s="1"/>
  <c r="AW95" i="39"/>
  <c r="BD95" i="39" s="1"/>
  <c r="AW87" i="39"/>
  <c r="BD87" i="39" s="1"/>
  <c r="AW79" i="39"/>
  <c r="BD79" i="39" s="1"/>
  <c r="AW71" i="39"/>
  <c r="BD71" i="39" s="1"/>
  <c r="AW63" i="39"/>
  <c r="BD63" i="39" s="1"/>
  <c r="AW55" i="39"/>
  <c r="BD55" i="39" s="1"/>
  <c r="AW47" i="39"/>
  <c r="BD47" i="39" s="1"/>
  <c r="AW39" i="39"/>
  <c r="BD39" i="39" s="1"/>
  <c r="AW31" i="39"/>
  <c r="BD31" i="39" s="1"/>
  <c r="AW23" i="39"/>
  <c r="BD23" i="39" s="1"/>
  <c r="AW15" i="39"/>
  <c r="BD15" i="39" s="1"/>
  <c r="AW136" i="39"/>
  <c r="BD136" i="39" s="1"/>
  <c r="AW80" i="39"/>
  <c r="BD80" i="39" s="1"/>
  <c r="AW16" i="39"/>
  <c r="BD16" i="39" s="1"/>
  <c r="AW182" i="39"/>
  <c r="BD182" i="39" s="1"/>
  <c r="AW174" i="39"/>
  <c r="BD174" i="39" s="1"/>
  <c r="AW166" i="39"/>
  <c r="BD166" i="39" s="1"/>
  <c r="AW158" i="39"/>
  <c r="BD158" i="39" s="1"/>
  <c r="AW150" i="39"/>
  <c r="BD150" i="39" s="1"/>
  <c r="AW142" i="39"/>
  <c r="BD142" i="39" s="1"/>
  <c r="AW134" i="39"/>
  <c r="BD134" i="39" s="1"/>
  <c r="AW126" i="39"/>
  <c r="BD126" i="39" s="1"/>
  <c r="AW118" i="39"/>
  <c r="BD118" i="39" s="1"/>
  <c r="AW110" i="39"/>
  <c r="BD110" i="39" s="1"/>
  <c r="AW102" i="39"/>
  <c r="BD102" i="39" s="1"/>
  <c r="AW94" i="39"/>
  <c r="BD94" i="39" s="1"/>
  <c r="AW86" i="39"/>
  <c r="BD86" i="39" s="1"/>
  <c r="AW78" i="39"/>
  <c r="BD78" i="39" s="1"/>
  <c r="AW70" i="39"/>
  <c r="BD70" i="39" s="1"/>
  <c r="AW62" i="39"/>
  <c r="BD62" i="39" s="1"/>
  <c r="AW54" i="39"/>
  <c r="BD54" i="39" s="1"/>
  <c r="AW46" i="39"/>
  <c r="BD46" i="39" s="1"/>
  <c r="AW38" i="39"/>
  <c r="BD38" i="39" s="1"/>
  <c r="AW30" i="39"/>
  <c r="BD30" i="39" s="1"/>
  <c r="AW22" i="39"/>
  <c r="BD22" i="39" s="1"/>
  <c r="AW14" i="39"/>
  <c r="BD14" i="39" s="1"/>
  <c r="AW128" i="39"/>
  <c r="BD128" i="39" s="1"/>
  <c r="AW120" i="39"/>
  <c r="BD120" i="39" s="1"/>
  <c r="AW112" i="39"/>
  <c r="BD112" i="39" s="1"/>
  <c r="AW96" i="39"/>
  <c r="BD96" i="39" s="1"/>
  <c r="AW88" i="39"/>
  <c r="BD88" i="39" s="1"/>
  <c r="AW56" i="39"/>
  <c r="BD56" i="39" s="1"/>
  <c r="AW24" i="39"/>
  <c r="BD24" i="39" s="1"/>
  <c r="AW181" i="39"/>
  <c r="BD181" i="39" s="1"/>
  <c r="AW173" i="39"/>
  <c r="BD173" i="39" s="1"/>
  <c r="AW165" i="39"/>
  <c r="BD165" i="39" s="1"/>
  <c r="AW157" i="39"/>
  <c r="BD157" i="39" s="1"/>
  <c r="AW149" i="39"/>
  <c r="BD149" i="39" s="1"/>
  <c r="AW141" i="39"/>
  <c r="BD141" i="39" s="1"/>
  <c r="AW133" i="39"/>
  <c r="BD133" i="39" s="1"/>
  <c r="AW125" i="39"/>
  <c r="BD125" i="39" s="1"/>
  <c r="AW117" i="39"/>
  <c r="BD117" i="39" s="1"/>
  <c r="AW109" i="39"/>
  <c r="BD109" i="39" s="1"/>
  <c r="AW101" i="39"/>
  <c r="BD101" i="39" s="1"/>
  <c r="AW93" i="39"/>
  <c r="BD93" i="39" s="1"/>
  <c r="AW85" i="39"/>
  <c r="BD85" i="39" s="1"/>
  <c r="AW77" i="39"/>
  <c r="BD77" i="39" s="1"/>
  <c r="AW69" i="39"/>
  <c r="BD69" i="39" s="1"/>
  <c r="AW61" i="39"/>
  <c r="BD61" i="39" s="1"/>
  <c r="AW53" i="39"/>
  <c r="BD53" i="39" s="1"/>
  <c r="AW45" i="39"/>
  <c r="BD45" i="39" s="1"/>
  <c r="AW37" i="39"/>
  <c r="BD37" i="39" s="1"/>
  <c r="AW29" i="39"/>
  <c r="BD29" i="39" s="1"/>
  <c r="AW21" i="39"/>
  <c r="BD21" i="39" s="1"/>
  <c r="AW13" i="39"/>
  <c r="BD13" i="39" s="1"/>
  <c r="AW144" i="39"/>
  <c r="BD144" i="39" s="1"/>
  <c r="AW64" i="39"/>
  <c r="BD64" i="39" s="1"/>
  <c r="AW180" i="39"/>
  <c r="BD180" i="39" s="1"/>
  <c r="AW172" i="39"/>
  <c r="BD172" i="39" s="1"/>
  <c r="AW164" i="39"/>
  <c r="BD164" i="39" s="1"/>
  <c r="AW156" i="39"/>
  <c r="BD156" i="39" s="1"/>
  <c r="AW148" i="39"/>
  <c r="BD148" i="39" s="1"/>
  <c r="AW140" i="39"/>
  <c r="BD140" i="39" s="1"/>
  <c r="AW132" i="39"/>
  <c r="BD132" i="39" s="1"/>
  <c r="AW124" i="39"/>
  <c r="BD124" i="39" s="1"/>
  <c r="AW116" i="39"/>
  <c r="BD116" i="39" s="1"/>
  <c r="AW108" i="39"/>
  <c r="BD108" i="39" s="1"/>
  <c r="AW100" i="39"/>
  <c r="BD100" i="39" s="1"/>
  <c r="AW92" i="39"/>
  <c r="BD92" i="39" s="1"/>
  <c r="AW84" i="39"/>
  <c r="BD84" i="39" s="1"/>
  <c r="AW76" i="39"/>
  <c r="BD76" i="39" s="1"/>
  <c r="AW68" i="39"/>
  <c r="BD68" i="39" s="1"/>
  <c r="AW60" i="39"/>
  <c r="BD60" i="39" s="1"/>
  <c r="AW52" i="39"/>
  <c r="BD52" i="39" s="1"/>
  <c r="AW44" i="39"/>
  <c r="BD44" i="39" s="1"/>
  <c r="AW36" i="39"/>
  <c r="BD36" i="39" s="1"/>
  <c r="AW28" i="39"/>
  <c r="BD28" i="39" s="1"/>
  <c r="AW20" i="39"/>
  <c r="BD20" i="39" s="1"/>
  <c r="AW12" i="39"/>
  <c r="BD12" i="39" s="1"/>
  <c r="AW152" i="39"/>
  <c r="BD152" i="39" s="1"/>
  <c r="AW104" i="39"/>
  <c r="BD104" i="39" s="1"/>
  <c r="AW72" i="39"/>
  <c r="BD72" i="39" s="1"/>
  <c r="AW40" i="39"/>
  <c r="BD40" i="39" s="1"/>
  <c r="AW179" i="39"/>
  <c r="BD179" i="39" s="1"/>
  <c r="AW171" i="39"/>
  <c r="BD171" i="39" s="1"/>
  <c r="AW163" i="39"/>
  <c r="BD163" i="39" s="1"/>
  <c r="AW155" i="39"/>
  <c r="BD155" i="39" s="1"/>
  <c r="AW147" i="39"/>
  <c r="BD147" i="39" s="1"/>
  <c r="AW139" i="39"/>
  <c r="BD139" i="39" s="1"/>
  <c r="AW131" i="39"/>
  <c r="BD131" i="39" s="1"/>
  <c r="AW123" i="39"/>
  <c r="BD123" i="39" s="1"/>
  <c r="AW115" i="39"/>
  <c r="BD115" i="39" s="1"/>
  <c r="AW107" i="39"/>
  <c r="BD107" i="39" s="1"/>
  <c r="AW99" i="39"/>
  <c r="BD99" i="39" s="1"/>
  <c r="AW91" i="39"/>
  <c r="BD91" i="39" s="1"/>
  <c r="AW83" i="39"/>
  <c r="BD83" i="39" s="1"/>
  <c r="AW75" i="39"/>
  <c r="BD75" i="39" s="1"/>
  <c r="AW67" i="39"/>
  <c r="BD67" i="39" s="1"/>
  <c r="AW59" i="39"/>
  <c r="BD59" i="39" s="1"/>
  <c r="AW51" i="39"/>
  <c r="BD51" i="39" s="1"/>
  <c r="AW43" i="39"/>
  <c r="BD43" i="39" s="1"/>
  <c r="AW35" i="39"/>
  <c r="BD35" i="39" s="1"/>
  <c r="AW27" i="39"/>
  <c r="BD27" i="39" s="1"/>
  <c r="AW19" i="39"/>
  <c r="BD19" i="39" s="1"/>
  <c r="AW11" i="39"/>
  <c r="BD11" i="39" s="1"/>
  <c r="AW160" i="39"/>
  <c r="BD160" i="39" s="1"/>
  <c r="AW48" i="39"/>
  <c r="BD48" i="39" s="1"/>
  <c r="AW178" i="39"/>
  <c r="BD178" i="39" s="1"/>
  <c r="AW170" i="39"/>
  <c r="BD170" i="39" s="1"/>
  <c r="AW162" i="39"/>
  <c r="BD162" i="39" s="1"/>
  <c r="AW154" i="39"/>
  <c r="BD154" i="39" s="1"/>
  <c r="AW146" i="39"/>
  <c r="BD146" i="39" s="1"/>
  <c r="AW138" i="39"/>
  <c r="BD138" i="39" s="1"/>
  <c r="AW130" i="39"/>
  <c r="BD130" i="39" s="1"/>
  <c r="AW122" i="39"/>
  <c r="BD122" i="39" s="1"/>
  <c r="AW114" i="39"/>
  <c r="BD114" i="39" s="1"/>
  <c r="AW106" i="39"/>
  <c r="BD106" i="39" s="1"/>
  <c r="AW98" i="39"/>
  <c r="BD98" i="39" s="1"/>
  <c r="AW90" i="39"/>
  <c r="BD90" i="39" s="1"/>
  <c r="AW82" i="39"/>
  <c r="BD82" i="39" s="1"/>
  <c r="AW74" i="39"/>
  <c r="BD74" i="39" s="1"/>
  <c r="AW66" i="39"/>
  <c r="BD66" i="39" s="1"/>
  <c r="AW58" i="39"/>
  <c r="BD58" i="39" s="1"/>
  <c r="AW50" i="39"/>
  <c r="BD50" i="39" s="1"/>
  <c r="AW42" i="39"/>
  <c r="BD42" i="39" s="1"/>
  <c r="AW34" i="39"/>
  <c r="BD34" i="39" s="1"/>
  <c r="AW26" i="39"/>
  <c r="BD26" i="39" s="1"/>
  <c r="AW18" i="39"/>
  <c r="BD18" i="39" s="1"/>
  <c r="AW168" i="39"/>
  <c r="BD168" i="39" s="1"/>
  <c r="AW177" i="39"/>
  <c r="BD177" i="39" s="1"/>
  <c r="AW169" i="39"/>
  <c r="BD169" i="39" s="1"/>
  <c r="AW161" i="39"/>
  <c r="BD161" i="39" s="1"/>
  <c r="AW153" i="39"/>
  <c r="BD153" i="39" s="1"/>
  <c r="AW145" i="39"/>
  <c r="BD145" i="39" s="1"/>
  <c r="AW137" i="39"/>
  <c r="BD137" i="39" s="1"/>
  <c r="AW129" i="39"/>
  <c r="BD129" i="39" s="1"/>
  <c r="AW121" i="39"/>
  <c r="BD121" i="39" s="1"/>
  <c r="AW113" i="39"/>
  <c r="BD113" i="39" s="1"/>
  <c r="AW105" i="39"/>
  <c r="BD105" i="39" s="1"/>
  <c r="AW97" i="39"/>
  <c r="BD97" i="39" s="1"/>
  <c r="AW89" i="39"/>
  <c r="BD89" i="39" s="1"/>
  <c r="AW81" i="39"/>
  <c r="BD81" i="39" s="1"/>
  <c r="AW73" i="39"/>
  <c r="BD73" i="39" s="1"/>
  <c r="AW65" i="39"/>
  <c r="BD65" i="39" s="1"/>
  <c r="AW57" i="39"/>
  <c r="BD57" i="39" s="1"/>
  <c r="AW49" i="39"/>
  <c r="BD49" i="39" s="1"/>
  <c r="AW41" i="39"/>
  <c r="BD41" i="39" s="1"/>
  <c r="AW33" i="39"/>
  <c r="BD33" i="39" s="1"/>
  <c r="AW25" i="39"/>
  <c r="BD25" i="39" s="1"/>
  <c r="AW17" i="39"/>
  <c r="BD17" i="39" s="1"/>
  <c r="AW176" i="39"/>
  <c r="BD176" i="39" s="1"/>
  <c r="AW32" i="39"/>
  <c r="BD32" i="39" s="1"/>
  <c r="AH180" i="39"/>
  <c r="AO180" i="39" s="1"/>
  <c r="AH172" i="39"/>
  <c r="AO172" i="39" s="1"/>
  <c r="AH164" i="39"/>
  <c r="AO164" i="39" s="1"/>
  <c r="AH156" i="39"/>
  <c r="AO156" i="39" s="1"/>
  <c r="AH148" i="39"/>
  <c r="AO148" i="39" s="1"/>
  <c r="AH140" i="39"/>
  <c r="AO140" i="39" s="1"/>
  <c r="AH132" i="39"/>
  <c r="AO132" i="39" s="1"/>
  <c r="AH124" i="39"/>
  <c r="AO124" i="39" s="1"/>
  <c r="AH116" i="39"/>
  <c r="AO116" i="39" s="1"/>
  <c r="AH108" i="39"/>
  <c r="AO108" i="39" s="1"/>
  <c r="AH100" i="39"/>
  <c r="AO100" i="39" s="1"/>
  <c r="AH92" i="39"/>
  <c r="AO92" i="39" s="1"/>
  <c r="AH84" i="39"/>
  <c r="AO84" i="39" s="1"/>
  <c r="AH76" i="39"/>
  <c r="AO76" i="39" s="1"/>
  <c r="AH68" i="39"/>
  <c r="AO68" i="39" s="1"/>
  <c r="AH60" i="39"/>
  <c r="AO60" i="39" s="1"/>
  <c r="AH52" i="39"/>
  <c r="AO52" i="39" s="1"/>
  <c r="AH44" i="39"/>
  <c r="AO44" i="39" s="1"/>
  <c r="AH36" i="39"/>
  <c r="AO36" i="39" s="1"/>
  <c r="AH28" i="39"/>
  <c r="AO28" i="39" s="1"/>
  <c r="AH20" i="39"/>
  <c r="AO20" i="39" s="1"/>
  <c r="AH12" i="39"/>
  <c r="AO12" i="39" s="1"/>
  <c r="AH141" i="39"/>
  <c r="AO141" i="39" s="1"/>
  <c r="AH77" i="39"/>
  <c r="AO77" i="39" s="1"/>
  <c r="AH37" i="39"/>
  <c r="AO37" i="39" s="1"/>
  <c r="AH179" i="39"/>
  <c r="AO179" i="39" s="1"/>
  <c r="AH171" i="39"/>
  <c r="AO171" i="39" s="1"/>
  <c r="AH163" i="39"/>
  <c r="AO163" i="39" s="1"/>
  <c r="AH155" i="39"/>
  <c r="AO155" i="39" s="1"/>
  <c r="AH147" i="39"/>
  <c r="AO147" i="39" s="1"/>
  <c r="AH139" i="39"/>
  <c r="AO139" i="39" s="1"/>
  <c r="AH131" i="39"/>
  <c r="AO131" i="39" s="1"/>
  <c r="AH123" i="39"/>
  <c r="AO123" i="39" s="1"/>
  <c r="AH115" i="39"/>
  <c r="AO115" i="39" s="1"/>
  <c r="AH107" i="39"/>
  <c r="AO107" i="39" s="1"/>
  <c r="AH99" i="39"/>
  <c r="AO99" i="39" s="1"/>
  <c r="AH91" i="39"/>
  <c r="AO91" i="39" s="1"/>
  <c r="AH83" i="39"/>
  <c r="AO83" i="39" s="1"/>
  <c r="AH75" i="39"/>
  <c r="AO75" i="39" s="1"/>
  <c r="AH67" i="39"/>
  <c r="AO67" i="39" s="1"/>
  <c r="AH59" i="39"/>
  <c r="AO59" i="39" s="1"/>
  <c r="AH51" i="39"/>
  <c r="AO51" i="39" s="1"/>
  <c r="AH43" i="39"/>
  <c r="AO43" i="39" s="1"/>
  <c r="AH35" i="39"/>
  <c r="AO35" i="39" s="1"/>
  <c r="AH27" i="39"/>
  <c r="AO27" i="39" s="1"/>
  <c r="AH19" i="39"/>
  <c r="AO19" i="39" s="1"/>
  <c r="AH11" i="39"/>
  <c r="AO11" i="39" s="1"/>
  <c r="AH165" i="39"/>
  <c r="AO165" i="39" s="1"/>
  <c r="AH125" i="39"/>
  <c r="AO125" i="39" s="1"/>
  <c r="AH101" i="39"/>
  <c r="AO101" i="39" s="1"/>
  <c r="AH53" i="39"/>
  <c r="AO53" i="39" s="1"/>
  <c r="AH178" i="39"/>
  <c r="AO178" i="39" s="1"/>
  <c r="AH170" i="39"/>
  <c r="AO170" i="39" s="1"/>
  <c r="AH162" i="39"/>
  <c r="AO162" i="39" s="1"/>
  <c r="AH154" i="39"/>
  <c r="AO154" i="39" s="1"/>
  <c r="AH146" i="39"/>
  <c r="AO146" i="39" s="1"/>
  <c r="AH138" i="39"/>
  <c r="AO138" i="39" s="1"/>
  <c r="AH130" i="39"/>
  <c r="AO130" i="39" s="1"/>
  <c r="AH122" i="39"/>
  <c r="AO122" i="39" s="1"/>
  <c r="AH114" i="39"/>
  <c r="AO114" i="39" s="1"/>
  <c r="AH106" i="39"/>
  <c r="AO106" i="39" s="1"/>
  <c r="AH98" i="39"/>
  <c r="AO98" i="39" s="1"/>
  <c r="AH90" i="39"/>
  <c r="AO90" i="39" s="1"/>
  <c r="AH82" i="39"/>
  <c r="AO82" i="39" s="1"/>
  <c r="AH74" i="39"/>
  <c r="AO74" i="39" s="1"/>
  <c r="AH66" i="39"/>
  <c r="AO66" i="39" s="1"/>
  <c r="AH58" i="39"/>
  <c r="AO58" i="39" s="1"/>
  <c r="AH50" i="39"/>
  <c r="AO50" i="39" s="1"/>
  <c r="AH42" i="39"/>
  <c r="AO42" i="39" s="1"/>
  <c r="AH34" i="39"/>
  <c r="AO34" i="39" s="1"/>
  <c r="AH26" i="39"/>
  <c r="AO26" i="39" s="1"/>
  <c r="AH18" i="39"/>
  <c r="AO18" i="39" s="1"/>
  <c r="AH173" i="39"/>
  <c r="AO173" i="39" s="1"/>
  <c r="AH117" i="39"/>
  <c r="AO117" i="39" s="1"/>
  <c r="AH61" i="39"/>
  <c r="AO61" i="39" s="1"/>
  <c r="AH13" i="39"/>
  <c r="AO13" i="39" s="1"/>
  <c r="AH177" i="39"/>
  <c r="AO177" i="39" s="1"/>
  <c r="AH169" i="39"/>
  <c r="AO169" i="39" s="1"/>
  <c r="AH161" i="39"/>
  <c r="AO161" i="39" s="1"/>
  <c r="AH153" i="39"/>
  <c r="AO153" i="39" s="1"/>
  <c r="AH145" i="39"/>
  <c r="AO145" i="39" s="1"/>
  <c r="AH137" i="39"/>
  <c r="AO137" i="39" s="1"/>
  <c r="AH129" i="39"/>
  <c r="AO129" i="39" s="1"/>
  <c r="AH121" i="39"/>
  <c r="AO121" i="39" s="1"/>
  <c r="AH113" i="39"/>
  <c r="AO113" i="39" s="1"/>
  <c r="AH105" i="39"/>
  <c r="AO105" i="39" s="1"/>
  <c r="AH97" i="39"/>
  <c r="AO97" i="39" s="1"/>
  <c r="AH89" i="39"/>
  <c r="AO89" i="39" s="1"/>
  <c r="AH81" i="39"/>
  <c r="AO81" i="39" s="1"/>
  <c r="AH73" i="39"/>
  <c r="AO73" i="39" s="1"/>
  <c r="AH65" i="39"/>
  <c r="AO65" i="39" s="1"/>
  <c r="AH57" i="39"/>
  <c r="AO57" i="39" s="1"/>
  <c r="AH49" i="39"/>
  <c r="AO49" i="39" s="1"/>
  <c r="AH41" i="39"/>
  <c r="AO41" i="39" s="1"/>
  <c r="AH33" i="39"/>
  <c r="AO33" i="39" s="1"/>
  <c r="AH25" i="39"/>
  <c r="AO25" i="39" s="1"/>
  <c r="AH17" i="39"/>
  <c r="AO17" i="39" s="1"/>
  <c r="AH181" i="39"/>
  <c r="AO181" i="39" s="1"/>
  <c r="AH157" i="39"/>
  <c r="AO157" i="39" s="1"/>
  <c r="AH109" i="39"/>
  <c r="AO109" i="39" s="1"/>
  <c r="AH85" i="39"/>
  <c r="AO85" i="39" s="1"/>
  <c r="AH45" i="39"/>
  <c r="AO45" i="39" s="1"/>
  <c r="AH176" i="39"/>
  <c r="AO176" i="39" s="1"/>
  <c r="AH168" i="39"/>
  <c r="AO168" i="39" s="1"/>
  <c r="AH160" i="39"/>
  <c r="AO160" i="39" s="1"/>
  <c r="AH152" i="39"/>
  <c r="AO152" i="39" s="1"/>
  <c r="AH144" i="39"/>
  <c r="AO144" i="39" s="1"/>
  <c r="AH136" i="39"/>
  <c r="AO136" i="39" s="1"/>
  <c r="AH128" i="39"/>
  <c r="AO128" i="39" s="1"/>
  <c r="AH120" i="39"/>
  <c r="AO120" i="39" s="1"/>
  <c r="AH112" i="39"/>
  <c r="AO112" i="39" s="1"/>
  <c r="AH104" i="39"/>
  <c r="AO104" i="39" s="1"/>
  <c r="AH96" i="39"/>
  <c r="AO96" i="39" s="1"/>
  <c r="AH88" i="39"/>
  <c r="AO88" i="39" s="1"/>
  <c r="AH80" i="39"/>
  <c r="AO80" i="39" s="1"/>
  <c r="AH72" i="39"/>
  <c r="AO72" i="39" s="1"/>
  <c r="AH64" i="39"/>
  <c r="AO64" i="39" s="1"/>
  <c r="AH56" i="39"/>
  <c r="AO56" i="39" s="1"/>
  <c r="AH48" i="39"/>
  <c r="AO48" i="39" s="1"/>
  <c r="AH40" i="39"/>
  <c r="AO40" i="39" s="1"/>
  <c r="AH32" i="39"/>
  <c r="AO32" i="39" s="1"/>
  <c r="AH24" i="39"/>
  <c r="AO24" i="39" s="1"/>
  <c r="AH16" i="39"/>
  <c r="AO16" i="39" s="1"/>
  <c r="AH149" i="39"/>
  <c r="AO149" i="39" s="1"/>
  <c r="AH93" i="39"/>
  <c r="AO93" i="39" s="1"/>
  <c r="AH29" i="39"/>
  <c r="AO29" i="39" s="1"/>
  <c r="AH183" i="39"/>
  <c r="AO183" i="39" s="1"/>
  <c r="AH175" i="39"/>
  <c r="AO175" i="39" s="1"/>
  <c r="AH167" i="39"/>
  <c r="AO167" i="39" s="1"/>
  <c r="AH159" i="39"/>
  <c r="AO159" i="39" s="1"/>
  <c r="AH151" i="39"/>
  <c r="AO151" i="39" s="1"/>
  <c r="AH143" i="39"/>
  <c r="AO143" i="39" s="1"/>
  <c r="AH135" i="39"/>
  <c r="AO135" i="39" s="1"/>
  <c r="AH127" i="39"/>
  <c r="AO127" i="39" s="1"/>
  <c r="AH119" i="39"/>
  <c r="AO119" i="39" s="1"/>
  <c r="AH111" i="39"/>
  <c r="AO111" i="39" s="1"/>
  <c r="AH103" i="39"/>
  <c r="AO103" i="39" s="1"/>
  <c r="AH95" i="39"/>
  <c r="AO95" i="39" s="1"/>
  <c r="AH87" i="39"/>
  <c r="AO87" i="39" s="1"/>
  <c r="AH79" i="39"/>
  <c r="AO79" i="39" s="1"/>
  <c r="AH71" i="39"/>
  <c r="AO71" i="39" s="1"/>
  <c r="AH63" i="39"/>
  <c r="AO63" i="39" s="1"/>
  <c r="AH55" i="39"/>
  <c r="AO55" i="39" s="1"/>
  <c r="AH47" i="39"/>
  <c r="AO47" i="39" s="1"/>
  <c r="AH39" i="39"/>
  <c r="AO39" i="39" s="1"/>
  <c r="AH31" i="39"/>
  <c r="AO31" i="39" s="1"/>
  <c r="AH23" i="39"/>
  <c r="AO23" i="39" s="1"/>
  <c r="AH15" i="39"/>
  <c r="AO15" i="39" s="1"/>
  <c r="AH182" i="39"/>
  <c r="AO182" i="39" s="1"/>
  <c r="AH174" i="39"/>
  <c r="AO174" i="39" s="1"/>
  <c r="AH166" i="39"/>
  <c r="AO166" i="39" s="1"/>
  <c r="AH158" i="39"/>
  <c r="AO158" i="39" s="1"/>
  <c r="AH150" i="39"/>
  <c r="AO150" i="39" s="1"/>
  <c r="AH142" i="39"/>
  <c r="AO142" i="39" s="1"/>
  <c r="AH134" i="39"/>
  <c r="AO134" i="39" s="1"/>
  <c r="AH126" i="39"/>
  <c r="AO126" i="39" s="1"/>
  <c r="AH118" i="39"/>
  <c r="AO118" i="39" s="1"/>
  <c r="AH110" i="39"/>
  <c r="AO110" i="39" s="1"/>
  <c r="AH102" i="39"/>
  <c r="AO102" i="39" s="1"/>
  <c r="AH94" i="39"/>
  <c r="AO94" i="39" s="1"/>
  <c r="AH86" i="39"/>
  <c r="AO86" i="39" s="1"/>
  <c r="AH78" i="39"/>
  <c r="AO78" i="39" s="1"/>
  <c r="AH70" i="39"/>
  <c r="AO70" i="39" s="1"/>
  <c r="AH62" i="39"/>
  <c r="AO62" i="39" s="1"/>
  <c r="AH54" i="39"/>
  <c r="AO54" i="39" s="1"/>
  <c r="AH46" i="39"/>
  <c r="AO46" i="39" s="1"/>
  <c r="AH38" i="39"/>
  <c r="AO38" i="39" s="1"/>
  <c r="AH30" i="39"/>
  <c r="AO30" i="39" s="1"/>
  <c r="AH22" i="39"/>
  <c r="AO22" i="39" s="1"/>
  <c r="AH14" i="39"/>
  <c r="AO14" i="39" s="1"/>
  <c r="AH133" i="39"/>
  <c r="AO133" i="39" s="1"/>
  <c r="AH69" i="39"/>
  <c r="AO69" i="39" s="1"/>
  <c r="AH21" i="39"/>
  <c r="AO21" i="39" s="1"/>
  <c r="BG149" i="39"/>
  <c r="BO168" i="39"/>
  <c r="CK149" i="39"/>
  <c r="AZ145" i="39"/>
  <c r="BG165" i="39"/>
  <c r="V154" i="39"/>
  <c r="AZ144" i="39"/>
  <c r="BG138" i="39"/>
  <c r="BV141" i="39"/>
  <c r="CK141" i="39"/>
  <c r="CD144" i="39"/>
  <c r="AK125" i="39"/>
  <c r="AR133" i="39"/>
  <c r="BO138" i="39"/>
  <c r="BG101" i="39"/>
  <c r="V145" i="39"/>
  <c r="AK153" i="39"/>
  <c r="AR154" i="39"/>
  <c r="AR168" i="39"/>
  <c r="AR153" i="39"/>
  <c r="AZ101" i="39"/>
  <c r="AZ141" i="39"/>
  <c r="AZ149" i="39"/>
  <c r="AZ165" i="39"/>
  <c r="BO125" i="39"/>
  <c r="BO141" i="39"/>
  <c r="BV144" i="39"/>
  <c r="CD149" i="39"/>
  <c r="CD153" i="39"/>
  <c r="CD141" i="39"/>
  <c r="AC125" i="39"/>
  <c r="AC146" i="39"/>
  <c r="AC149" i="39"/>
  <c r="AR145" i="39"/>
  <c r="AK133" i="39"/>
  <c r="AK145" i="39"/>
  <c r="AK168" i="39"/>
  <c r="AZ152" i="39"/>
  <c r="BG146" i="39"/>
  <c r="BG152" i="39"/>
  <c r="BV101" i="39"/>
  <c r="BV133" i="39"/>
  <c r="BV146" i="39"/>
  <c r="BV149" i="39"/>
  <c r="BV168" i="39"/>
  <c r="BV165" i="39"/>
  <c r="CD146" i="39"/>
  <c r="CK154" i="39"/>
  <c r="CK165" i="39"/>
  <c r="V125" i="39"/>
  <c r="V101" i="39"/>
  <c r="V168" i="39"/>
  <c r="AC152" i="39"/>
  <c r="AC144" i="39"/>
  <c r="AR101" i="39"/>
  <c r="AK165" i="39"/>
  <c r="AR138" i="39"/>
  <c r="BG125" i="39"/>
  <c r="BG133" i="39"/>
  <c r="BG153" i="39"/>
  <c r="BO144" i="39"/>
  <c r="BO153" i="39"/>
  <c r="BO149" i="39"/>
  <c r="CD138" i="39"/>
  <c r="CK101" i="39"/>
  <c r="CD165" i="39"/>
  <c r="CD168" i="39"/>
  <c r="CD154" i="39"/>
  <c r="AC133" i="39"/>
  <c r="V141" i="39"/>
  <c r="V153" i="39"/>
  <c r="V146" i="39"/>
  <c r="V152" i="39"/>
  <c r="AR149" i="39"/>
  <c r="AR146" i="39"/>
  <c r="BG144" i="39"/>
  <c r="AZ168" i="39"/>
  <c r="BO146" i="39"/>
  <c r="BO152" i="39"/>
  <c r="BV154" i="39"/>
  <c r="CD125" i="39"/>
  <c r="CD133" i="39"/>
  <c r="CK144" i="39"/>
  <c r="CK133" i="39"/>
  <c r="CK152" i="39"/>
  <c r="CK168" i="39"/>
  <c r="V138" i="39"/>
  <c r="V133" i="39"/>
  <c r="AC101" i="39"/>
  <c r="AC141" i="39"/>
  <c r="AC153" i="39"/>
  <c r="AK101" i="39"/>
  <c r="AR125" i="39"/>
  <c r="AK141" i="39"/>
  <c r="AK152" i="39"/>
  <c r="AK149" i="39"/>
  <c r="AK144" i="39"/>
  <c r="AZ125" i="39"/>
  <c r="AZ154" i="39"/>
  <c r="BG141" i="39"/>
  <c r="BG145" i="39"/>
  <c r="BO133" i="39"/>
  <c r="BO145" i="39"/>
  <c r="BV153" i="39"/>
  <c r="CD101" i="39"/>
  <c r="CK145" i="39"/>
  <c r="CK146" i="39"/>
  <c r="CD145" i="39"/>
  <c r="AC138" i="39"/>
  <c r="V144" i="39"/>
  <c r="AC154" i="39"/>
  <c r="AC145" i="39"/>
  <c r="AC168" i="39"/>
  <c r="AR165" i="39"/>
  <c r="AK154" i="39"/>
  <c r="AZ153" i="39"/>
  <c r="AZ146" i="39"/>
  <c r="BG154" i="39"/>
  <c r="BV152" i="39"/>
  <c r="CD152" i="39"/>
  <c r="CK138" i="39"/>
  <c r="AC165" i="39"/>
  <c r="V165" i="39"/>
  <c r="AK138" i="39"/>
  <c r="AZ138" i="39"/>
  <c r="BV125" i="39"/>
  <c r="BJ157" i="39"/>
  <c r="BK157" i="39" s="1"/>
  <c r="BR157" i="39" s="1"/>
  <c r="BJ154" i="39"/>
  <c r="BK154" i="39" s="1"/>
  <c r="BR154" i="39" s="1"/>
  <c r="BJ165" i="39"/>
  <c r="BJ168" i="39"/>
  <c r="BK168" i="39" s="1"/>
  <c r="BR168" i="39" s="1"/>
  <c r="BJ153" i="39"/>
  <c r="BK153" i="39" s="1"/>
  <c r="BR153" i="39" s="1"/>
  <c r="BJ152" i="39"/>
  <c r="BK152" i="39" s="1"/>
  <c r="BR152" i="39" s="1"/>
  <c r="BJ141" i="39"/>
  <c r="BK141" i="39" s="1"/>
  <c r="BR141" i="39" s="1"/>
  <c r="BJ140" i="39"/>
  <c r="BK140" i="39" s="1"/>
  <c r="BR140" i="39" s="1"/>
  <c r="BJ150" i="39"/>
  <c r="BK150" i="39" s="1"/>
  <c r="BR150" i="39" s="1"/>
  <c r="BJ147" i="39"/>
  <c r="BK147" i="39" s="1"/>
  <c r="BR147" i="39" s="1"/>
  <c r="BJ146" i="39"/>
  <c r="BJ144" i="39"/>
  <c r="BK144" i="39" s="1"/>
  <c r="BR144" i="39" s="1"/>
  <c r="BJ130" i="39"/>
  <c r="BK130" i="39" s="1"/>
  <c r="BR130" i="39" s="1"/>
  <c r="BJ139" i="39"/>
  <c r="BK139" i="39" s="1"/>
  <c r="BR139" i="39" s="1"/>
  <c r="BJ148" i="39"/>
  <c r="BK148" i="39" s="1"/>
  <c r="BR148" i="39" s="1"/>
  <c r="BJ132" i="39"/>
  <c r="BJ131" i="39"/>
  <c r="BJ136" i="39"/>
  <c r="BK136" i="39" s="1"/>
  <c r="BR136" i="39" s="1"/>
  <c r="BJ128" i="39"/>
  <c r="BK128" i="39" s="1"/>
  <c r="BR128" i="39" s="1"/>
  <c r="BJ123" i="39"/>
  <c r="BJ118" i="39"/>
  <c r="BJ133" i="39"/>
  <c r="BK133" i="39" s="1"/>
  <c r="BR133" i="39" s="1"/>
  <c r="BJ114" i="39"/>
  <c r="BK114" i="39" s="1"/>
  <c r="BR114" i="39" s="1"/>
  <c r="BJ124" i="39"/>
  <c r="BK124" i="39" s="1"/>
  <c r="BR124" i="39" s="1"/>
  <c r="BJ120" i="39"/>
  <c r="BK120" i="39" s="1"/>
  <c r="BR120" i="39" s="1"/>
  <c r="BJ138" i="39"/>
  <c r="BK138" i="39" s="1"/>
  <c r="BR138" i="39" s="1"/>
  <c r="BJ135" i="39"/>
  <c r="BJ129" i="39"/>
  <c r="BJ116" i="39"/>
  <c r="BK116" i="39" s="1"/>
  <c r="BR116" i="39" s="1"/>
  <c r="BJ145" i="39"/>
  <c r="BK145" i="39" s="1"/>
  <c r="BR145" i="39" s="1"/>
  <c r="BJ126" i="39"/>
  <c r="BK126" i="39" s="1"/>
  <c r="BR126" i="39" s="1"/>
  <c r="BJ122" i="39"/>
  <c r="BK122" i="39" s="1"/>
  <c r="BR122" i="39" s="1"/>
  <c r="BJ121" i="39"/>
  <c r="BK121" i="39" s="1"/>
  <c r="BR121" i="39" s="1"/>
  <c r="BJ117" i="39"/>
  <c r="BK117" i="39" s="1"/>
  <c r="BR117" i="39" s="1"/>
  <c r="BJ106" i="39"/>
  <c r="BK106" i="39" s="1"/>
  <c r="BR106" i="39" s="1"/>
  <c r="BJ127" i="39"/>
  <c r="BK127" i="39" s="1"/>
  <c r="BR127" i="39" s="1"/>
  <c r="BJ111" i="39"/>
  <c r="BK111" i="39" s="1"/>
  <c r="BR111" i="39" s="1"/>
  <c r="BJ109" i="39"/>
  <c r="BK109" i="39" s="1"/>
  <c r="BR109" i="39" s="1"/>
  <c r="BJ102" i="39"/>
  <c r="BJ94" i="39"/>
  <c r="BK94" i="39" s="1"/>
  <c r="BR94" i="39" s="1"/>
  <c r="BJ134" i="39"/>
  <c r="BK134" i="39" s="1"/>
  <c r="BR134" i="39" s="1"/>
  <c r="BJ115" i="39"/>
  <c r="BK115" i="39" s="1"/>
  <c r="BR115" i="39" s="1"/>
  <c r="BJ107" i="39"/>
  <c r="BK107" i="39" s="1"/>
  <c r="BR107" i="39" s="1"/>
  <c r="BJ101" i="39"/>
  <c r="BK101" i="39" s="1"/>
  <c r="BR101" i="39" s="1"/>
  <c r="BJ103" i="39"/>
  <c r="BJ95" i="39"/>
  <c r="BK95" i="39" s="1"/>
  <c r="BR95" i="39" s="1"/>
  <c r="BJ149" i="39"/>
  <c r="BK149" i="39" s="1"/>
  <c r="BR149" i="39" s="1"/>
  <c r="BJ125" i="39"/>
  <c r="BJ112" i="39"/>
  <c r="BK112" i="39" s="1"/>
  <c r="BR112" i="39" s="1"/>
  <c r="BJ105" i="39"/>
  <c r="BK105" i="39" s="1"/>
  <c r="BR105" i="39" s="1"/>
  <c r="BJ104" i="39"/>
  <c r="BK104" i="39" s="1"/>
  <c r="BR104" i="39" s="1"/>
  <c r="BJ113" i="39"/>
  <c r="BK113" i="39" s="1"/>
  <c r="BR113" i="39" s="1"/>
  <c r="BJ92" i="39"/>
  <c r="BK92" i="39" s="1"/>
  <c r="BR92" i="39" s="1"/>
  <c r="BJ90" i="39"/>
  <c r="BK90" i="39" s="1"/>
  <c r="BR90" i="39" s="1"/>
  <c r="BJ86" i="39"/>
  <c r="BK86" i="39" s="1"/>
  <c r="BR86" i="39" s="1"/>
  <c r="BJ84" i="39"/>
  <c r="BK84" i="39" s="1"/>
  <c r="BR84" i="39" s="1"/>
  <c r="BJ78" i="39"/>
  <c r="BJ91" i="39"/>
  <c r="BK91" i="39" s="1"/>
  <c r="BR91" i="39" s="1"/>
  <c r="BJ81" i="39"/>
  <c r="BK81" i="39" s="1"/>
  <c r="BR81" i="39" s="1"/>
  <c r="BJ80" i="39"/>
  <c r="BJ74" i="39"/>
  <c r="BK74" i="39" s="1"/>
  <c r="BR74" i="39" s="1"/>
  <c r="BJ72" i="39"/>
  <c r="BJ96" i="39"/>
  <c r="BK96" i="39" s="1"/>
  <c r="BR96" i="39" s="1"/>
  <c r="BJ93" i="39"/>
  <c r="BK93" i="39" s="1"/>
  <c r="BR93" i="39" s="1"/>
  <c r="BJ110" i="39"/>
  <c r="BJ98" i="39"/>
  <c r="BJ82" i="39"/>
  <c r="BK82" i="39" s="1"/>
  <c r="BR82" i="39" s="1"/>
  <c r="BJ70" i="39"/>
  <c r="BK70" i="39" s="1"/>
  <c r="BR70" i="39" s="1"/>
  <c r="BJ97" i="39"/>
  <c r="BK97" i="39" s="1"/>
  <c r="BR97" i="39" s="1"/>
  <c r="BJ83" i="39"/>
  <c r="BK83" i="39" s="1"/>
  <c r="BR83" i="39" s="1"/>
  <c r="BJ100" i="39"/>
  <c r="BK100" i="39" s="1"/>
  <c r="BR100" i="39" s="1"/>
  <c r="BJ56" i="39"/>
  <c r="BJ63" i="39"/>
  <c r="BJ65" i="39"/>
  <c r="BK65" i="39" s="1"/>
  <c r="BR65" i="39" s="1"/>
  <c r="BJ55" i="39"/>
  <c r="BJ99" i="39"/>
  <c r="BK99" i="39" s="1"/>
  <c r="BR99" i="39" s="1"/>
  <c r="BJ87" i="39"/>
  <c r="BK87" i="39" s="1"/>
  <c r="BR87" i="39" s="1"/>
  <c r="BJ108" i="39"/>
  <c r="BK108" i="39" s="1"/>
  <c r="BR108" i="39" s="1"/>
  <c r="BJ76" i="39"/>
  <c r="BK76" i="39" s="1"/>
  <c r="BR76" i="39" s="1"/>
  <c r="BJ69" i="39"/>
  <c r="BK69" i="39" s="1"/>
  <c r="BR69" i="39" s="1"/>
  <c r="BJ60" i="39"/>
  <c r="BK60" i="39" s="1"/>
  <c r="BR60" i="39" s="1"/>
  <c r="BJ58" i="39"/>
  <c r="BK58" i="39" s="1"/>
  <c r="BR58" i="39" s="1"/>
  <c r="BJ88" i="39"/>
  <c r="BJ73" i="39"/>
  <c r="BJ71" i="39"/>
  <c r="BK71" i="39" s="1"/>
  <c r="BR71" i="39" s="1"/>
  <c r="BJ67" i="39"/>
  <c r="BJ61" i="39"/>
  <c r="BJ59" i="39"/>
  <c r="BK59" i="39" s="1"/>
  <c r="BR59" i="39" s="1"/>
  <c r="BJ77" i="39"/>
  <c r="BK77" i="39" s="1"/>
  <c r="BR77" i="39" s="1"/>
  <c r="BJ52" i="39"/>
  <c r="BK52" i="39" s="1"/>
  <c r="BR52" i="39" s="1"/>
  <c r="BJ47" i="39"/>
  <c r="BJ44" i="39"/>
  <c r="BK44" i="39" s="1"/>
  <c r="BR44" i="39" s="1"/>
  <c r="BJ43" i="39"/>
  <c r="BK43" i="39" s="1"/>
  <c r="BR43" i="39" s="1"/>
  <c r="BJ37" i="39"/>
  <c r="BJ49" i="39"/>
  <c r="BK49" i="39" s="1"/>
  <c r="BR49" i="39" s="1"/>
  <c r="BJ38" i="39"/>
  <c r="BK38" i="39" s="1"/>
  <c r="BR38" i="39" s="1"/>
  <c r="BJ33" i="39"/>
  <c r="BK33" i="39" s="1"/>
  <c r="BR33" i="39" s="1"/>
  <c r="BJ57" i="39"/>
  <c r="BK57" i="39" s="1"/>
  <c r="BR57" i="39" s="1"/>
  <c r="BJ53" i="39"/>
  <c r="BJ51" i="39"/>
  <c r="BK51" i="39" s="1"/>
  <c r="BR51" i="39" s="1"/>
  <c r="BJ50" i="39"/>
  <c r="BK50" i="39" s="1"/>
  <c r="BR50" i="39" s="1"/>
  <c r="BJ45" i="39"/>
  <c r="BK45" i="39" s="1"/>
  <c r="BR45" i="39" s="1"/>
  <c r="BJ41" i="39"/>
  <c r="BK41" i="39" s="1"/>
  <c r="BR41" i="39" s="1"/>
  <c r="BJ68" i="39"/>
  <c r="BK68" i="39" s="1"/>
  <c r="BR68" i="39" s="1"/>
  <c r="BJ89" i="39"/>
  <c r="BJ79" i="39"/>
  <c r="BK79" i="39" s="1"/>
  <c r="BR79" i="39" s="1"/>
  <c r="BJ54" i="39"/>
  <c r="BK54" i="39" s="1"/>
  <c r="BR54" i="39" s="1"/>
  <c r="BJ85" i="39"/>
  <c r="BK85" i="39" s="1"/>
  <c r="BR85" i="39" s="1"/>
  <c r="BJ48" i="39"/>
  <c r="BJ46" i="39"/>
  <c r="BK46" i="39" s="1"/>
  <c r="BR46" i="39" s="1"/>
  <c r="BJ42" i="39"/>
  <c r="BK42" i="39" s="1"/>
  <c r="BR42" i="39" s="1"/>
  <c r="BJ40" i="39"/>
  <c r="BJ39" i="39"/>
  <c r="BJ30" i="39"/>
  <c r="BK30" i="39" s="1"/>
  <c r="BR30" i="39" s="1"/>
  <c r="BJ25" i="39"/>
  <c r="BK25" i="39" s="1"/>
  <c r="BR25" i="39" s="1"/>
  <c r="BJ23" i="39"/>
  <c r="BK23" i="39" s="1"/>
  <c r="BR23" i="39" s="1"/>
  <c r="BJ17" i="39"/>
  <c r="BK17" i="39" s="1"/>
  <c r="BR17" i="39" s="1"/>
  <c r="BJ32" i="39"/>
  <c r="BJ28" i="39"/>
  <c r="BJ22" i="39"/>
  <c r="BK22" i="39" s="1"/>
  <c r="BR22" i="39" s="1"/>
  <c r="BJ20" i="39"/>
  <c r="BJ13" i="39"/>
  <c r="BK13" i="39" s="1"/>
  <c r="BR13" i="39" s="1"/>
  <c r="BJ12" i="39"/>
  <c r="BJ66" i="39"/>
  <c r="BJ64" i="39"/>
  <c r="BK64" i="39" s="1"/>
  <c r="BR64" i="39" s="1"/>
  <c r="BJ36" i="39"/>
  <c r="BK36" i="39" s="1"/>
  <c r="BR36" i="39" s="1"/>
  <c r="BJ27" i="39"/>
  <c r="BK27" i="39" s="1"/>
  <c r="BR27" i="39" s="1"/>
  <c r="BJ26" i="39"/>
  <c r="BK26" i="39" s="1"/>
  <c r="BR26" i="39" s="1"/>
  <c r="BJ15" i="39"/>
  <c r="BK15" i="39" s="1"/>
  <c r="BR15" i="39" s="1"/>
  <c r="BJ14" i="39"/>
  <c r="BJ62" i="39"/>
  <c r="BK62" i="39" s="1"/>
  <c r="BR62" i="39" s="1"/>
  <c r="BJ34" i="39"/>
  <c r="BJ29" i="39"/>
  <c r="BJ21" i="39"/>
  <c r="BJ18" i="39"/>
  <c r="BJ35" i="39"/>
  <c r="BK35" i="39" s="1"/>
  <c r="BR35" i="39" s="1"/>
  <c r="BJ19" i="39"/>
  <c r="BK19" i="39" s="1"/>
  <c r="BR19" i="39" s="1"/>
  <c r="BJ16" i="39"/>
  <c r="BJ75" i="39"/>
  <c r="BK75" i="39" s="1"/>
  <c r="BR75" i="39" s="1"/>
  <c r="BJ31" i="39"/>
  <c r="BK31" i="39" s="1"/>
  <c r="BR31" i="39" s="1"/>
  <c r="BJ24" i="39"/>
  <c r="BJ11" i="39"/>
  <c r="BK11" i="39" s="1"/>
  <c r="BR11" i="39" s="1"/>
  <c r="P119" i="39"/>
  <c r="BY119" i="39" s="1"/>
  <c r="P151" i="39"/>
  <c r="P159" i="39"/>
  <c r="BY159" i="39" s="1"/>
  <c r="P162" i="39"/>
  <c r="P156" i="39"/>
  <c r="BY156" i="39" s="1"/>
  <c r="P172" i="39"/>
  <c r="P163" i="39"/>
  <c r="BY163" i="39" s="1"/>
  <c r="P167" i="39"/>
  <c r="BY167" i="39" s="1"/>
  <c r="P170" i="39"/>
  <c r="BY170" i="39" s="1"/>
  <c r="P164" i="39"/>
  <c r="BY164" i="39" s="1"/>
  <c r="P143" i="39"/>
  <c r="P171" i="39"/>
  <c r="CR48" i="39"/>
  <c r="CR49" i="39"/>
  <c r="CR50" i="39"/>
  <c r="CR51" i="39"/>
  <c r="CR52" i="39"/>
  <c r="CR53" i="39"/>
  <c r="CR54" i="39"/>
  <c r="CR55" i="39"/>
  <c r="CR56" i="39"/>
  <c r="CR57" i="39"/>
  <c r="CR58" i="39"/>
  <c r="CR59" i="39"/>
  <c r="CR60" i="39"/>
  <c r="CR61" i="39"/>
  <c r="CR62" i="39"/>
  <c r="CR63" i="39"/>
  <c r="CR64" i="39"/>
  <c r="CR65" i="39"/>
  <c r="E32" i="39"/>
  <c r="E33" i="39" s="1"/>
  <c r="E34" i="39" s="1"/>
  <c r="CR47" i="39"/>
  <c r="AU146" i="39" l="1"/>
  <c r="AV146" i="39" s="1"/>
  <c r="AU158" i="39"/>
  <c r="AV158" i="39" s="1"/>
  <c r="BC158" i="39" s="1"/>
  <c r="AU29" i="39"/>
  <c r="AV29" i="39" s="1"/>
  <c r="AU54" i="39"/>
  <c r="AV54" i="39" s="1"/>
  <c r="BC54" i="39" s="1"/>
  <c r="AU93" i="39"/>
  <c r="AV93" i="39" s="1"/>
  <c r="AU57" i="39"/>
  <c r="AV57" i="39" s="1"/>
  <c r="BC57" i="39" s="1"/>
  <c r="AU27" i="39"/>
  <c r="AV27" i="39" s="1"/>
  <c r="BC27" i="39" s="1"/>
  <c r="AU113" i="39"/>
  <c r="AV113" i="39" s="1"/>
  <c r="BC113" i="39" s="1"/>
  <c r="AU19" i="39"/>
  <c r="AV19" i="39" s="1"/>
  <c r="BC19" i="39" s="1"/>
  <c r="AU91" i="39"/>
  <c r="AV91" i="39" s="1"/>
  <c r="BC91" i="39" s="1"/>
  <c r="AU39" i="39"/>
  <c r="AV39" i="39" s="1"/>
  <c r="AU105" i="39"/>
  <c r="AV105" i="39" s="1"/>
  <c r="BC105" i="39" s="1"/>
  <c r="AU56" i="39"/>
  <c r="AV56" i="39" s="1"/>
  <c r="BC56" i="39" s="1"/>
  <c r="AU133" i="39"/>
  <c r="AV133" i="39" s="1"/>
  <c r="BC133" i="39" s="1"/>
  <c r="AU45" i="39"/>
  <c r="AV45" i="39" s="1"/>
  <c r="AU120" i="39"/>
  <c r="AV120" i="39" s="1"/>
  <c r="AU83" i="39"/>
  <c r="AV83" i="39" s="1"/>
  <c r="BC83" i="39" s="1"/>
  <c r="AU130" i="39"/>
  <c r="AV130" i="39" s="1"/>
  <c r="AU42" i="39"/>
  <c r="AV42" i="39" s="1"/>
  <c r="BC42" i="39" s="1"/>
  <c r="AU94" i="39"/>
  <c r="AV94" i="39" s="1"/>
  <c r="AU123" i="39"/>
  <c r="AV123" i="39" s="1"/>
  <c r="BC123" i="39" s="1"/>
  <c r="AU150" i="39"/>
  <c r="AV150" i="39" s="1"/>
  <c r="BC150" i="39" s="1"/>
  <c r="AU15" i="39"/>
  <c r="AV15" i="39" s="1"/>
  <c r="BC15" i="39" s="1"/>
  <c r="AU24" i="39"/>
  <c r="AV24" i="39" s="1"/>
  <c r="BC24" i="39" s="1"/>
  <c r="AU33" i="39"/>
  <c r="AV33" i="39" s="1"/>
  <c r="AU36" i="39"/>
  <c r="AV36" i="39" s="1"/>
  <c r="AU58" i="39"/>
  <c r="AV58" i="39" s="1"/>
  <c r="AU82" i="39"/>
  <c r="AV82" i="39" s="1"/>
  <c r="AU48" i="39"/>
  <c r="AV48" i="39" s="1"/>
  <c r="BC48" i="39" s="1"/>
  <c r="AU85" i="39"/>
  <c r="AV85" i="39" s="1"/>
  <c r="AU97" i="39"/>
  <c r="AV97" i="39" s="1"/>
  <c r="BC97" i="39" s="1"/>
  <c r="AU68" i="39"/>
  <c r="AV68" i="39" s="1"/>
  <c r="BC68" i="39" s="1"/>
  <c r="AU77" i="39"/>
  <c r="AV77" i="39" s="1"/>
  <c r="AU110" i="39"/>
  <c r="AV110" i="39" s="1"/>
  <c r="BC110" i="39" s="1"/>
  <c r="AU103" i="39"/>
  <c r="AV103" i="39" s="1"/>
  <c r="BC103" i="39" s="1"/>
  <c r="AU115" i="39"/>
  <c r="AV115" i="39" s="1"/>
  <c r="BC115" i="39" s="1"/>
  <c r="AU132" i="39"/>
  <c r="AV132" i="39" s="1"/>
  <c r="BC132" i="39" s="1"/>
  <c r="AU149" i="39"/>
  <c r="AV149" i="39" s="1"/>
  <c r="BC149" i="39" s="1"/>
  <c r="AU135" i="39"/>
  <c r="AV135" i="39" s="1"/>
  <c r="BC135" i="39" s="1"/>
  <c r="AU154" i="39"/>
  <c r="AV154" i="39" s="1"/>
  <c r="BC154" i="39" s="1"/>
  <c r="AU21" i="39"/>
  <c r="AV21" i="39" s="1"/>
  <c r="AU61" i="39"/>
  <c r="AV61" i="39" s="1"/>
  <c r="BC61" i="39" s="1"/>
  <c r="AU102" i="39"/>
  <c r="AV102" i="39" s="1"/>
  <c r="BC102" i="39" s="1"/>
  <c r="AU136" i="39"/>
  <c r="AV136" i="39" s="1"/>
  <c r="BC136" i="39" s="1"/>
  <c r="AU18" i="39"/>
  <c r="AV18" i="39" s="1"/>
  <c r="AU12" i="39"/>
  <c r="AV12" i="39" s="1"/>
  <c r="BC12" i="39" s="1"/>
  <c r="AU35" i="39"/>
  <c r="AV35" i="39" s="1"/>
  <c r="BC35" i="39" s="1"/>
  <c r="AU46" i="39"/>
  <c r="AV46" i="39" s="1"/>
  <c r="BC46" i="39" s="1"/>
  <c r="AU62" i="39"/>
  <c r="AV62" i="39" s="1"/>
  <c r="BC62" i="39" s="1"/>
  <c r="AU44" i="39"/>
  <c r="AV44" i="39" s="1"/>
  <c r="AU53" i="39"/>
  <c r="AV53" i="39" s="1"/>
  <c r="AU104" i="39"/>
  <c r="AV104" i="39" s="1"/>
  <c r="BC104" i="39" s="1"/>
  <c r="AU63" i="39"/>
  <c r="AV63" i="39" s="1"/>
  <c r="BC63" i="39" s="1"/>
  <c r="AU86" i="39"/>
  <c r="AV86" i="39" s="1"/>
  <c r="AU92" i="39"/>
  <c r="AV92" i="39" s="1"/>
  <c r="BC92" i="39" s="1"/>
  <c r="AU95" i="39"/>
  <c r="AV95" i="39" s="1"/>
  <c r="BC95" i="39" s="1"/>
  <c r="AU121" i="39"/>
  <c r="AV121" i="39" s="1"/>
  <c r="BC121" i="39" s="1"/>
  <c r="AU124" i="39"/>
  <c r="AV124" i="39" s="1"/>
  <c r="AU134" i="39"/>
  <c r="AV134" i="39" s="1"/>
  <c r="BC134" i="39" s="1"/>
  <c r="AU131" i="39"/>
  <c r="AV131" i="39" s="1"/>
  <c r="BC131" i="39" s="1"/>
  <c r="AU141" i="39"/>
  <c r="AV141" i="39" s="1"/>
  <c r="BC141" i="39" s="1"/>
  <c r="AU31" i="39"/>
  <c r="AV31" i="39" s="1"/>
  <c r="AU81" i="39"/>
  <c r="AV81" i="39" s="1"/>
  <c r="BC81" i="39" s="1"/>
  <c r="AU107" i="39"/>
  <c r="AV107" i="39" s="1"/>
  <c r="AU168" i="39"/>
  <c r="AV168" i="39" s="1"/>
  <c r="BC168" i="39" s="1"/>
  <c r="AU30" i="39"/>
  <c r="AV30" i="39" s="1"/>
  <c r="BC30" i="39" s="1"/>
  <c r="AU16" i="39"/>
  <c r="AV16" i="39" s="1"/>
  <c r="BC16" i="39" s="1"/>
  <c r="AU17" i="39"/>
  <c r="AV17" i="39" s="1"/>
  <c r="AU49" i="39"/>
  <c r="AV49" i="39" s="1"/>
  <c r="BC49" i="39" s="1"/>
  <c r="AU72" i="39"/>
  <c r="AV72" i="39" s="1"/>
  <c r="AU50" i="39"/>
  <c r="AV50" i="39" s="1"/>
  <c r="BC50" i="39" s="1"/>
  <c r="AU65" i="39"/>
  <c r="AV65" i="39" s="1"/>
  <c r="BC65" i="39" s="1"/>
  <c r="AU64" i="39"/>
  <c r="AV64" i="39" s="1"/>
  <c r="AU79" i="39"/>
  <c r="AV79" i="39" s="1"/>
  <c r="BC79" i="39" s="1"/>
  <c r="AU88" i="39"/>
  <c r="AV88" i="39" s="1"/>
  <c r="BC88" i="39" s="1"/>
  <c r="AU108" i="39"/>
  <c r="AV108" i="39" s="1"/>
  <c r="AU96" i="39"/>
  <c r="AV96" i="39" s="1"/>
  <c r="BC96" i="39" s="1"/>
  <c r="AU126" i="39"/>
  <c r="AV126" i="39" s="1"/>
  <c r="BC126" i="39" s="1"/>
  <c r="AU129" i="39"/>
  <c r="AV129" i="39" s="1"/>
  <c r="BC129" i="39" s="1"/>
  <c r="AU138" i="39"/>
  <c r="AV138" i="39" s="1"/>
  <c r="BC138" i="39" s="1"/>
  <c r="AU144" i="39"/>
  <c r="AV144" i="39" s="1"/>
  <c r="BC144" i="39" s="1"/>
  <c r="AU153" i="39"/>
  <c r="AV153" i="39" s="1"/>
  <c r="BC153" i="39" s="1"/>
  <c r="AU14" i="39"/>
  <c r="AV14" i="39" s="1"/>
  <c r="BC14" i="39" s="1"/>
  <c r="AU47" i="39"/>
  <c r="AV47" i="39" s="1"/>
  <c r="BC47" i="39" s="1"/>
  <c r="AU98" i="39"/>
  <c r="AV98" i="39" s="1"/>
  <c r="BC98" i="39" s="1"/>
  <c r="AU125" i="39"/>
  <c r="AV125" i="39" s="1"/>
  <c r="BC125" i="39" s="1"/>
  <c r="AU11" i="39"/>
  <c r="AV11" i="39" s="1"/>
  <c r="BC11" i="39" s="1"/>
  <c r="AU28" i="39"/>
  <c r="AV28" i="39" s="1"/>
  <c r="AU41" i="39"/>
  <c r="AV41" i="39" s="1"/>
  <c r="BC41" i="39" s="1"/>
  <c r="AU26" i="39"/>
  <c r="AV26" i="39" s="1"/>
  <c r="AU23" i="39"/>
  <c r="AV23" i="39" s="1"/>
  <c r="AU74" i="39"/>
  <c r="AV74" i="39" s="1"/>
  <c r="BC74" i="39" s="1"/>
  <c r="AU52" i="39"/>
  <c r="AV52" i="39" s="1"/>
  <c r="AU51" i="39"/>
  <c r="AV51" i="39" s="1"/>
  <c r="BC51" i="39" s="1"/>
  <c r="AU66" i="39"/>
  <c r="AV66" i="39" s="1"/>
  <c r="BC66" i="39" s="1"/>
  <c r="AU70" i="39"/>
  <c r="AV70" i="39" s="1"/>
  <c r="BC70" i="39" s="1"/>
  <c r="AU84" i="39"/>
  <c r="AV84" i="39" s="1"/>
  <c r="BC84" i="39" s="1"/>
  <c r="AU90" i="39"/>
  <c r="AV90" i="39" s="1"/>
  <c r="BC90" i="39" s="1"/>
  <c r="AU112" i="39"/>
  <c r="AV112" i="39" s="1"/>
  <c r="BC112" i="39" s="1"/>
  <c r="AU117" i="39"/>
  <c r="AV117" i="39" s="1"/>
  <c r="BC117" i="39" s="1"/>
  <c r="AU100" i="39"/>
  <c r="AV100" i="39" s="1"/>
  <c r="BC100" i="39" s="1"/>
  <c r="AU140" i="39"/>
  <c r="AV140" i="39" s="1"/>
  <c r="AU116" i="39"/>
  <c r="AV116" i="39" s="1"/>
  <c r="AU145" i="39"/>
  <c r="AV145" i="39" s="1"/>
  <c r="AU165" i="39"/>
  <c r="AV165" i="39" s="1"/>
  <c r="BC165" i="39" s="1"/>
  <c r="AU32" i="39"/>
  <c r="AV32" i="39" s="1"/>
  <c r="BC32" i="39" s="1"/>
  <c r="AU67" i="39"/>
  <c r="AV67" i="39" s="1"/>
  <c r="BC67" i="39" s="1"/>
  <c r="AU37" i="39"/>
  <c r="AV37" i="39" s="1"/>
  <c r="AU89" i="39"/>
  <c r="AV89" i="39" s="1"/>
  <c r="BC89" i="39" s="1"/>
  <c r="AU43" i="39"/>
  <c r="AV43" i="39" s="1"/>
  <c r="BC43" i="39" s="1"/>
  <c r="AU25" i="39"/>
  <c r="AV25" i="39" s="1"/>
  <c r="AU38" i="39"/>
  <c r="AV38" i="39" s="1"/>
  <c r="BC38" i="39" s="1"/>
  <c r="AU80" i="39"/>
  <c r="AV80" i="39" s="1"/>
  <c r="AU60" i="39"/>
  <c r="AV60" i="39" s="1"/>
  <c r="AU73" i="39"/>
  <c r="AV73" i="39" s="1"/>
  <c r="BC73" i="39" s="1"/>
  <c r="AU71" i="39"/>
  <c r="AV71" i="39" s="1"/>
  <c r="AU87" i="39"/>
  <c r="AV87" i="39" s="1"/>
  <c r="BC87" i="39" s="1"/>
  <c r="AU76" i="39"/>
  <c r="AV76" i="39" s="1"/>
  <c r="BC76" i="39" s="1"/>
  <c r="AU122" i="39"/>
  <c r="AV122" i="39" s="1"/>
  <c r="BC122" i="39" s="1"/>
  <c r="AU127" i="39"/>
  <c r="AV127" i="39" s="1"/>
  <c r="BC127" i="39" s="1"/>
  <c r="AU109" i="39"/>
  <c r="AV109" i="39" s="1"/>
  <c r="BC109" i="39" s="1"/>
  <c r="AU139" i="39"/>
  <c r="AV139" i="39" s="1"/>
  <c r="BC139" i="39" s="1"/>
  <c r="AU128" i="39"/>
  <c r="AV128" i="39" s="1"/>
  <c r="AU148" i="39"/>
  <c r="AV148" i="39" s="1"/>
  <c r="AU152" i="39"/>
  <c r="AV152" i="39" s="1"/>
  <c r="BC152" i="39" s="1"/>
  <c r="AU166" i="39"/>
  <c r="AV166" i="39" s="1"/>
  <c r="BC166" i="39" s="1"/>
  <c r="AU22" i="39"/>
  <c r="AV22" i="39" s="1"/>
  <c r="BC22" i="39" s="1"/>
  <c r="AU40" i="39"/>
  <c r="AV40" i="39" s="1"/>
  <c r="BC40" i="39" s="1"/>
  <c r="AU20" i="39"/>
  <c r="AV20" i="39" s="1"/>
  <c r="BC20" i="39" s="1"/>
  <c r="AU13" i="39"/>
  <c r="AV13" i="39" s="1"/>
  <c r="AU69" i="39"/>
  <c r="AV69" i="39" s="1"/>
  <c r="AU34" i="39"/>
  <c r="AV34" i="39" s="1"/>
  <c r="AU99" i="39"/>
  <c r="AV99" i="39" s="1"/>
  <c r="AU59" i="39"/>
  <c r="AV59" i="39" s="1"/>
  <c r="BC59" i="39" s="1"/>
  <c r="AU78" i="39"/>
  <c r="AV78" i="39" s="1"/>
  <c r="BC78" i="39" s="1"/>
  <c r="AU55" i="39"/>
  <c r="AV55" i="39" s="1"/>
  <c r="BC55" i="39" s="1"/>
  <c r="AU106" i="39"/>
  <c r="AV106" i="39" s="1"/>
  <c r="BC106" i="39" s="1"/>
  <c r="AU75" i="39"/>
  <c r="AV75" i="39" s="1"/>
  <c r="BC75" i="39" s="1"/>
  <c r="AU101" i="39"/>
  <c r="AV101" i="39" s="1"/>
  <c r="BC101" i="39" s="1"/>
  <c r="AU111" i="39"/>
  <c r="AV111" i="39" s="1"/>
  <c r="BC111" i="39" s="1"/>
  <c r="AU118" i="39"/>
  <c r="AV118" i="39" s="1"/>
  <c r="BC118" i="39" s="1"/>
  <c r="AU114" i="39"/>
  <c r="AV114" i="39" s="1"/>
  <c r="BC114" i="39" s="1"/>
  <c r="AU147" i="39"/>
  <c r="AV147" i="39" s="1"/>
  <c r="AU157" i="39"/>
  <c r="AV157" i="39" s="1"/>
  <c r="BC157" i="39" s="1"/>
  <c r="BJ151" i="39"/>
  <c r="BK151" i="39" s="1"/>
  <c r="BR151" i="39" s="1"/>
  <c r="BY151" i="39"/>
  <c r="BJ166" i="39"/>
  <c r="BK166" i="39" s="1"/>
  <c r="BY157" i="39"/>
  <c r="BV157" i="39"/>
  <c r="P175" i="39"/>
  <c r="BG157" i="39"/>
  <c r="AZ157" i="39"/>
  <c r="AK157" i="39"/>
  <c r="BO157" i="39"/>
  <c r="AR157" i="39"/>
  <c r="CD157" i="39"/>
  <c r="CK157" i="39"/>
  <c r="AC157" i="39"/>
  <c r="V157" i="39"/>
  <c r="BY158" i="39"/>
  <c r="BV158" i="39"/>
  <c r="AZ158" i="39"/>
  <c r="BG158" i="39"/>
  <c r="AC158" i="39"/>
  <c r="AK158" i="39"/>
  <c r="BO158" i="39"/>
  <c r="AR158" i="39"/>
  <c r="V158" i="39"/>
  <c r="P176" i="39"/>
  <c r="CK158" i="39"/>
  <c r="CD158" i="39"/>
  <c r="AU171" i="39"/>
  <c r="AV171" i="39" s="1"/>
  <c r="BC171" i="39" s="1"/>
  <c r="BY171" i="39"/>
  <c r="AU172" i="39"/>
  <c r="AV172" i="39" s="1"/>
  <c r="BY172" i="39"/>
  <c r="BY142" i="39"/>
  <c r="CD142" i="39"/>
  <c r="AZ142" i="39"/>
  <c r="BG142" i="39"/>
  <c r="AR142" i="39"/>
  <c r="V142" i="39"/>
  <c r="BO142" i="39"/>
  <c r="BV142" i="39"/>
  <c r="AC142" i="39"/>
  <c r="CK142" i="39"/>
  <c r="P160" i="39"/>
  <c r="AK142" i="39"/>
  <c r="AU143" i="39"/>
  <c r="AV143" i="39" s="1"/>
  <c r="BY143" i="39"/>
  <c r="AU142" i="39"/>
  <c r="AV142" i="39" s="1"/>
  <c r="BC142" i="39" s="1"/>
  <c r="AU162" i="39"/>
  <c r="AV162" i="39" s="1"/>
  <c r="BC162" i="39" s="1"/>
  <c r="BY162" i="39"/>
  <c r="D32" i="39"/>
  <c r="D33" i="39" s="1"/>
  <c r="D34" i="39" s="1"/>
  <c r="BY166" i="39"/>
  <c r="CK166" i="39"/>
  <c r="BG166" i="39"/>
  <c r="CD166" i="39"/>
  <c r="AC166" i="39"/>
  <c r="AK166" i="39"/>
  <c r="BV166" i="39"/>
  <c r="BO166" i="39"/>
  <c r="AZ166" i="39"/>
  <c r="AR166" i="39"/>
  <c r="V166" i="39"/>
  <c r="C32" i="39"/>
  <c r="C33" i="39" s="1"/>
  <c r="C34" i="39" s="1"/>
  <c r="AU159" i="39"/>
  <c r="AV159" i="39" s="1"/>
  <c r="BJ171" i="39"/>
  <c r="BK171" i="39" s="1"/>
  <c r="BR171" i="39" s="1"/>
  <c r="BJ163" i="39"/>
  <c r="BK163" i="39" s="1"/>
  <c r="BR163" i="39" s="1"/>
  <c r="BV167" i="39"/>
  <c r="V167" i="39"/>
  <c r="AK167" i="39"/>
  <c r="CD167" i="39"/>
  <c r="AZ167" i="39"/>
  <c r="CK167" i="39"/>
  <c r="AR167" i="39"/>
  <c r="BO167" i="39"/>
  <c r="AC167" i="39"/>
  <c r="BG167" i="39"/>
  <c r="AC119" i="39"/>
  <c r="BO119" i="39"/>
  <c r="AR119" i="39"/>
  <c r="V119" i="39"/>
  <c r="AK119" i="39"/>
  <c r="BV119" i="39"/>
  <c r="CK119" i="39"/>
  <c r="CD119" i="39"/>
  <c r="AZ119" i="39"/>
  <c r="BG119" i="39"/>
  <c r="BJ164" i="39"/>
  <c r="BK164" i="39" s="1"/>
  <c r="BR164" i="39" s="1"/>
  <c r="BJ119" i="39"/>
  <c r="BK119" i="39" s="1"/>
  <c r="BR119" i="39" s="1"/>
  <c r="BJ172" i="39"/>
  <c r="BK172" i="39" s="1"/>
  <c r="CD163" i="39"/>
  <c r="AR163" i="39"/>
  <c r="CK163" i="39"/>
  <c r="AC163" i="39"/>
  <c r="BV163" i="39"/>
  <c r="AK163" i="39"/>
  <c r="V163" i="39"/>
  <c r="BG163" i="39"/>
  <c r="BO163" i="39"/>
  <c r="AZ163" i="39"/>
  <c r="BJ170" i="39"/>
  <c r="BK170" i="39" s="1"/>
  <c r="BJ159" i="39"/>
  <c r="BK159" i="39" s="1"/>
  <c r="BR159" i="39" s="1"/>
  <c r="BJ167" i="39"/>
  <c r="BK167" i="39" s="1"/>
  <c r="BR167" i="39" s="1"/>
  <c r="AU167" i="39"/>
  <c r="AV167" i="39" s="1"/>
  <c r="BC167" i="39" s="1"/>
  <c r="CD143" i="39"/>
  <c r="CK143" i="39"/>
  <c r="BG143" i="39"/>
  <c r="AK143" i="39"/>
  <c r="AZ143" i="39"/>
  <c r="BV143" i="39"/>
  <c r="AC143" i="39"/>
  <c r="V143" i="39"/>
  <c r="BO143" i="39"/>
  <c r="AR143" i="39"/>
  <c r="V156" i="39"/>
  <c r="BO156" i="39"/>
  <c r="AZ156" i="39"/>
  <c r="BG156" i="39"/>
  <c r="AC156" i="39"/>
  <c r="BV156" i="39"/>
  <c r="AK156" i="39"/>
  <c r="CD156" i="39"/>
  <c r="CK156" i="39"/>
  <c r="AR156" i="39"/>
  <c r="BJ162" i="39"/>
  <c r="BK162" i="39" s="1"/>
  <c r="BJ156" i="39"/>
  <c r="BK156" i="39" s="1"/>
  <c r="BR156" i="39" s="1"/>
  <c r="AU163" i="39"/>
  <c r="AV163" i="39" s="1"/>
  <c r="AK151" i="39"/>
  <c r="CD151" i="39"/>
  <c r="BV151" i="39"/>
  <c r="BO151" i="39"/>
  <c r="V151" i="39"/>
  <c r="AZ151" i="39"/>
  <c r="AC151" i="39"/>
  <c r="BG151" i="39"/>
  <c r="CK151" i="39"/>
  <c r="AR151" i="39"/>
  <c r="CD171" i="39"/>
  <c r="AC171" i="39"/>
  <c r="BO171" i="39"/>
  <c r="AK171" i="39"/>
  <c r="CK171" i="39"/>
  <c r="V171" i="39"/>
  <c r="BV171" i="39"/>
  <c r="BG171" i="39"/>
  <c r="AZ171" i="39"/>
  <c r="AR171" i="39"/>
  <c r="AR172" i="39"/>
  <c r="CK172" i="39"/>
  <c r="CD172" i="39"/>
  <c r="AC172" i="39"/>
  <c r="BV172" i="39"/>
  <c r="AZ172" i="39"/>
  <c r="AK172" i="39"/>
  <c r="BO172" i="39"/>
  <c r="BG172" i="39"/>
  <c r="V172" i="39"/>
  <c r="CK164" i="39"/>
  <c r="BO164" i="39"/>
  <c r="AZ164" i="39"/>
  <c r="AC164" i="39"/>
  <c r="BG164" i="39"/>
  <c r="CD164" i="39"/>
  <c r="V164" i="39"/>
  <c r="AK164" i="39"/>
  <c r="AR164" i="39"/>
  <c r="BV164" i="39"/>
  <c r="AZ162" i="39"/>
  <c r="AK162" i="39"/>
  <c r="CK162" i="39"/>
  <c r="V162" i="39"/>
  <c r="BV162" i="39"/>
  <c r="AC162" i="39"/>
  <c r="AR162" i="39"/>
  <c r="CD162" i="39"/>
  <c r="BO162" i="39"/>
  <c r="BG162" i="39"/>
  <c r="AU170" i="39"/>
  <c r="AV170" i="39" s="1"/>
  <c r="CD159" i="39"/>
  <c r="BG159" i="39"/>
  <c r="AZ159" i="39"/>
  <c r="BV159" i="39"/>
  <c r="AR159" i="39"/>
  <c r="BO159" i="39"/>
  <c r="CK159" i="39"/>
  <c r="AK159" i="39"/>
  <c r="AC159" i="39"/>
  <c r="V159" i="39"/>
  <c r="BJ143" i="39"/>
  <c r="BK143" i="39" s="1"/>
  <c r="BR143" i="39" s="1"/>
  <c r="AU119" i="39"/>
  <c r="AV119" i="39" s="1"/>
  <c r="BC119" i="39" s="1"/>
  <c r="AR170" i="39"/>
  <c r="V170" i="39"/>
  <c r="CK170" i="39"/>
  <c r="CD170" i="39"/>
  <c r="BV170" i="39"/>
  <c r="AC170" i="39"/>
  <c r="AK170" i="39"/>
  <c r="AZ170" i="39"/>
  <c r="BO170" i="39"/>
  <c r="BG170" i="39"/>
  <c r="AU151" i="39"/>
  <c r="AV151" i="39" s="1"/>
  <c r="BC151" i="39" s="1"/>
  <c r="AU156" i="39"/>
  <c r="AV156" i="39" s="1"/>
  <c r="AU164" i="39"/>
  <c r="AV164" i="39" s="1"/>
  <c r="BC164" i="39" s="1"/>
  <c r="BK21" i="39"/>
  <c r="BK32" i="39"/>
  <c r="BK37" i="39"/>
  <c r="BK67" i="39"/>
  <c r="BK72" i="39"/>
  <c r="BK102" i="39"/>
  <c r="BK123" i="39"/>
  <c r="BK80" i="39"/>
  <c r="BK24" i="39"/>
  <c r="BK29" i="39"/>
  <c r="BK48" i="39"/>
  <c r="BK103" i="39"/>
  <c r="BK165" i="39"/>
  <c r="BK73" i="39"/>
  <c r="BK158" i="39"/>
  <c r="BK12" i="39"/>
  <c r="BK53" i="39"/>
  <c r="BK47" i="39"/>
  <c r="BK88" i="39"/>
  <c r="BK55" i="39"/>
  <c r="BK146" i="39"/>
  <c r="BK34" i="39"/>
  <c r="BK16" i="39"/>
  <c r="BK14" i="39"/>
  <c r="BK98" i="39"/>
  <c r="BK131" i="39"/>
  <c r="BK20" i="39"/>
  <c r="BK39" i="39"/>
  <c r="BK89" i="39"/>
  <c r="BK63" i="39"/>
  <c r="BK110" i="39"/>
  <c r="BK78" i="39"/>
  <c r="BK132" i="39"/>
  <c r="BK40" i="39"/>
  <c r="BK56" i="39"/>
  <c r="BK125" i="39"/>
  <c r="BK129" i="39"/>
  <c r="BK142" i="39"/>
  <c r="BK66" i="39"/>
  <c r="BK18" i="39"/>
  <c r="BK28" i="39"/>
  <c r="BK61" i="39"/>
  <c r="BK135" i="39"/>
  <c r="BK118" i="39"/>
  <c r="P137" i="39"/>
  <c r="BY137" i="39" s="1"/>
  <c r="P180" i="39"/>
  <c r="BY180" i="39" s="1"/>
  <c r="P177" i="39"/>
  <c r="BY177" i="39" s="1"/>
  <c r="P169" i="39"/>
  <c r="BY169" i="39" s="1"/>
  <c r="P161" i="39"/>
  <c r="BY161" i="39" s="1"/>
  <c r="P174" i="39"/>
  <c r="BY174" i="39" s="1"/>
  <c r="P182" i="39"/>
  <c r="BY182" i="39" s="1"/>
  <c r="P183" i="39"/>
  <c r="BY183" i="39" s="1"/>
  <c r="P181" i="39"/>
  <c r="BY181" i="39" s="1"/>
  <c r="AF89" i="39" l="1"/>
  <c r="AG89" i="39" s="1"/>
  <c r="AN89" i="39" s="1"/>
  <c r="AF40" i="39"/>
  <c r="AG40" i="39" s="1"/>
  <c r="AN40" i="39" s="1"/>
  <c r="AF85" i="39"/>
  <c r="AG85" i="39" s="1"/>
  <c r="AN85" i="39" s="1"/>
  <c r="AF162" i="39"/>
  <c r="AG162" i="39" s="1"/>
  <c r="AN162" i="39" s="1"/>
  <c r="AF75" i="39"/>
  <c r="AG75" i="39" s="1"/>
  <c r="AN75" i="39" s="1"/>
  <c r="AF13" i="39"/>
  <c r="AG13" i="39" s="1"/>
  <c r="AN13" i="39" s="1"/>
  <c r="AF27" i="39"/>
  <c r="AG27" i="39" s="1"/>
  <c r="AN27" i="39" s="1"/>
  <c r="AF122" i="39"/>
  <c r="AG122" i="39" s="1"/>
  <c r="AN122" i="39" s="1"/>
  <c r="AF109" i="39"/>
  <c r="AG109" i="39" s="1"/>
  <c r="AN109" i="39" s="1"/>
  <c r="AF44" i="39"/>
  <c r="AG44" i="39" s="1"/>
  <c r="AN44" i="39" s="1"/>
  <c r="AF150" i="39"/>
  <c r="AG150" i="39" s="1"/>
  <c r="AN150" i="39" s="1"/>
  <c r="AF106" i="39"/>
  <c r="AG106" i="39" s="1"/>
  <c r="AN106" i="39" s="1"/>
  <c r="AF148" i="39"/>
  <c r="AG148" i="39" s="1"/>
  <c r="AN148" i="39" s="1"/>
  <c r="AF69" i="39"/>
  <c r="AG69" i="39" s="1"/>
  <c r="AN69" i="39" s="1"/>
  <c r="AF17" i="39"/>
  <c r="AG17" i="39" s="1"/>
  <c r="AN17" i="39" s="1"/>
  <c r="AF110" i="39"/>
  <c r="AG110" i="39" s="1"/>
  <c r="AN110" i="39" s="1"/>
  <c r="AF51" i="39"/>
  <c r="AG51" i="39" s="1"/>
  <c r="AN51" i="39" s="1"/>
  <c r="AF115" i="39"/>
  <c r="AG115" i="39" s="1"/>
  <c r="AN115" i="39" s="1"/>
  <c r="AF82" i="39"/>
  <c r="AG82" i="39" s="1"/>
  <c r="AN82" i="39" s="1"/>
  <c r="AF146" i="39"/>
  <c r="AG146" i="39" s="1"/>
  <c r="AN146" i="39" s="1"/>
  <c r="AF83" i="39"/>
  <c r="AG83" i="39" s="1"/>
  <c r="AN83" i="39" s="1"/>
  <c r="AF34" i="39"/>
  <c r="AG34" i="39" s="1"/>
  <c r="AN34" i="39" s="1"/>
  <c r="AF138" i="39"/>
  <c r="AG138" i="39" s="1"/>
  <c r="AN138" i="39" s="1"/>
  <c r="AF31" i="39"/>
  <c r="AG31" i="39" s="1"/>
  <c r="AN31" i="39" s="1"/>
  <c r="AF79" i="39"/>
  <c r="AG79" i="39" s="1"/>
  <c r="AN79" i="39" s="1"/>
  <c r="AF160" i="39"/>
  <c r="AG160" i="39" s="1"/>
  <c r="AN160" i="39" s="1"/>
  <c r="AF130" i="39"/>
  <c r="AG130" i="39" s="1"/>
  <c r="AN130" i="39" s="1"/>
  <c r="AF52" i="39"/>
  <c r="AG52" i="39" s="1"/>
  <c r="AN52" i="39" s="1"/>
  <c r="AF18" i="39"/>
  <c r="AG18" i="39" s="1"/>
  <c r="AN18" i="39" s="1"/>
  <c r="AF11" i="39"/>
  <c r="AG11" i="39" s="1"/>
  <c r="AN11" i="39" s="1"/>
  <c r="AF172" i="39"/>
  <c r="AG172" i="39" s="1"/>
  <c r="AN172" i="39" s="1"/>
  <c r="AF81" i="39"/>
  <c r="AG81" i="39" s="1"/>
  <c r="AN81" i="39" s="1"/>
  <c r="AF176" i="39"/>
  <c r="AG176" i="39" s="1"/>
  <c r="AN176" i="39" s="1"/>
  <c r="AF70" i="39"/>
  <c r="AG70" i="39" s="1"/>
  <c r="AN70" i="39" s="1"/>
  <c r="AF164" i="39"/>
  <c r="AG164" i="39" s="1"/>
  <c r="AN164" i="39" s="1"/>
  <c r="AF20" i="39"/>
  <c r="AG20" i="39" s="1"/>
  <c r="AN20" i="39" s="1"/>
  <c r="AF58" i="39"/>
  <c r="AG58" i="39" s="1"/>
  <c r="AN58" i="39" s="1"/>
  <c r="AF12" i="39"/>
  <c r="AG12" i="39" s="1"/>
  <c r="AN12" i="39" s="1"/>
  <c r="AF126" i="39"/>
  <c r="AG126" i="39" s="1"/>
  <c r="AN126" i="39" s="1"/>
  <c r="AF49" i="39"/>
  <c r="AG49" i="39" s="1"/>
  <c r="AN49" i="39" s="1"/>
  <c r="AF157" i="39"/>
  <c r="AG157" i="39" s="1"/>
  <c r="AN157" i="39" s="1"/>
  <c r="AF72" i="39"/>
  <c r="AG72" i="39" s="1"/>
  <c r="AN72" i="39" s="1"/>
  <c r="AF16" i="39"/>
  <c r="AG16" i="39" s="1"/>
  <c r="AN16" i="39" s="1"/>
  <c r="AF94" i="39"/>
  <c r="AG94" i="39" s="1"/>
  <c r="AN94" i="39" s="1"/>
  <c r="AF38" i="39"/>
  <c r="AG38" i="39" s="1"/>
  <c r="AN38" i="39" s="1"/>
  <c r="AF129" i="39"/>
  <c r="AG129" i="39" s="1"/>
  <c r="AN129" i="39" s="1"/>
  <c r="AF74" i="39"/>
  <c r="AG74" i="39" s="1"/>
  <c r="AN74" i="39" s="1"/>
  <c r="AF166" i="39"/>
  <c r="AG166" i="39" s="1"/>
  <c r="AN166" i="39" s="1"/>
  <c r="AF102" i="39"/>
  <c r="AG102" i="39" s="1"/>
  <c r="AN102" i="39" s="1"/>
  <c r="AF30" i="39"/>
  <c r="AG30" i="39" s="1"/>
  <c r="AN30" i="39" s="1"/>
  <c r="AF60" i="39"/>
  <c r="AG60" i="39" s="1"/>
  <c r="AN60" i="39" s="1"/>
  <c r="AF108" i="39"/>
  <c r="AG108" i="39" s="1"/>
  <c r="AN108" i="39" s="1"/>
  <c r="AF91" i="39"/>
  <c r="AG91" i="39" s="1"/>
  <c r="AN91" i="39" s="1"/>
  <c r="AF132" i="39"/>
  <c r="AG132" i="39" s="1"/>
  <c r="AN132" i="39" s="1"/>
  <c r="AF112" i="39"/>
  <c r="AG112" i="39" s="1"/>
  <c r="AN112" i="39" s="1"/>
  <c r="AF61" i="39"/>
  <c r="AG61" i="39" s="1"/>
  <c r="AN61" i="39" s="1"/>
  <c r="AF50" i="39"/>
  <c r="AG50" i="39" s="1"/>
  <c r="AN50" i="39" s="1"/>
  <c r="AF141" i="39"/>
  <c r="AG141" i="39" s="1"/>
  <c r="AN141" i="39" s="1"/>
  <c r="AF113" i="39"/>
  <c r="AG113" i="39" s="1"/>
  <c r="AN113" i="39" s="1"/>
  <c r="AF121" i="39"/>
  <c r="AG121" i="39" s="1"/>
  <c r="AN121" i="39" s="1"/>
  <c r="AF86" i="39"/>
  <c r="AG86" i="39" s="1"/>
  <c r="AN86" i="39" s="1"/>
  <c r="AF101" i="39"/>
  <c r="AG101" i="39" s="1"/>
  <c r="AN101" i="39" s="1"/>
  <c r="AF171" i="39"/>
  <c r="AG171" i="39" s="1"/>
  <c r="AN171" i="39" s="1"/>
  <c r="AF114" i="39"/>
  <c r="AG114" i="39" s="1"/>
  <c r="AN114" i="39" s="1"/>
  <c r="AF45" i="39"/>
  <c r="AG45" i="39" s="1"/>
  <c r="AN45" i="39" s="1"/>
  <c r="AF158" i="39"/>
  <c r="AG158" i="39" s="1"/>
  <c r="AN158" i="39" s="1"/>
  <c r="AF78" i="39"/>
  <c r="AG78" i="39" s="1"/>
  <c r="AN78" i="39" s="1"/>
  <c r="AF47" i="39"/>
  <c r="AG47" i="39" s="1"/>
  <c r="AN47" i="39" s="1"/>
  <c r="AF95" i="39"/>
  <c r="AG95" i="39" s="1"/>
  <c r="AN95" i="39" s="1"/>
  <c r="AF46" i="39"/>
  <c r="AG46" i="39" s="1"/>
  <c r="AN46" i="39" s="1"/>
  <c r="AF117" i="39"/>
  <c r="AG117" i="39" s="1"/>
  <c r="AN117" i="39" s="1"/>
  <c r="AF55" i="39"/>
  <c r="AG55" i="39" s="1"/>
  <c r="AN55" i="39" s="1"/>
  <c r="AF142" i="39"/>
  <c r="AG142" i="39" s="1"/>
  <c r="AN142" i="39" s="1"/>
  <c r="AF73" i="39"/>
  <c r="AG73" i="39" s="1"/>
  <c r="AN73" i="39" s="1"/>
  <c r="AF167" i="39"/>
  <c r="AG167" i="39" s="1"/>
  <c r="AN167" i="39" s="1"/>
  <c r="AF43" i="39"/>
  <c r="AG43" i="39" s="1"/>
  <c r="AN43" i="39" s="1"/>
  <c r="AF92" i="39"/>
  <c r="AG92" i="39" s="1"/>
  <c r="AN92" i="39" s="1"/>
  <c r="AF42" i="39"/>
  <c r="AG42" i="39" s="1"/>
  <c r="AN42" i="39" s="1"/>
  <c r="AF107" i="39"/>
  <c r="AG107" i="39" s="1"/>
  <c r="AN107" i="39" s="1"/>
  <c r="AF136" i="39"/>
  <c r="AG136" i="39" s="1"/>
  <c r="AN136" i="39" s="1"/>
  <c r="AF151" i="39"/>
  <c r="AG151" i="39" s="1"/>
  <c r="AN151" i="39" s="1"/>
  <c r="AF119" i="39"/>
  <c r="AG119" i="39" s="1"/>
  <c r="AN119" i="39" s="1"/>
  <c r="AF118" i="39"/>
  <c r="AG118" i="39" s="1"/>
  <c r="AN118" i="39" s="1"/>
  <c r="AF54" i="39"/>
  <c r="AG54" i="39" s="1"/>
  <c r="AN54" i="39" s="1"/>
  <c r="AF145" i="39"/>
  <c r="AG145" i="39" s="1"/>
  <c r="AN145" i="39" s="1"/>
  <c r="AF67" i="39"/>
  <c r="AG67" i="39" s="1"/>
  <c r="AN67" i="39" s="1"/>
  <c r="AF15" i="39"/>
  <c r="AG15" i="39" s="1"/>
  <c r="AN15" i="39" s="1"/>
  <c r="AF93" i="39"/>
  <c r="AG93" i="39" s="1"/>
  <c r="AN93" i="39" s="1"/>
  <c r="AF14" i="39"/>
  <c r="AG14" i="39" s="1"/>
  <c r="AN14" i="39" s="1"/>
  <c r="AF128" i="39"/>
  <c r="AG128" i="39" s="1"/>
  <c r="AN128" i="39" s="1"/>
  <c r="AF35" i="39"/>
  <c r="AG35" i="39" s="1"/>
  <c r="AN35" i="39" s="1"/>
  <c r="AF135" i="39"/>
  <c r="AG135" i="39" s="1"/>
  <c r="AN135" i="39" s="1"/>
  <c r="AF98" i="39"/>
  <c r="AG98" i="39" s="1"/>
  <c r="AN98" i="39" s="1"/>
  <c r="AF149" i="39"/>
  <c r="AG149" i="39" s="1"/>
  <c r="AN149" i="39" s="1"/>
  <c r="AF19" i="39"/>
  <c r="AG19" i="39" s="1"/>
  <c r="AN19" i="39" s="1"/>
  <c r="AF56" i="39"/>
  <c r="AG56" i="39" s="1"/>
  <c r="AN56" i="39" s="1"/>
  <c r="AF59" i="39"/>
  <c r="AG59" i="39" s="1"/>
  <c r="AN59" i="39" s="1"/>
  <c r="AF144" i="39"/>
  <c r="AG144" i="39" s="1"/>
  <c r="AN144" i="39" s="1"/>
  <c r="AF105" i="39"/>
  <c r="AG105" i="39" s="1"/>
  <c r="AN105" i="39" s="1"/>
  <c r="AF123" i="39"/>
  <c r="AG123" i="39" s="1"/>
  <c r="AN123" i="39" s="1"/>
  <c r="AF154" i="39"/>
  <c r="AG154" i="39" s="1"/>
  <c r="AN154" i="39" s="1"/>
  <c r="AF96" i="39"/>
  <c r="AG96" i="39" s="1"/>
  <c r="AN96" i="39" s="1"/>
  <c r="AF41" i="39"/>
  <c r="AG41" i="39" s="1"/>
  <c r="AN41" i="39" s="1"/>
  <c r="AF163" i="39"/>
  <c r="AG163" i="39" s="1"/>
  <c r="AN163" i="39" s="1"/>
  <c r="AF88" i="39"/>
  <c r="AG88" i="39" s="1"/>
  <c r="AN88" i="39" s="1"/>
  <c r="AF57" i="39"/>
  <c r="AG57" i="39" s="1"/>
  <c r="AN57" i="39" s="1"/>
  <c r="AF175" i="39"/>
  <c r="AG175" i="39" s="1"/>
  <c r="AN175" i="39" s="1"/>
  <c r="AF143" i="39"/>
  <c r="AG143" i="39" s="1"/>
  <c r="AN143" i="39" s="1"/>
  <c r="AF97" i="39"/>
  <c r="AG97" i="39" s="1"/>
  <c r="AN97" i="39" s="1"/>
  <c r="AF21" i="39"/>
  <c r="AG21" i="39" s="1"/>
  <c r="AN21" i="39" s="1"/>
  <c r="AF116" i="39"/>
  <c r="AG116" i="39" s="1"/>
  <c r="AN116" i="39" s="1"/>
  <c r="AF87" i="39"/>
  <c r="AG87" i="39" s="1"/>
  <c r="AN87" i="39" s="1"/>
  <c r="AF156" i="39"/>
  <c r="AG156" i="39" s="1"/>
  <c r="AN156" i="39" s="1"/>
  <c r="AF111" i="39"/>
  <c r="AG111" i="39" s="1"/>
  <c r="AN111" i="39" s="1"/>
  <c r="AF24" i="39"/>
  <c r="AG24" i="39" s="1"/>
  <c r="AN24" i="39" s="1"/>
  <c r="AF147" i="39"/>
  <c r="AG147" i="39" s="1"/>
  <c r="AN147" i="39" s="1"/>
  <c r="AF63" i="39"/>
  <c r="AG63" i="39" s="1"/>
  <c r="AN63" i="39" s="1"/>
  <c r="AF125" i="39"/>
  <c r="AG125" i="39" s="1"/>
  <c r="AN125" i="39" s="1"/>
  <c r="AF66" i="39"/>
  <c r="AG66" i="39" s="1"/>
  <c r="AN66" i="39" s="1"/>
  <c r="AF124" i="39"/>
  <c r="AG124" i="39" s="1"/>
  <c r="AN124" i="39" s="1"/>
  <c r="AF48" i="39"/>
  <c r="AG48" i="39" s="1"/>
  <c r="AN48" i="39" s="1"/>
  <c r="AF25" i="39"/>
  <c r="AG25" i="39" s="1"/>
  <c r="AN25" i="39" s="1"/>
  <c r="AF39" i="39"/>
  <c r="AG39" i="39" s="1"/>
  <c r="AN39" i="39" s="1"/>
  <c r="AF127" i="39"/>
  <c r="AG127" i="39" s="1"/>
  <c r="AN127" i="39" s="1"/>
  <c r="AF32" i="39"/>
  <c r="AG32" i="39" s="1"/>
  <c r="AN32" i="39" s="1"/>
  <c r="AF140" i="39"/>
  <c r="AG140" i="39" s="1"/>
  <c r="AN140" i="39" s="1"/>
  <c r="AF68" i="39"/>
  <c r="AG68" i="39" s="1"/>
  <c r="AN68" i="39" s="1"/>
  <c r="AF28" i="39"/>
  <c r="AG28" i="39" s="1"/>
  <c r="AN28" i="39" s="1"/>
  <c r="AF77" i="39"/>
  <c r="AG77" i="39" s="1"/>
  <c r="AN77" i="39" s="1"/>
  <c r="AF36" i="39"/>
  <c r="AG36" i="39" s="1"/>
  <c r="AN36" i="39" s="1"/>
  <c r="AF65" i="39"/>
  <c r="AG65" i="39" s="1"/>
  <c r="AN65" i="39" s="1"/>
  <c r="AF22" i="39"/>
  <c r="AG22" i="39" s="1"/>
  <c r="AN22" i="39" s="1"/>
  <c r="AF133" i="39"/>
  <c r="AG133" i="39" s="1"/>
  <c r="AN133" i="39" s="1"/>
  <c r="AF62" i="39"/>
  <c r="AG62" i="39" s="1"/>
  <c r="AN62" i="39" s="1"/>
  <c r="AF152" i="39"/>
  <c r="AG152" i="39" s="1"/>
  <c r="AN152" i="39" s="1"/>
  <c r="AF71" i="39"/>
  <c r="AG71" i="39" s="1"/>
  <c r="AN71" i="39" s="1"/>
  <c r="AF64" i="39"/>
  <c r="AG64" i="39" s="1"/>
  <c r="AN64" i="39" s="1"/>
  <c r="AF159" i="39"/>
  <c r="AG159" i="39" s="1"/>
  <c r="AN159" i="39" s="1"/>
  <c r="AF139" i="39"/>
  <c r="AG139" i="39" s="1"/>
  <c r="AN139" i="39" s="1"/>
  <c r="AF120" i="39"/>
  <c r="AG120" i="39" s="1"/>
  <c r="AN120" i="39" s="1"/>
  <c r="AF80" i="39"/>
  <c r="AG80" i="39" s="1"/>
  <c r="AN80" i="39" s="1"/>
  <c r="AF26" i="39"/>
  <c r="AG26" i="39" s="1"/>
  <c r="AN26" i="39" s="1"/>
  <c r="AF103" i="39"/>
  <c r="AG103" i="39" s="1"/>
  <c r="AN103" i="39" s="1"/>
  <c r="AF53" i="39"/>
  <c r="AG53" i="39" s="1"/>
  <c r="AN53" i="39" s="1"/>
  <c r="AF134" i="39"/>
  <c r="AG134" i="39" s="1"/>
  <c r="AN134" i="39" s="1"/>
  <c r="AF90" i="39"/>
  <c r="AG90" i="39" s="1"/>
  <c r="AN90" i="39" s="1"/>
  <c r="AF170" i="39"/>
  <c r="AG170" i="39" s="1"/>
  <c r="AN170" i="39" s="1"/>
  <c r="AF33" i="39"/>
  <c r="AG33" i="39" s="1"/>
  <c r="AN33" i="39" s="1"/>
  <c r="AF99" i="39"/>
  <c r="AG99" i="39" s="1"/>
  <c r="AN99" i="39" s="1"/>
  <c r="AF37" i="39"/>
  <c r="AG37" i="39" s="1"/>
  <c r="AN37" i="39" s="1"/>
  <c r="AF104" i="39"/>
  <c r="AG104" i="39" s="1"/>
  <c r="AN104" i="39" s="1"/>
  <c r="AF165" i="39"/>
  <c r="AG165" i="39" s="1"/>
  <c r="AN165" i="39" s="1"/>
  <c r="AF23" i="39"/>
  <c r="AG23" i="39" s="1"/>
  <c r="AN23" i="39" s="1"/>
  <c r="AF168" i="39"/>
  <c r="AG168" i="39" s="1"/>
  <c r="AN168" i="39" s="1"/>
  <c r="AF29" i="39"/>
  <c r="AG29" i="39" s="1"/>
  <c r="AN29" i="39" s="1"/>
  <c r="AF76" i="39"/>
  <c r="AG76" i="39" s="1"/>
  <c r="AN76" i="39" s="1"/>
  <c r="AF153" i="39"/>
  <c r="AG153" i="39" s="1"/>
  <c r="AN153" i="39" s="1"/>
  <c r="AF84" i="39"/>
  <c r="AG84" i="39" s="1"/>
  <c r="AN84" i="39" s="1"/>
  <c r="AF100" i="39"/>
  <c r="AG100" i="39" s="1"/>
  <c r="AN100" i="39" s="1"/>
  <c r="AF131" i="39"/>
  <c r="AG131" i="39" s="1"/>
  <c r="AN131" i="39" s="1"/>
  <c r="BO175" i="39"/>
  <c r="BY175" i="39"/>
  <c r="BZ175" i="39" s="1"/>
  <c r="BJ175" i="39"/>
  <c r="BK175" i="39" s="1"/>
  <c r="BR175" i="39" s="1"/>
  <c r="AC175" i="39"/>
  <c r="AZ175" i="39"/>
  <c r="AK175" i="39"/>
  <c r="V175" i="39"/>
  <c r="CK175" i="39"/>
  <c r="BG175" i="39"/>
  <c r="AU175" i="39"/>
  <c r="AV175" i="39" s="1"/>
  <c r="BC175" i="39" s="1"/>
  <c r="AR175" i="39"/>
  <c r="BV175" i="39"/>
  <c r="CD175" i="39"/>
  <c r="BV160" i="39"/>
  <c r="BY160" i="39"/>
  <c r="BZ160" i="39" s="1"/>
  <c r="BG160" i="39"/>
  <c r="AU160" i="39"/>
  <c r="AV160" i="39" s="1"/>
  <c r="BC160" i="39" s="1"/>
  <c r="P178" i="39"/>
  <c r="Q178" i="39" s="1"/>
  <c r="R178" i="39" s="1"/>
  <c r="Y178" i="39" s="1"/>
  <c r="AC160" i="39"/>
  <c r="AR160" i="39"/>
  <c r="AK160" i="39"/>
  <c r="AZ160" i="39"/>
  <c r="BJ160" i="39"/>
  <c r="BK160" i="39" s="1"/>
  <c r="BR160" i="39" s="1"/>
  <c r="CK160" i="39"/>
  <c r="BO160" i="39"/>
  <c r="CD160" i="39"/>
  <c r="V160" i="39"/>
  <c r="CD176" i="39"/>
  <c r="BY176" i="39"/>
  <c r="BZ176" i="39" s="1"/>
  <c r="V176" i="39"/>
  <c r="AZ176" i="39"/>
  <c r="BG176" i="39"/>
  <c r="AU176" i="39"/>
  <c r="AV176" i="39" s="1"/>
  <c r="BC176" i="39" s="1"/>
  <c r="BJ176" i="39"/>
  <c r="BK176" i="39" s="1"/>
  <c r="BR176" i="39" s="1"/>
  <c r="CK176" i="39"/>
  <c r="BO176" i="39"/>
  <c r="AC176" i="39"/>
  <c r="BV176" i="39"/>
  <c r="AK176" i="39"/>
  <c r="AR176" i="39"/>
  <c r="Q19" i="39"/>
  <c r="R19" i="39" s="1"/>
  <c r="Q50" i="39"/>
  <c r="R50" i="39" s="1"/>
  <c r="Y50" i="39" s="1"/>
  <c r="Q28" i="39"/>
  <c r="R28" i="39" s="1"/>
  <c r="Q64" i="39"/>
  <c r="R64" i="39" s="1"/>
  <c r="Y64" i="39" s="1"/>
  <c r="Q65" i="39"/>
  <c r="R65" i="39" s="1"/>
  <c r="Y65" i="39" s="1"/>
  <c r="Q174" i="39"/>
  <c r="R174" i="39" s="1"/>
  <c r="Q45" i="39"/>
  <c r="R45" i="39" s="1"/>
  <c r="Y45" i="39" s="1"/>
  <c r="Q37" i="39"/>
  <c r="R37" i="39" s="1"/>
  <c r="Y37" i="39" s="1"/>
  <c r="Q94" i="39"/>
  <c r="R94" i="39" s="1"/>
  <c r="Y94" i="39" s="1"/>
  <c r="Q97" i="39"/>
  <c r="R97" i="39" s="1"/>
  <c r="Y97" i="39" s="1"/>
  <c r="Q134" i="39"/>
  <c r="R134" i="39" s="1"/>
  <c r="Q20" i="39"/>
  <c r="R20" i="39" s="1"/>
  <c r="Q60" i="39"/>
  <c r="R60" i="39" s="1"/>
  <c r="Q47" i="39"/>
  <c r="R47" i="39" s="1"/>
  <c r="Q56" i="39"/>
  <c r="R56" i="39" s="1"/>
  <c r="Y56" i="39" s="1"/>
  <c r="Q119" i="39"/>
  <c r="R119" i="39" s="1"/>
  <c r="Y119" i="39" s="1"/>
  <c r="Q76" i="39"/>
  <c r="R76" i="39" s="1"/>
  <c r="Y76" i="39" s="1"/>
  <c r="Q98" i="39"/>
  <c r="R98" i="39" s="1"/>
  <c r="Y98" i="39" s="1"/>
  <c r="Q160" i="39"/>
  <c r="R160" i="39" s="1"/>
  <c r="Y160" i="39" s="1"/>
  <c r="Q140" i="39"/>
  <c r="R140" i="39" s="1"/>
  <c r="Y140" i="39" s="1"/>
  <c r="Q61" i="39"/>
  <c r="R61" i="39" s="1"/>
  <c r="Y61" i="39" s="1"/>
  <c r="Q88" i="39"/>
  <c r="R88" i="39" s="1"/>
  <c r="Q133" i="39"/>
  <c r="R133" i="39" s="1"/>
  <c r="Q77" i="39"/>
  <c r="R77" i="39" s="1"/>
  <c r="Y77" i="39" s="1"/>
  <c r="Q105" i="39"/>
  <c r="R105" i="39" s="1"/>
  <c r="Y105" i="39" s="1"/>
  <c r="Q148" i="39"/>
  <c r="R148" i="39" s="1"/>
  <c r="Y148" i="39" s="1"/>
  <c r="Q145" i="39"/>
  <c r="R145" i="39" s="1"/>
  <c r="Q14" i="39"/>
  <c r="R14" i="39" s="1"/>
  <c r="Y14" i="39" s="1"/>
  <c r="Q18" i="39"/>
  <c r="R18" i="39" s="1"/>
  <c r="Y18" i="39" s="1"/>
  <c r="Q82" i="39"/>
  <c r="R82" i="39" s="1"/>
  <c r="Y82" i="39" s="1"/>
  <c r="Q126" i="39"/>
  <c r="R126" i="39" s="1"/>
  <c r="Q113" i="39"/>
  <c r="R113" i="39" s="1"/>
  <c r="Y113" i="39" s="1"/>
  <c r="Q80" i="39"/>
  <c r="R80" i="39" s="1"/>
  <c r="Y80" i="39" s="1"/>
  <c r="Q117" i="39"/>
  <c r="R117" i="39" s="1"/>
  <c r="Y117" i="39" s="1"/>
  <c r="Q168" i="39"/>
  <c r="R168" i="39" s="1"/>
  <c r="Y168" i="39" s="1"/>
  <c r="Q166" i="39"/>
  <c r="R166" i="39" s="1"/>
  <c r="Y166" i="39" s="1"/>
  <c r="Q136" i="39"/>
  <c r="R136" i="39" s="1"/>
  <c r="Q46" i="39"/>
  <c r="R46" i="39" s="1"/>
  <c r="Q15" i="39"/>
  <c r="R15" i="39" s="1"/>
  <c r="Q112" i="39"/>
  <c r="R112" i="39" s="1"/>
  <c r="Y112" i="39" s="1"/>
  <c r="Q51" i="39"/>
  <c r="R51" i="39" s="1"/>
  <c r="Y51" i="39" s="1"/>
  <c r="Q23" i="39"/>
  <c r="R23" i="39" s="1"/>
  <c r="Q33" i="39"/>
  <c r="R33" i="39" s="1"/>
  <c r="Q13" i="39"/>
  <c r="R13" i="39" s="1"/>
  <c r="Q30" i="39"/>
  <c r="R30" i="39" s="1"/>
  <c r="Q70" i="39"/>
  <c r="R70" i="39" s="1"/>
  <c r="Y70" i="39" s="1"/>
  <c r="Q75" i="39"/>
  <c r="R75" i="39" s="1"/>
  <c r="Y75" i="39" s="1"/>
  <c r="Q128" i="39"/>
  <c r="R128" i="39" s="1"/>
  <c r="Q62" i="39"/>
  <c r="R62" i="39" s="1"/>
  <c r="Q87" i="39"/>
  <c r="R87" i="39" s="1"/>
  <c r="Q127" i="39"/>
  <c r="R127" i="39" s="1"/>
  <c r="Y127" i="39" s="1"/>
  <c r="Q146" i="39"/>
  <c r="R146" i="39" s="1"/>
  <c r="Y146" i="39" s="1"/>
  <c r="Q150" i="39"/>
  <c r="R150" i="39" s="1"/>
  <c r="Y150" i="39" s="1"/>
  <c r="Q172" i="39"/>
  <c r="R172" i="39" s="1"/>
  <c r="Q154" i="39"/>
  <c r="R154" i="39" s="1"/>
  <c r="Y154" i="39" s="1"/>
  <c r="Q142" i="39"/>
  <c r="R142" i="39" s="1"/>
  <c r="Y142" i="39" s="1"/>
  <c r="Q156" i="39"/>
  <c r="R156" i="39" s="1"/>
  <c r="Y156" i="39" s="1"/>
  <c r="Q43" i="39"/>
  <c r="R43" i="39" s="1"/>
  <c r="Y43" i="39" s="1"/>
  <c r="Q121" i="39"/>
  <c r="R121" i="39" s="1"/>
  <c r="Y121" i="39" s="1"/>
  <c r="Q170" i="39"/>
  <c r="R170" i="39" s="1"/>
  <c r="Y170" i="39" s="1"/>
  <c r="Q66" i="39"/>
  <c r="R66" i="39" s="1"/>
  <c r="Q39" i="39"/>
  <c r="R39" i="39" s="1"/>
  <c r="Q71" i="39"/>
  <c r="R71" i="39" s="1"/>
  <c r="Q96" i="39"/>
  <c r="R96" i="39" s="1"/>
  <c r="Y96" i="39" s="1"/>
  <c r="Q141" i="39"/>
  <c r="R141" i="39" s="1"/>
  <c r="Y141" i="39" s="1"/>
  <c r="Q139" i="39"/>
  <c r="R139" i="39" s="1"/>
  <c r="Q138" i="39"/>
  <c r="R138" i="39" s="1"/>
  <c r="Y138" i="39" s="1"/>
  <c r="Q34" i="39"/>
  <c r="R34" i="39" s="1"/>
  <c r="Y34" i="39" s="1"/>
  <c r="Q41" i="39"/>
  <c r="R41" i="39" s="1"/>
  <c r="Y41" i="39" s="1"/>
  <c r="Q101" i="39"/>
  <c r="R101" i="39" s="1"/>
  <c r="Q59" i="39"/>
  <c r="R59" i="39" s="1"/>
  <c r="Y59" i="39" s="1"/>
  <c r="Q123" i="39"/>
  <c r="R123" i="39" s="1"/>
  <c r="Y123" i="39" s="1"/>
  <c r="Q84" i="39"/>
  <c r="R84" i="39" s="1"/>
  <c r="Y84" i="39" s="1"/>
  <c r="Q165" i="39"/>
  <c r="R165" i="39" s="1"/>
  <c r="Q132" i="39"/>
  <c r="R132" i="39" s="1"/>
  <c r="Q111" i="39"/>
  <c r="R111" i="39" s="1"/>
  <c r="Y111" i="39" s="1"/>
  <c r="Q114" i="39"/>
  <c r="R114" i="39" s="1"/>
  <c r="Y114" i="39" s="1"/>
  <c r="Q91" i="39"/>
  <c r="R91" i="39" s="1"/>
  <c r="Y91" i="39" s="1"/>
  <c r="Q73" i="39"/>
  <c r="R73" i="39" s="1"/>
  <c r="Y73" i="39" s="1"/>
  <c r="Q129" i="39"/>
  <c r="R129" i="39" s="1"/>
  <c r="Y129" i="39" s="1"/>
  <c r="Q102" i="39"/>
  <c r="R102" i="39" s="1"/>
  <c r="Y102" i="39" s="1"/>
  <c r="Q149" i="39"/>
  <c r="R149" i="39" s="1"/>
  <c r="Q152" i="39"/>
  <c r="R152" i="39" s="1"/>
  <c r="Y152" i="39" s="1"/>
  <c r="Q48" i="39"/>
  <c r="R48" i="39" s="1"/>
  <c r="Y48" i="39" s="1"/>
  <c r="Q21" i="39"/>
  <c r="R21" i="39" s="1"/>
  <c r="Q54" i="39"/>
  <c r="R54" i="39" s="1"/>
  <c r="Q52" i="39"/>
  <c r="R52" i="39" s="1"/>
  <c r="Q26" i="39"/>
  <c r="R26" i="39" s="1"/>
  <c r="Y26" i="39" s="1"/>
  <c r="Q44" i="39"/>
  <c r="R44" i="39" s="1"/>
  <c r="Y44" i="39" s="1"/>
  <c r="Q17" i="39"/>
  <c r="R17" i="39" s="1"/>
  <c r="Q12" i="39"/>
  <c r="R12" i="39" s="1"/>
  <c r="Q86" i="39"/>
  <c r="R86" i="39" s="1"/>
  <c r="Y86" i="39" s="1"/>
  <c r="Q79" i="39"/>
  <c r="R79" i="39" s="1"/>
  <c r="Q69" i="39"/>
  <c r="R69" i="39" s="1"/>
  <c r="Y69" i="39" s="1"/>
  <c r="Q68" i="39"/>
  <c r="R68" i="39" s="1"/>
  <c r="Y68" i="39" s="1"/>
  <c r="Q90" i="39"/>
  <c r="R90" i="39" s="1"/>
  <c r="Y90" i="39" s="1"/>
  <c r="Q135" i="39"/>
  <c r="R135" i="39" s="1"/>
  <c r="Y135" i="39" s="1"/>
  <c r="Q158" i="39"/>
  <c r="R158" i="39" s="1"/>
  <c r="Q171" i="39"/>
  <c r="R171" i="39" s="1"/>
  <c r="Q115" i="39"/>
  <c r="R115" i="39" s="1"/>
  <c r="Y115" i="39" s="1"/>
  <c r="Q157" i="39"/>
  <c r="R157" i="39" s="1"/>
  <c r="Y157" i="39" s="1"/>
  <c r="Q144" i="39"/>
  <c r="R144" i="39" s="1"/>
  <c r="Q162" i="39"/>
  <c r="R162" i="39" s="1"/>
  <c r="Y162" i="39" s="1"/>
  <c r="Q85" i="39"/>
  <c r="R85" i="39" s="1"/>
  <c r="Y85" i="39" s="1"/>
  <c r="Q176" i="39"/>
  <c r="R176" i="39" s="1"/>
  <c r="Y176" i="39" s="1"/>
  <c r="Q72" i="39"/>
  <c r="R72" i="39" s="1"/>
  <c r="Y72" i="39" s="1"/>
  <c r="Q116" i="39"/>
  <c r="R116" i="39" s="1"/>
  <c r="Y116" i="39" s="1"/>
  <c r="Q108" i="39"/>
  <c r="R108" i="39" s="1"/>
  <c r="Y108" i="39" s="1"/>
  <c r="Q120" i="39"/>
  <c r="R120" i="39" s="1"/>
  <c r="Y120" i="39" s="1"/>
  <c r="Q147" i="39"/>
  <c r="R147" i="39" s="1"/>
  <c r="Y147" i="39" s="1"/>
  <c r="Q122" i="39"/>
  <c r="R122" i="39" s="1"/>
  <c r="Q38" i="39"/>
  <c r="R38" i="39" s="1"/>
  <c r="Q104" i="39"/>
  <c r="R104" i="39" s="1"/>
  <c r="Y104" i="39" s="1"/>
  <c r="Q110" i="39"/>
  <c r="R110" i="39" s="1"/>
  <c r="Q124" i="39"/>
  <c r="R124" i="39" s="1"/>
  <c r="Q169" i="39"/>
  <c r="R169" i="39" s="1"/>
  <c r="Y169" i="39" s="1"/>
  <c r="Q118" i="39"/>
  <c r="R118" i="39" s="1"/>
  <c r="Q74" i="39"/>
  <c r="R74" i="39" s="1"/>
  <c r="Y74" i="39" s="1"/>
  <c r="Q100" i="39"/>
  <c r="R100" i="39" s="1"/>
  <c r="Y100" i="39" s="1"/>
  <c r="Q143" i="39"/>
  <c r="R143" i="39" s="1"/>
  <c r="Y143" i="39" s="1"/>
  <c r="Q42" i="39"/>
  <c r="R42" i="39" s="1"/>
  <c r="Y42" i="39" s="1"/>
  <c r="Q49" i="39"/>
  <c r="R49" i="39" s="1"/>
  <c r="Y49" i="39" s="1"/>
  <c r="Q11" i="39"/>
  <c r="R11" i="39" s="1"/>
  <c r="Y11" i="39" s="1"/>
  <c r="Q57" i="39"/>
  <c r="R57" i="39" s="1"/>
  <c r="Y57" i="39" s="1"/>
  <c r="Q24" i="39"/>
  <c r="R24" i="39" s="1"/>
  <c r="Y24" i="39" s="1"/>
  <c r="Q16" i="39"/>
  <c r="R16" i="39" s="1"/>
  <c r="Y16" i="39" s="1"/>
  <c r="Q53" i="39"/>
  <c r="R53" i="39" s="1"/>
  <c r="Y53" i="39" s="1"/>
  <c r="Q31" i="39"/>
  <c r="R31" i="39" s="1"/>
  <c r="Q55" i="39"/>
  <c r="R55" i="39" s="1"/>
  <c r="Q25" i="39"/>
  <c r="R25" i="39" s="1"/>
  <c r="Y25" i="39" s="1"/>
  <c r="Q32" i="39"/>
  <c r="R32" i="39" s="1"/>
  <c r="Y32" i="39" s="1"/>
  <c r="Q92" i="39"/>
  <c r="R92" i="39" s="1"/>
  <c r="Q89" i="39"/>
  <c r="R89" i="39" s="1"/>
  <c r="Y89" i="39" s="1"/>
  <c r="Q78" i="39"/>
  <c r="R78" i="39" s="1"/>
  <c r="Y78" i="39" s="1"/>
  <c r="Q99" i="39"/>
  <c r="R99" i="39" s="1"/>
  <c r="Y99" i="39" s="1"/>
  <c r="Q106" i="39"/>
  <c r="R106" i="39" s="1"/>
  <c r="Y106" i="39" s="1"/>
  <c r="Q81" i="39"/>
  <c r="R81" i="39" s="1"/>
  <c r="Y81" i="39" s="1"/>
  <c r="Q163" i="39"/>
  <c r="R163" i="39" s="1"/>
  <c r="Y163" i="39" s="1"/>
  <c r="Q175" i="39"/>
  <c r="R175" i="39" s="1"/>
  <c r="Y175" i="39" s="1"/>
  <c r="Q130" i="39"/>
  <c r="R130" i="39" s="1"/>
  <c r="Q159" i="39"/>
  <c r="R159" i="39" s="1"/>
  <c r="Q151" i="39"/>
  <c r="R151" i="39" s="1"/>
  <c r="Y151" i="39" s="1"/>
  <c r="Q22" i="39"/>
  <c r="R22" i="39" s="1"/>
  <c r="Y22" i="39" s="1"/>
  <c r="Q58" i="39"/>
  <c r="R58" i="39" s="1"/>
  <c r="Y58" i="39" s="1"/>
  <c r="Q40" i="39"/>
  <c r="R40" i="39" s="1"/>
  <c r="Y40" i="39" s="1"/>
  <c r="Q27" i="39"/>
  <c r="R27" i="39" s="1"/>
  <c r="Q63" i="39"/>
  <c r="R63" i="39" s="1"/>
  <c r="Q35" i="39"/>
  <c r="R35" i="39" s="1"/>
  <c r="Y35" i="39" s="1"/>
  <c r="Q67" i="39"/>
  <c r="R67" i="39" s="1"/>
  <c r="Y67" i="39" s="1"/>
  <c r="Q29" i="39"/>
  <c r="R29" i="39" s="1"/>
  <c r="Y29" i="39" s="1"/>
  <c r="Q36" i="39"/>
  <c r="R36" i="39" s="1"/>
  <c r="Y36" i="39" s="1"/>
  <c r="Q95" i="39"/>
  <c r="R95" i="39" s="1"/>
  <c r="Q93" i="39"/>
  <c r="R93" i="39" s="1"/>
  <c r="Y93" i="39" s="1"/>
  <c r="Q103" i="39"/>
  <c r="R103" i="39" s="1"/>
  <c r="Y103" i="39" s="1"/>
  <c r="Q107" i="39"/>
  <c r="R107" i="39" s="1"/>
  <c r="Y107" i="39" s="1"/>
  <c r="Q109" i="39"/>
  <c r="R109" i="39" s="1"/>
  <c r="Q83" i="39"/>
  <c r="R83" i="39" s="1"/>
  <c r="Y83" i="39" s="1"/>
  <c r="Q164" i="39"/>
  <c r="R164" i="39" s="1"/>
  <c r="Q125" i="39"/>
  <c r="R125" i="39" s="1"/>
  <c r="Y125" i="39" s="1"/>
  <c r="Q131" i="39"/>
  <c r="R131" i="39" s="1"/>
  <c r="Y131" i="39" s="1"/>
  <c r="Q167" i="39"/>
  <c r="R167" i="39" s="1"/>
  <c r="Y167" i="39" s="1"/>
  <c r="Q153" i="39"/>
  <c r="R153" i="39" s="1"/>
  <c r="Y153" i="39" s="1"/>
  <c r="BZ169" i="39"/>
  <c r="V181" i="39"/>
  <c r="BG181" i="39"/>
  <c r="AC181" i="39"/>
  <c r="AZ181" i="39"/>
  <c r="AR181" i="39"/>
  <c r="AK181" i="39"/>
  <c r="BO181" i="39"/>
  <c r="CD181" i="39"/>
  <c r="CK181" i="39"/>
  <c r="BV181" i="39"/>
  <c r="BJ181" i="39"/>
  <c r="BK181" i="39" s="1"/>
  <c r="BR181" i="39" s="1"/>
  <c r="AF181" i="39"/>
  <c r="AG181" i="39" s="1"/>
  <c r="AN181" i="39" s="1"/>
  <c r="AU181" i="39"/>
  <c r="AV181" i="39" s="1"/>
  <c r="BC181" i="39" s="1"/>
  <c r="AK177" i="39"/>
  <c r="AC177" i="39"/>
  <c r="BG177" i="39"/>
  <c r="CK177" i="39"/>
  <c r="AZ177" i="39"/>
  <c r="V177" i="39"/>
  <c r="BO177" i="39"/>
  <c r="BV177" i="39"/>
  <c r="AR177" i="39"/>
  <c r="CD177" i="39"/>
  <c r="AF177" i="39"/>
  <c r="AG177" i="39" s="1"/>
  <c r="AN177" i="39" s="1"/>
  <c r="AU177" i="39"/>
  <c r="AV177" i="39" s="1"/>
  <c r="BC177" i="39" s="1"/>
  <c r="BJ177" i="39"/>
  <c r="BK177" i="39" s="1"/>
  <c r="BR177" i="39" s="1"/>
  <c r="Q137" i="39"/>
  <c r="R137" i="39" s="1"/>
  <c r="Y137" i="39" s="1"/>
  <c r="Q161" i="39"/>
  <c r="R161" i="39" s="1"/>
  <c r="Y161" i="39" s="1"/>
  <c r="CK180" i="39"/>
  <c r="AK180" i="39"/>
  <c r="BO180" i="39"/>
  <c r="AC180" i="39"/>
  <c r="AZ180" i="39"/>
  <c r="AR180" i="39"/>
  <c r="V180" i="39"/>
  <c r="BV180" i="39"/>
  <c r="BG180" i="39"/>
  <c r="CD180" i="39"/>
  <c r="AF180" i="39"/>
  <c r="AG180" i="39" s="1"/>
  <c r="AN180" i="39" s="1"/>
  <c r="AU180" i="39"/>
  <c r="AV180" i="39" s="1"/>
  <c r="BC180" i="39" s="1"/>
  <c r="BJ180" i="39"/>
  <c r="BK180" i="39" s="1"/>
  <c r="BR180" i="39" s="1"/>
  <c r="CD182" i="39"/>
  <c r="AZ182" i="39"/>
  <c r="V182" i="39"/>
  <c r="BV182" i="39"/>
  <c r="BG182" i="39"/>
  <c r="BO182" i="39"/>
  <c r="CK182" i="39"/>
  <c r="AK182" i="39"/>
  <c r="AR182" i="39"/>
  <c r="AC182" i="39"/>
  <c r="AF182" i="39"/>
  <c r="AG182" i="39" s="1"/>
  <c r="AN182" i="39" s="1"/>
  <c r="AU182" i="39"/>
  <c r="AV182" i="39" s="1"/>
  <c r="BC182" i="39" s="1"/>
  <c r="BJ182" i="39"/>
  <c r="BK182" i="39" s="1"/>
  <c r="BR182" i="39" s="1"/>
  <c r="BZ177" i="39"/>
  <c r="Q177" i="39"/>
  <c r="R177" i="39" s="1"/>
  <c r="AZ137" i="39"/>
  <c r="BO137" i="39"/>
  <c r="BG137" i="39"/>
  <c r="AC137" i="39"/>
  <c r="AK137" i="39"/>
  <c r="CK137" i="39"/>
  <c r="CD137" i="39"/>
  <c r="AR137" i="39"/>
  <c r="V137" i="39"/>
  <c r="BV137" i="39"/>
  <c r="AF137" i="39"/>
  <c r="AG137" i="39" s="1"/>
  <c r="AN137" i="39" s="1"/>
  <c r="BJ137" i="39"/>
  <c r="BK137" i="39" s="1"/>
  <c r="BR137" i="39" s="1"/>
  <c r="AU137" i="39"/>
  <c r="AV137" i="39" s="1"/>
  <c r="BC137" i="39" s="1"/>
  <c r="BZ181" i="39"/>
  <c r="Q181" i="39"/>
  <c r="R181" i="39" s="1"/>
  <c r="Y181" i="39" s="1"/>
  <c r="Q180" i="39"/>
  <c r="R180" i="39" s="1"/>
  <c r="Y180" i="39" s="1"/>
  <c r="AZ183" i="39"/>
  <c r="CK183" i="39"/>
  <c r="BV183" i="39"/>
  <c r="AR183" i="39"/>
  <c r="AC183" i="39"/>
  <c r="BG183" i="39"/>
  <c r="BO183" i="39"/>
  <c r="CD183" i="39"/>
  <c r="AK183" i="39"/>
  <c r="V183" i="39"/>
  <c r="BJ183" i="39"/>
  <c r="BK183" i="39" s="1"/>
  <c r="BR183" i="39" s="1"/>
  <c r="AF183" i="39"/>
  <c r="AG183" i="39" s="1"/>
  <c r="AN183" i="39" s="1"/>
  <c r="AU183" i="39"/>
  <c r="AV183" i="39" s="1"/>
  <c r="BC183" i="39" s="1"/>
  <c r="BO174" i="39"/>
  <c r="CD174" i="39"/>
  <c r="AC174" i="39"/>
  <c r="BG174" i="39"/>
  <c r="AZ174" i="39"/>
  <c r="AR174" i="39"/>
  <c r="BV174" i="39"/>
  <c r="AK174" i="39"/>
  <c r="V174" i="39"/>
  <c r="CK174" i="39"/>
  <c r="AU174" i="39"/>
  <c r="AV174" i="39" s="1"/>
  <c r="BC174" i="39" s="1"/>
  <c r="BJ174" i="39"/>
  <c r="BK174" i="39" s="1"/>
  <c r="BR174" i="39" s="1"/>
  <c r="AF174" i="39"/>
  <c r="AG174" i="39" s="1"/>
  <c r="AN174" i="39" s="1"/>
  <c r="Q183" i="39"/>
  <c r="R183" i="39" s="1"/>
  <c r="Y183" i="39" s="1"/>
  <c r="BZ182" i="39"/>
  <c r="Q182" i="39"/>
  <c r="R182" i="39" s="1"/>
  <c r="AZ161" i="39"/>
  <c r="BV161" i="39"/>
  <c r="AR161" i="39"/>
  <c r="CD161" i="39"/>
  <c r="BO161" i="39"/>
  <c r="BG161" i="39"/>
  <c r="AK161" i="39"/>
  <c r="AC161" i="39"/>
  <c r="CK161" i="39"/>
  <c r="V161" i="39"/>
  <c r="BJ161" i="39"/>
  <c r="BK161" i="39" s="1"/>
  <c r="BR161" i="39" s="1"/>
  <c r="AF161" i="39"/>
  <c r="AG161" i="39" s="1"/>
  <c r="AN161" i="39" s="1"/>
  <c r="AU161" i="39"/>
  <c r="AV161" i="39" s="1"/>
  <c r="BC161" i="39" s="1"/>
  <c r="BZ183" i="39"/>
  <c r="BZ174" i="39"/>
  <c r="CK169" i="39"/>
  <c r="BV169" i="39"/>
  <c r="V169" i="39"/>
  <c r="BO169" i="39"/>
  <c r="AZ169" i="39"/>
  <c r="AK169" i="39"/>
  <c r="AC169" i="39"/>
  <c r="CD169" i="39"/>
  <c r="BG169" i="39"/>
  <c r="AR169" i="39"/>
  <c r="BJ169" i="39"/>
  <c r="BK169" i="39" s="1"/>
  <c r="BR169" i="39" s="1"/>
  <c r="AF169" i="39"/>
  <c r="AG169" i="39" s="1"/>
  <c r="AN169" i="39" s="1"/>
  <c r="AU169" i="39"/>
  <c r="AV169" i="39" s="1"/>
  <c r="BC169" i="39" s="1"/>
  <c r="BZ180" i="39"/>
  <c r="BR88" i="39"/>
  <c r="BC33" i="39"/>
  <c r="BC107" i="39"/>
  <c r="BR118" i="39"/>
  <c r="BR28" i="39"/>
  <c r="BR142" i="39"/>
  <c r="BR110" i="39"/>
  <c r="BC53" i="39"/>
  <c r="BR131" i="39"/>
  <c r="BR14" i="39"/>
  <c r="BR34" i="39"/>
  <c r="BR55" i="39"/>
  <c r="BR158" i="39"/>
  <c r="BC130" i="39"/>
  <c r="BC36" i="39"/>
  <c r="BR165" i="39"/>
  <c r="BR48" i="39"/>
  <c r="BR32" i="39"/>
  <c r="BR16" i="39"/>
  <c r="BC34" i="39"/>
  <c r="BR56" i="39"/>
  <c r="BC80" i="39"/>
  <c r="BR170" i="39"/>
  <c r="BR39" i="39"/>
  <c r="BR12" i="39"/>
  <c r="BC85" i="39"/>
  <c r="BR103" i="39"/>
  <c r="BC124" i="39"/>
  <c r="BC147" i="39"/>
  <c r="BC145" i="39"/>
  <c r="BR61" i="39"/>
  <c r="BR18" i="39"/>
  <c r="BC69" i="39"/>
  <c r="BR20" i="39"/>
  <c r="BC108" i="39"/>
  <c r="BC72" i="39"/>
  <c r="BR73" i="39"/>
  <c r="BR102" i="39"/>
  <c r="BR67" i="39"/>
  <c r="BR63" i="39"/>
  <c r="BR21" i="39"/>
  <c r="BC93" i="39"/>
  <c r="BC146" i="39"/>
  <c r="BC128" i="39"/>
  <c r="BC71" i="39"/>
  <c r="BC25" i="39"/>
  <c r="BC26" i="39"/>
  <c r="BR172" i="39"/>
  <c r="BR166" i="39"/>
  <c r="BR47" i="39"/>
  <c r="BC82" i="39"/>
  <c r="BR29" i="39"/>
  <c r="BC31" i="39"/>
  <c r="BC18" i="39"/>
  <c r="BR66" i="39"/>
  <c r="BC143" i="39"/>
  <c r="BC23" i="39"/>
  <c r="BC120" i="39"/>
  <c r="BR162" i="39"/>
  <c r="BC86" i="39"/>
  <c r="BC13" i="39"/>
  <c r="BR125" i="39"/>
  <c r="BC116" i="39"/>
  <c r="BC156" i="39"/>
  <c r="BC77" i="39"/>
  <c r="BC148" i="39"/>
  <c r="BR37" i="39"/>
  <c r="BC39" i="39"/>
  <c r="BR129" i="39"/>
  <c r="BR78" i="39"/>
  <c r="BC17" i="39"/>
  <c r="BR53" i="39"/>
  <c r="BC44" i="39"/>
  <c r="BC58" i="39"/>
  <c r="BR24" i="39"/>
  <c r="BR80" i="39"/>
  <c r="BR135" i="39"/>
  <c r="BC170" i="39"/>
  <c r="BC45" i="39"/>
  <c r="BC29" i="39"/>
  <c r="BC163" i="39"/>
  <c r="BC99" i="39"/>
  <c r="BR40" i="39"/>
  <c r="BC172" i="39"/>
  <c r="BC60" i="39"/>
  <c r="BC37" i="39"/>
  <c r="BR132" i="39"/>
  <c r="BR89" i="39"/>
  <c r="BC140" i="39"/>
  <c r="BC52" i="39"/>
  <c r="BC28" i="39"/>
  <c r="BR98" i="39"/>
  <c r="BC64" i="39"/>
  <c r="BR146" i="39"/>
  <c r="BC94" i="39"/>
  <c r="BC21" i="39"/>
  <c r="BR123" i="39"/>
  <c r="BR72" i="39"/>
  <c r="BC159" i="39"/>
  <c r="BZ28" i="39"/>
  <c r="BZ45" i="39"/>
  <c r="BZ68" i="39"/>
  <c r="BZ106" i="39"/>
  <c r="BZ76" i="39"/>
  <c r="BZ88" i="39"/>
  <c r="BZ75" i="39"/>
  <c r="BZ120" i="39"/>
  <c r="BZ19" i="39"/>
  <c r="BZ18" i="39"/>
  <c r="BZ33" i="39"/>
  <c r="BZ14" i="39"/>
  <c r="BZ40" i="39"/>
  <c r="BZ31" i="39"/>
  <c r="BZ43" i="39"/>
  <c r="BZ117" i="39"/>
  <c r="BZ70" i="39"/>
  <c r="BZ111" i="39"/>
  <c r="BZ71" i="39"/>
  <c r="BZ79" i="39"/>
  <c r="BZ124" i="39"/>
  <c r="BZ80" i="39"/>
  <c r="BZ97" i="39"/>
  <c r="BZ126" i="39"/>
  <c r="BZ148" i="39"/>
  <c r="BZ168" i="39"/>
  <c r="BZ146" i="39"/>
  <c r="BZ118" i="39"/>
  <c r="BZ167" i="39"/>
  <c r="BZ141" i="39"/>
  <c r="BZ138" i="39"/>
  <c r="BZ36" i="39"/>
  <c r="BZ12" i="39"/>
  <c r="BZ128" i="39"/>
  <c r="BZ149" i="39"/>
  <c r="BZ15" i="39"/>
  <c r="BZ53" i="39"/>
  <c r="BZ20" i="39"/>
  <c r="BZ16" i="39"/>
  <c r="BZ22" i="39"/>
  <c r="BZ58" i="39"/>
  <c r="BZ121" i="39"/>
  <c r="BZ95" i="39"/>
  <c r="BZ135" i="39"/>
  <c r="BZ92" i="39"/>
  <c r="BZ131" i="39"/>
  <c r="BZ102" i="39"/>
  <c r="BZ85" i="39"/>
  <c r="BZ64" i="39"/>
  <c r="BZ153" i="39"/>
  <c r="BZ152" i="39"/>
  <c r="BZ122" i="39"/>
  <c r="BZ161" i="39"/>
  <c r="BZ17" i="39"/>
  <c r="BZ112" i="39"/>
  <c r="BZ35" i="39"/>
  <c r="BZ50" i="39"/>
  <c r="BZ32" i="39"/>
  <c r="BZ94" i="39"/>
  <c r="BZ77" i="39"/>
  <c r="BZ83" i="39"/>
  <c r="BZ98" i="39"/>
  <c r="BZ127" i="39"/>
  <c r="BZ119" i="39"/>
  <c r="BZ144" i="39"/>
  <c r="BZ81" i="39"/>
  <c r="BZ34" i="39"/>
  <c r="BZ54" i="39"/>
  <c r="BZ74" i="39"/>
  <c r="BZ47" i="39"/>
  <c r="BZ37" i="39"/>
  <c r="BZ42" i="39"/>
  <c r="BZ29" i="39"/>
  <c r="BZ96" i="39"/>
  <c r="BZ129" i="39"/>
  <c r="BZ78" i="39"/>
  <c r="BZ133" i="39"/>
  <c r="BZ60" i="39"/>
  <c r="BZ87" i="39"/>
  <c r="BZ108" i="39"/>
  <c r="BZ139" i="39"/>
  <c r="BZ145" i="39"/>
  <c r="BZ157" i="39"/>
  <c r="BZ130" i="39"/>
  <c r="BZ156" i="39"/>
  <c r="BZ172" i="39"/>
  <c r="BZ51" i="39"/>
  <c r="BZ13" i="39"/>
  <c r="BZ65" i="39"/>
  <c r="BZ26" i="39"/>
  <c r="BZ46" i="39"/>
  <c r="BZ104" i="39"/>
  <c r="BZ55" i="39"/>
  <c r="BZ137" i="39"/>
  <c r="BZ25" i="39"/>
  <c r="BZ48" i="39"/>
  <c r="BZ38" i="39"/>
  <c r="BZ123" i="39"/>
  <c r="BZ21" i="39"/>
  <c r="BZ69" i="39"/>
  <c r="BZ30" i="39"/>
  <c r="BZ61" i="39"/>
  <c r="BZ99" i="39"/>
  <c r="BZ136" i="39"/>
  <c r="BZ105" i="39"/>
  <c r="BZ89" i="39"/>
  <c r="BZ113" i="39"/>
  <c r="BZ140" i="39"/>
  <c r="BZ159" i="39"/>
  <c r="BZ132" i="39"/>
  <c r="BZ154" i="39"/>
  <c r="BZ125" i="39"/>
  <c r="BZ11" i="39"/>
  <c r="CG11" i="39" s="1"/>
  <c r="BZ23" i="39"/>
  <c r="BZ41" i="39"/>
  <c r="BZ56" i="39"/>
  <c r="BZ49" i="39"/>
  <c r="BZ67" i="39"/>
  <c r="BZ39" i="39"/>
  <c r="BZ52" i="39"/>
  <c r="BZ24" i="39"/>
  <c r="BZ93" i="39"/>
  <c r="BZ107" i="39"/>
  <c r="BZ59" i="39"/>
  <c r="BZ84" i="39"/>
  <c r="BZ100" i="39"/>
  <c r="BZ63" i="39"/>
  <c r="BZ109" i="39"/>
  <c r="BZ91" i="39"/>
  <c r="BZ86" i="39"/>
  <c r="BZ115" i="39"/>
  <c r="BZ142" i="39"/>
  <c r="BZ164" i="39"/>
  <c r="BZ163" i="39"/>
  <c r="BZ166" i="39"/>
  <c r="BZ158" i="39"/>
  <c r="BZ27" i="39"/>
  <c r="BZ44" i="39"/>
  <c r="BZ57" i="39"/>
  <c r="BZ73" i="39"/>
  <c r="BZ82" i="39"/>
  <c r="BZ110" i="39"/>
  <c r="BZ62" i="39"/>
  <c r="BZ103" i="39"/>
  <c r="BZ66" i="39"/>
  <c r="BZ72" i="39"/>
  <c r="BZ116" i="39"/>
  <c r="BZ101" i="39"/>
  <c r="BZ90" i="39"/>
  <c r="BZ143" i="39"/>
  <c r="BZ165" i="39"/>
  <c r="BZ150" i="39"/>
  <c r="BZ170" i="39"/>
  <c r="BZ151" i="39"/>
  <c r="BZ114" i="39"/>
  <c r="BZ147" i="39"/>
  <c r="BZ162" i="39"/>
  <c r="BZ171" i="39"/>
  <c r="BZ134" i="39"/>
  <c r="P179" i="39"/>
  <c r="BY179" i="39" s="1"/>
  <c r="P155" i="39"/>
  <c r="BY155" i="39" s="1"/>
  <c r="CO7" i="39"/>
  <c r="CO8" i="39" s="1"/>
  <c r="BY178" i="39" l="1"/>
  <c r="BZ178" i="39" s="1"/>
  <c r="CG178" i="39" s="1"/>
  <c r="BO178" i="39"/>
  <c r="AZ178" i="39"/>
  <c r="AR178" i="39"/>
  <c r="BJ178" i="39"/>
  <c r="BK178" i="39" s="1"/>
  <c r="BR178" i="39" s="1"/>
  <c r="AC178" i="39"/>
  <c r="AU178" i="39"/>
  <c r="AV178" i="39" s="1"/>
  <c r="BC178" i="39" s="1"/>
  <c r="AK178" i="39"/>
  <c r="BV178" i="39"/>
  <c r="CK178" i="39"/>
  <c r="V178" i="39"/>
  <c r="AF178" i="39"/>
  <c r="AG178" i="39" s="1"/>
  <c r="AN178" i="39" s="1"/>
  <c r="CD178" i="39"/>
  <c r="BG178" i="39"/>
  <c r="CD155" i="39"/>
  <c r="AR155" i="39"/>
  <c r="AC155" i="39"/>
  <c r="BG155" i="39"/>
  <c r="AK155" i="39"/>
  <c r="BV155" i="39"/>
  <c r="BO155" i="39"/>
  <c r="V155" i="39"/>
  <c r="CK155" i="39"/>
  <c r="AZ155" i="39"/>
  <c r="AU155" i="39"/>
  <c r="AV155" i="39" s="1"/>
  <c r="BC155" i="39" s="1"/>
  <c r="BJ155" i="39"/>
  <c r="BK155" i="39" s="1"/>
  <c r="BR155" i="39" s="1"/>
  <c r="AF155" i="39"/>
  <c r="AG155" i="39" s="1"/>
  <c r="AN155" i="39" s="1"/>
  <c r="BZ155" i="39"/>
  <c r="CG155" i="39" s="1"/>
  <c r="Q155" i="39"/>
  <c r="R155" i="39" s="1"/>
  <c r="Y155" i="39" s="1"/>
  <c r="CD179" i="39"/>
  <c r="BG179" i="39"/>
  <c r="AZ179" i="39"/>
  <c r="AC179" i="39"/>
  <c r="AK179" i="39"/>
  <c r="BO179" i="39"/>
  <c r="V179" i="39"/>
  <c r="AR179" i="39"/>
  <c r="CK179" i="39"/>
  <c r="BV179" i="39"/>
  <c r="AU179" i="39"/>
  <c r="AV179" i="39" s="1"/>
  <c r="BC179" i="39" s="1"/>
  <c r="AF179" i="39"/>
  <c r="AG179" i="39" s="1"/>
  <c r="AN179" i="39" s="1"/>
  <c r="BJ179" i="39"/>
  <c r="BK179" i="39" s="1"/>
  <c r="BR179" i="39" s="1"/>
  <c r="BZ179" i="39"/>
  <c r="CG179" i="39" s="1"/>
  <c r="Q179" i="39"/>
  <c r="R179" i="39" s="1"/>
  <c r="Y179" i="39" s="1"/>
  <c r="CG103" i="39"/>
  <c r="CG13" i="39"/>
  <c r="CG129" i="39"/>
  <c r="CG29" i="39"/>
  <c r="CG54" i="39"/>
  <c r="Y46" i="39"/>
  <c r="CG127" i="39"/>
  <c r="CG83" i="39"/>
  <c r="CG94" i="39"/>
  <c r="Y63" i="39"/>
  <c r="CG122" i="39"/>
  <c r="CG64" i="39"/>
  <c r="CG131" i="39"/>
  <c r="CG53" i="39"/>
  <c r="Y122" i="39"/>
  <c r="CG36" i="39"/>
  <c r="CG138" i="39"/>
  <c r="CG141" i="39"/>
  <c r="CG124" i="39"/>
  <c r="Y55" i="39"/>
  <c r="Y182" i="39"/>
  <c r="CG72" i="39"/>
  <c r="CG82" i="39"/>
  <c r="Y27" i="39"/>
  <c r="Y15" i="39"/>
  <c r="CG91" i="39"/>
  <c r="Y174" i="39"/>
  <c r="CG140" i="39"/>
  <c r="CG89" i="39"/>
  <c r="CG55" i="39"/>
  <c r="CG46" i="39"/>
  <c r="CG172" i="39"/>
  <c r="CG157" i="39"/>
  <c r="CG74" i="39"/>
  <c r="CG17" i="39"/>
  <c r="CG153" i="39"/>
  <c r="CG149" i="39"/>
  <c r="Y12" i="39"/>
  <c r="Y101" i="39"/>
  <c r="CG126" i="39"/>
  <c r="CG111" i="39"/>
  <c r="CG117" i="39"/>
  <c r="Y30" i="39"/>
  <c r="CG162" i="39"/>
  <c r="CG151" i="39"/>
  <c r="Y39" i="39"/>
  <c r="Y124" i="39"/>
  <c r="CG50" i="39"/>
  <c r="CG121" i="39"/>
  <c r="CG128" i="39"/>
  <c r="CG180" i="39"/>
  <c r="CG171" i="39"/>
  <c r="Y177" i="39"/>
  <c r="CG113" i="39"/>
  <c r="Y109" i="39"/>
  <c r="Y79" i="39"/>
  <c r="CG61" i="39"/>
  <c r="CG38" i="39"/>
  <c r="CG139" i="39"/>
  <c r="CG87" i="39"/>
  <c r="CG42" i="39"/>
  <c r="CG34" i="39"/>
  <c r="CG119" i="39"/>
  <c r="CG77" i="39"/>
  <c r="Y130" i="39"/>
  <c r="CG85" i="39"/>
  <c r="Y33" i="39"/>
  <c r="Y21" i="39"/>
  <c r="Y60" i="39"/>
  <c r="CG80" i="39"/>
  <c r="CG183" i="39"/>
  <c r="CG76" i="39"/>
  <c r="CG68" i="39"/>
  <c r="CG69" i="39"/>
  <c r="CG107" i="39"/>
  <c r="CG56" i="39"/>
  <c r="Y62" i="39"/>
  <c r="Y118" i="39"/>
  <c r="CG60" i="39"/>
  <c r="CG37" i="39"/>
  <c r="Y19" i="39"/>
  <c r="CG112" i="39"/>
  <c r="CG92" i="39"/>
  <c r="Y165" i="39"/>
  <c r="CG168" i="39"/>
  <c r="CG79" i="39"/>
  <c r="CG19" i="39"/>
  <c r="Y87" i="39"/>
  <c r="Y126" i="39"/>
  <c r="CG23" i="39"/>
  <c r="CG134" i="39"/>
  <c r="CG147" i="39"/>
  <c r="CG170" i="39"/>
  <c r="CG165" i="39"/>
  <c r="CG73" i="39"/>
  <c r="CG158" i="39"/>
  <c r="Y159" i="39"/>
  <c r="CG164" i="39"/>
  <c r="CG115" i="39"/>
  <c r="CG84" i="39"/>
  <c r="Y149" i="39"/>
  <c r="CG48" i="39"/>
  <c r="CG137" i="39"/>
  <c r="Y20" i="39"/>
  <c r="Y28" i="39"/>
  <c r="CG78" i="39"/>
  <c r="CG96" i="39"/>
  <c r="CG47" i="39"/>
  <c r="CG144" i="39"/>
  <c r="CG32" i="39"/>
  <c r="CG161" i="39"/>
  <c r="Y171" i="39"/>
  <c r="CG95" i="39"/>
  <c r="Y95" i="39"/>
  <c r="Y38" i="39"/>
  <c r="Y158" i="39"/>
  <c r="CG12" i="39"/>
  <c r="CG97" i="39"/>
  <c r="CG31" i="39"/>
  <c r="CG40" i="39"/>
  <c r="CG120" i="39"/>
  <c r="CG75" i="39"/>
  <c r="CG45" i="39"/>
  <c r="CG110" i="39"/>
  <c r="CG159" i="39"/>
  <c r="CG123" i="39"/>
  <c r="Y31" i="39"/>
  <c r="Y71" i="39"/>
  <c r="Y128" i="39"/>
  <c r="CG22" i="39"/>
  <c r="Y145" i="39"/>
  <c r="CG167" i="39"/>
  <c r="Y110" i="39"/>
  <c r="CG114" i="39"/>
  <c r="CG90" i="39"/>
  <c r="CG62" i="39"/>
  <c r="CG57" i="39"/>
  <c r="CG27" i="39"/>
  <c r="CG163" i="39"/>
  <c r="CG109" i="39"/>
  <c r="CG93" i="39"/>
  <c r="CG24" i="39"/>
  <c r="CG125" i="39"/>
  <c r="CG132" i="39"/>
  <c r="Y133" i="39"/>
  <c r="CG30" i="39"/>
  <c r="CG21" i="39"/>
  <c r="CG65" i="39"/>
  <c r="CG145" i="39"/>
  <c r="CG108" i="39"/>
  <c r="Y17" i="39"/>
  <c r="CG35" i="39"/>
  <c r="Y172" i="39"/>
  <c r="CG102" i="39"/>
  <c r="CG135" i="39"/>
  <c r="Y47" i="39"/>
  <c r="CG15" i="39"/>
  <c r="Y144" i="39"/>
  <c r="CG18" i="39"/>
  <c r="Y136" i="39"/>
  <c r="CG150" i="39"/>
  <c r="CG104" i="39"/>
  <c r="CG100" i="39"/>
  <c r="CG177" i="39"/>
  <c r="CG176" i="39"/>
  <c r="CG182" i="39"/>
  <c r="CG143" i="39"/>
  <c r="CG116" i="39"/>
  <c r="CG66" i="39"/>
  <c r="CG44" i="39"/>
  <c r="CG67" i="39"/>
  <c r="CG49" i="39"/>
  <c r="CG41" i="39"/>
  <c r="CG154" i="39"/>
  <c r="Y164" i="39"/>
  <c r="CG136" i="39"/>
  <c r="CG26" i="39"/>
  <c r="Y66" i="39"/>
  <c r="CG156" i="39"/>
  <c r="CG130" i="39"/>
  <c r="CG81" i="39"/>
  <c r="CG169" i="39"/>
  <c r="Y139" i="39"/>
  <c r="CG98" i="39"/>
  <c r="CG152" i="39"/>
  <c r="CG146" i="39"/>
  <c r="CG148" i="39"/>
  <c r="CG70" i="39"/>
  <c r="CG43" i="39"/>
  <c r="Y13" i="39"/>
  <c r="CG33" i="39"/>
  <c r="CG174" i="39"/>
  <c r="CG160" i="39"/>
  <c r="CG106" i="39"/>
  <c r="CG28" i="39"/>
  <c r="CG101" i="39"/>
  <c r="CG181" i="39"/>
  <c r="Y132" i="39"/>
  <c r="CG39" i="39"/>
  <c r="Y88" i="39"/>
  <c r="CG166" i="39"/>
  <c r="CG142" i="39"/>
  <c r="CG86" i="39"/>
  <c r="CG63" i="39"/>
  <c r="CG59" i="39"/>
  <c r="CG52" i="39"/>
  <c r="Y134" i="39"/>
  <c r="CG105" i="39"/>
  <c r="CG99" i="39"/>
  <c r="CG25" i="39"/>
  <c r="Y54" i="39"/>
  <c r="CG51" i="39"/>
  <c r="CG133" i="39"/>
  <c r="Y23" i="39"/>
  <c r="Y52" i="39"/>
  <c r="CG58" i="39"/>
  <c r="CG16" i="39"/>
  <c r="CG20" i="39"/>
  <c r="CG175" i="39"/>
  <c r="Y92" i="39"/>
  <c r="CG118" i="39"/>
  <c r="CG71" i="39"/>
  <c r="CG14" i="39"/>
  <c r="CG88" i="39"/>
  <c r="P173" i="39"/>
  <c r="BY173" i="39" s="1"/>
  <c r="R6" i="39"/>
  <c r="CK173" i="39" l="1"/>
  <c r="CD173" i="39"/>
  <c r="BO173" i="39"/>
  <c r="AC173" i="39"/>
  <c r="BV173" i="39"/>
  <c r="AK173" i="39"/>
  <c r="AR173" i="39"/>
  <c r="BG173" i="39"/>
  <c r="AZ173" i="39"/>
  <c r="V173" i="39"/>
  <c r="BJ173" i="39"/>
  <c r="BK173" i="39" s="1"/>
  <c r="BR173" i="39" s="1"/>
  <c r="AU173" i="39"/>
  <c r="AV173" i="39" s="1"/>
  <c r="BC173" i="39" s="1"/>
  <c r="AF173" i="39"/>
  <c r="AG173" i="39" s="1"/>
  <c r="AN173" i="39" s="1"/>
  <c r="BZ173" i="39"/>
  <c r="CG173" i="39" s="1"/>
  <c r="Q173" i="39"/>
  <c r="R173" i="39" s="1"/>
  <c r="Y173" i="39" s="1"/>
  <c r="CR21" i="39"/>
  <c r="CP32" i="39" l="1"/>
  <c r="CP31" i="39"/>
  <c r="CP28" i="39"/>
  <c r="U7" i="39"/>
  <c r="R8" i="39" l="1"/>
  <c r="U181" i="39"/>
  <c r="AB181" i="39" s="1"/>
  <c r="U168" i="39"/>
  <c r="AB168" i="39" s="1"/>
  <c r="U160" i="39"/>
  <c r="AB160" i="39" s="1"/>
  <c r="U159" i="39"/>
  <c r="AB159" i="39" s="1"/>
  <c r="U154" i="39"/>
  <c r="AB154" i="39" s="1"/>
  <c r="U116" i="39"/>
  <c r="AB116" i="39" s="1"/>
  <c r="U148" i="39"/>
  <c r="AB148" i="39" s="1"/>
  <c r="U173" i="39"/>
  <c r="AB173" i="39" s="1"/>
  <c r="U172" i="39"/>
  <c r="AB172" i="39" s="1"/>
  <c r="U165" i="39"/>
  <c r="AB165" i="39" s="1"/>
  <c r="U146" i="39"/>
  <c r="AB146" i="39" s="1"/>
  <c r="U143" i="39"/>
  <c r="AB143" i="39" s="1"/>
  <c r="U117" i="39"/>
  <c r="AB117" i="39" s="1"/>
  <c r="U178" i="39"/>
  <c r="AB178" i="39" s="1"/>
  <c r="U163" i="39"/>
  <c r="AB163" i="39" s="1"/>
  <c r="U150" i="39"/>
  <c r="AB150" i="39" s="1"/>
  <c r="U139" i="39"/>
  <c r="AB139" i="39" s="1"/>
  <c r="U128" i="39"/>
  <c r="AB128" i="39" s="1"/>
  <c r="U158" i="39"/>
  <c r="AB158" i="39" s="1"/>
  <c r="U156" i="39"/>
  <c r="AB156" i="39" s="1"/>
  <c r="U151" i="39"/>
  <c r="AB151" i="39" s="1"/>
  <c r="U166" i="39"/>
  <c r="AB166" i="39" s="1"/>
  <c r="U140" i="39"/>
  <c r="AB140" i="39" s="1"/>
  <c r="U180" i="39"/>
  <c r="AB180" i="39" s="1"/>
  <c r="U157" i="39"/>
  <c r="AB157" i="39" s="1"/>
  <c r="U145" i="39"/>
  <c r="AB145" i="39" s="1"/>
  <c r="U138" i="39"/>
  <c r="AB138" i="39" s="1"/>
  <c r="U131" i="39"/>
  <c r="AB131" i="39" s="1"/>
  <c r="U118" i="39"/>
  <c r="AB118" i="39" s="1"/>
  <c r="U103" i="39"/>
  <c r="AB103" i="39" s="1"/>
  <c r="U80" i="39"/>
  <c r="AB80" i="39" s="1"/>
  <c r="U69" i="39"/>
  <c r="AB69" i="39" s="1"/>
  <c r="U110" i="39"/>
  <c r="AB110" i="39" s="1"/>
  <c r="U89" i="39"/>
  <c r="AB89" i="39" s="1"/>
  <c r="U137" i="39"/>
  <c r="AB137" i="39" s="1"/>
  <c r="U129" i="39"/>
  <c r="AB129" i="39" s="1"/>
  <c r="U123" i="39"/>
  <c r="AB123" i="39" s="1"/>
  <c r="U108" i="39"/>
  <c r="AB108" i="39" s="1"/>
  <c r="U94" i="39"/>
  <c r="AB94" i="39" s="1"/>
  <c r="U78" i="39"/>
  <c r="AB78" i="39" s="1"/>
  <c r="U111" i="39"/>
  <c r="AB111" i="39" s="1"/>
  <c r="U100" i="39"/>
  <c r="AB100" i="39" s="1"/>
  <c r="U91" i="39"/>
  <c r="AB91" i="39" s="1"/>
  <c r="U67" i="39"/>
  <c r="AB67" i="39" s="1"/>
  <c r="U101" i="39"/>
  <c r="AB101" i="39" s="1"/>
  <c r="U86" i="39"/>
  <c r="AB86" i="39" s="1"/>
  <c r="U83" i="39"/>
  <c r="AB83" i="39" s="1"/>
  <c r="U81" i="39"/>
  <c r="AB81" i="39" s="1"/>
  <c r="U133" i="39"/>
  <c r="AB133" i="39" s="1"/>
  <c r="U102" i="39"/>
  <c r="AB102" i="39" s="1"/>
  <c r="U88" i="39"/>
  <c r="AB88" i="39" s="1"/>
  <c r="U66" i="39"/>
  <c r="AB66" i="39" s="1"/>
  <c r="U77" i="39"/>
  <c r="AB77" i="39" s="1"/>
  <c r="U74" i="39"/>
  <c r="AB74" i="39" s="1"/>
  <c r="U64" i="39"/>
  <c r="AB64" i="39" s="1"/>
  <c r="U61" i="39"/>
  <c r="AB61" i="39" s="1"/>
  <c r="U109" i="39"/>
  <c r="AB109" i="39" s="1"/>
  <c r="U55" i="39"/>
  <c r="AB55" i="39" s="1"/>
  <c r="U33" i="39"/>
  <c r="AB33" i="39" s="1"/>
  <c r="U73" i="39"/>
  <c r="AB73" i="39" s="1"/>
  <c r="U72" i="39"/>
  <c r="AB72" i="39" s="1"/>
  <c r="U50" i="39"/>
  <c r="AB50" i="39" s="1"/>
  <c r="U47" i="39"/>
  <c r="AB47" i="39" s="1"/>
  <c r="U45" i="39"/>
  <c r="AB45" i="39" s="1"/>
  <c r="U40" i="39"/>
  <c r="AB40" i="39" s="1"/>
  <c r="U28" i="39"/>
  <c r="AB28" i="39" s="1"/>
  <c r="U27" i="39"/>
  <c r="AB27" i="39" s="1"/>
  <c r="U58" i="39"/>
  <c r="AB58" i="39" s="1"/>
  <c r="U53" i="39"/>
  <c r="AB53" i="39" s="1"/>
  <c r="U48" i="39"/>
  <c r="AB48" i="39" s="1"/>
  <c r="U42" i="39"/>
  <c r="AB42" i="39" s="1"/>
  <c r="U34" i="39"/>
  <c r="AB34" i="39" s="1"/>
  <c r="U20" i="39"/>
  <c r="AB20" i="39" s="1"/>
  <c r="U19" i="39"/>
  <c r="AB19" i="39" s="1"/>
  <c r="U37" i="39"/>
  <c r="AB37" i="39" s="1"/>
  <c r="U56" i="39"/>
  <c r="AB56" i="39" s="1"/>
  <c r="U39" i="39"/>
  <c r="AB39" i="39" s="1"/>
  <c r="U30" i="39"/>
  <c r="AB30" i="39" s="1"/>
  <c r="U29" i="39"/>
  <c r="AB29" i="39" s="1"/>
  <c r="U25" i="39"/>
  <c r="AB25" i="39" s="1"/>
  <c r="U75" i="39"/>
  <c r="AB75" i="39" s="1"/>
  <c r="U26" i="39"/>
  <c r="AB26" i="39" s="1"/>
  <c r="U43" i="39"/>
  <c r="AB43" i="39" s="1"/>
  <c r="U57" i="39"/>
  <c r="AB57" i="39" s="1"/>
  <c r="U51" i="39"/>
  <c r="AB51" i="39" s="1"/>
  <c r="U112" i="39"/>
  <c r="AB112" i="39" s="1"/>
  <c r="U142" i="39"/>
  <c r="AB142" i="39" s="1"/>
  <c r="U120" i="39"/>
  <c r="AB120" i="39" s="1"/>
  <c r="U161" i="39"/>
  <c r="AB161" i="39" s="1"/>
  <c r="U155" i="39"/>
  <c r="AB155" i="39" s="1"/>
  <c r="U70" i="39"/>
  <c r="AB70" i="39" s="1"/>
  <c r="U59" i="39"/>
  <c r="AB59" i="39" s="1"/>
  <c r="U93" i="39"/>
  <c r="AB93" i="39" s="1"/>
  <c r="U85" i="39"/>
  <c r="AB85" i="39" s="1"/>
  <c r="U113" i="39"/>
  <c r="AB113" i="39" s="1"/>
  <c r="U97" i="39"/>
  <c r="AB97" i="39" s="1"/>
  <c r="U22" i="39"/>
  <c r="AB22" i="39" s="1"/>
  <c r="U14" i="39"/>
  <c r="AB14" i="39" s="1"/>
  <c r="U49" i="39"/>
  <c r="AB49" i="39" s="1"/>
  <c r="U96" i="39"/>
  <c r="AB96" i="39" s="1"/>
  <c r="U65" i="39"/>
  <c r="AB65" i="39" s="1"/>
  <c r="U104" i="39"/>
  <c r="AB104" i="39" s="1"/>
  <c r="U16" i="39"/>
  <c r="AB16" i="39" s="1"/>
  <c r="U68" i="39"/>
  <c r="AB68" i="39" s="1"/>
  <c r="U76" i="39"/>
  <c r="AB76" i="39" s="1"/>
  <c r="U82" i="39"/>
  <c r="AB82" i="39" s="1"/>
  <c r="U135" i="39"/>
  <c r="AB135" i="39" s="1"/>
  <c r="U18" i="39"/>
  <c r="AB18" i="39" s="1"/>
  <c r="U41" i="39"/>
  <c r="AB41" i="39" s="1"/>
  <c r="U106" i="39"/>
  <c r="AB106" i="39" s="1"/>
  <c r="U99" i="39"/>
  <c r="AB99" i="39" s="1"/>
  <c r="U127" i="39"/>
  <c r="AB127" i="39" s="1"/>
  <c r="U167" i="39"/>
  <c r="AB167" i="39" s="1"/>
  <c r="U24" i="39"/>
  <c r="AB24" i="39" s="1"/>
  <c r="U152" i="39"/>
  <c r="AB152" i="39" s="1"/>
  <c r="U92" i="39"/>
  <c r="AB92" i="39" s="1"/>
  <c r="U176" i="39"/>
  <c r="AB176" i="39" s="1"/>
  <c r="U183" i="39"/>
  <c r="AB183" i="39" s="1"/>
  <c r="U84" i="39"/>
  <c r="AB84" i="39" s="1"/>
  <c r="U107" i="39"/>
  <c r="AB107" i="39" s="1"/>
  <c r="U125" i="39"/>
  <c r="AB125" i="39" s="1"/>
  <c r="U147" i="39"/>
  <c r="AB147" i="39" s="1"/>
  <c r="U98" i="39"/>
  <c r="AB98" i="39" s="1"/>
  <c r="U90" i="39"/>
  <c r="AB90" i="39" s="1"/>
  <c r="U105" i="39"/>
  <c r="AB105" i="39" s="1"/>
  <c r="U162" i="39"/>
  <c r="AB162" i="39" s="1"/>
  <c r="U170" i="39"/>
  <c r="AB170" i="39" s="1"/>
  <c r="U169" i="39"/>
  <c r="AB169" i="39" s="1"/>
  <c r="U175" i="39"/>
  <c r="AB175" i="39" s="1"/>
  <c r="U144" i="39"/>
  <c r="AB144" i="39" s="1"/>
  <c r="U44" i="39"/>
  <c r="AB44" i="39" s="1"/>
  <c r="U32" i="39"/>
  <c r="AB32" i="39" s="1"/>
  <c r="U36" i="39"/>
  <c r="AB36" i="39" s="1"/>
  <c r="U121" i="39"/>
  <c r="AB121" i="39" s="1"/>
  <c r="U119" i="39"/>
  <c r="AB119" i="39" s="1"/>
  <c r="U141" i="39"/>
  <c r="AB141" i="39" s="1"/>
  <c r="U35" i="39"/>
  <c r="AB35" i="39" s="1"/>
  <c r="U114" i="39"/>
  <c r="AB114" i="39" s="1"/>
  <c r="U153" i="39"/>
  <c r="AB153" i="39" s="1"/>
  <c r="U115" i="39"/>
  <c r="AB115" i="39" s="1"/>
  <c r="U13" i="39"/>
  <c r="AB13" i="39" s="1"/>
  <c r="U164" i="39"/>
  <c r="AB164" i="39" s="1"/>
  <c r="U182" i="39"/>
  <c r="AB182" i="39" s="1"/>
  <c r="U54" i="39"/>
  <c r="AB54" i="39" s="1"/>
  <c r="U134" i="39"/>
  <c r="AB134" i="39" s="1"/>
  <c r="U136" i="39"/>
  <c r="AB136" i="39" s="1"/>
  <c r="U17" i="39"/>
  <c r="AB17" i="39" s="1"/>
  <c r="U38" i="39"/>
  <c r="AB38" i="39" s="1"/>
  <c r="U95" i="39"/>
  <c r="AB95" i="39" s="1"/>
  <c r="U171" i="39"/>
  <c r="AB171" i="39" s="1"/>
  <c r="U149" i="39"/>
  <c r="AB149" i="39" s="1"/>
  <c r="U12" i="39"/>
  <c r="AB12" i="39" s="1"/>
  <c r="U174" i="39"/>
  <c r="AB174" i="39" s="1"/>
  <c r="U60" i="39"/>
  <c r="AB60" i="39" s="1"/>
  <c r="U21" i="39"/>
  <c r="AB21" i="39" s="1"/>
  <c r="U130" i="39"/>
  <c r="AB130" i="39" s="1"/>
  <c r="U79" i="39"/>
  <c r="AB79" i="39" s="1"/>
  <c r="U177" i="39"/>
  <c r="AB177" i="39" s="1"/>
  <c r="U126" i="39"/>
  <c r="AB126" i="39" s="1"/>
  <c r="U87" i="39"/>
  <c r="AB87" i="39" s="1"/>
  <c r="U71" i="39"/>
  <c r="AB71" i="39" s="1"/>
  <c r="U179" i="39"/>
  <c r="AB179" i="39" s="1"/>
  <c r="U15" i="39"/>
  <c r="AB15" i="39" s="1"/>
  <c r="U124" i="39"/>
  <c r="AB124" i="39" s="1"/>
  <c r="U62" i="39"/>
  <c r="AB62" i="39" s="1"/>
  <c r="U132" i="39"/>
  <c r="AB132" i="39" s="1"/>
  <c r="U31" i="39"/>
  <c r="AB31" i="39" s="1"/>
  <c r="U122" i="39"/>
  <c r="AB122" i="39" s="1"/>
  <c r="U63" i="39"/>
  <c r="AB63" i="39" s="1"/>
  <c r="U46" i="39"/>
  <c r="AB46" i="39" s="1"/>
  <c r="U52" i="39"/>
  <c r="AB52" i="39" s="1"/>
  <c r="U23" i="39"/>
  <c r="AB23" i="39" s="1"/>
  <c r="U11" i="39"/>
  <c r="CV22" i="39"/>
  <c r="CV29" i="39"/>
  <c r="CV26" i="39"/>
  <c r="CV33" i="39"/>
  <c r="CV42" i="39"/>
  <c r="CV46" i="39"/>
  <c r="CV28" i="39"/>
  <c r="CV27" i="39"/>
  <c r="CV34" i="39"/>
  <c r="CV23" i="39"/>
  <c r="CV44" i="39"/>
  <c r="CV38" i="39"/>
  <c r="CV19" i="39"/>
  <c r="CV37" i="39"/>
  <c r="CV32" i="39"/>
  <c r="CV40" i="39"/>
  <c r="CV48" i="39"/>
  <c r="CV25" i="39"/>
  <c r="CV20" i="39"/>
  <c r="CV45" i="39"/>
  <c r="CV30" i="39"/>
  <c r="CV47" i="39"/>
  <c r="CV36" i="39"/>
  <c r="CT21" i="39"/>
  <c r="CS21" i="39"/>
  <c r="CP21" i="39"/>
  <c r="CQ21" i="39"/>
  <c r="CT24" i="39"/>
  <c r="N8" i="39" s="1"/>
  <c r="CR20" i="39"/>
  <c r="S177" i="39" l="1"/>
  <c r="Z177" i="39" s="1"/>
  <c r="S169" i="39"/>
  <c r="Z169" i="39" s="1"/>
  <c r="S161" i="39"/>
  <c r="Z161" i="39" s="1"/>
  <c r="S153" i="39"/>
  <c r="Z153" i="39" s="1"/>
  <c r="S145" i="39"/>
  <c r="Z145" i="39" s="1"/>
  <c r="S137" i="39"/>
  <c r="Z137" i="39" s="1"/>
  <c r="S129" i="39"/>
  <c r="Z129" i="39" s="1"/>
  <c r="S121" i="39"/>
  <c r="Z121" i="39" s="1"/>
  <c r="S113" i="39"/>
  <c r="Z113" i="39" s="1"/>
  <c r="S105" i="39"/>
  <c r="Z105" i="39" s="1"/>
  <c r="S97" i="39"/>
  <c r="Z97" i="39" s="1"/>
  <c r="S89" i="39"/>
  <c r="Z89" i="39" s="1"/>
  <c r="S81" i="39"/>
  <c r="Z81" i="39" s="1"/>
  <c r="S73" i="39"/>
  <c r="Z73" i="39" s="1"/>
  <c r="S65" i="39"/>
  <c r="Z65" i="39" s="1"/>
  <c r="S57" i="39"/>
  <c r="Z57" i="39" s="1"/>
  <c r="S49" i="39"/>
  <c r="Z49" i="39" s="1"/>
  <c r="S41" i="39"/>
  <c r="Z41" i="39" s="1"/>
  <c r="S33" i="39"/>
  <c r="Z33" i="39" s="1"/>
  <c r="S25" i="39"/>
  <c r="Z25" i="39" s="1"/>
  <c r="S17" i="39"/>
  <c r="Z17" i="39" s="1"/>
  <c r="S146" i="39"/>
  <c r="Z146" i="39" s="1"/>
  <c r="S106" i="39"/>
  <c r="Z106" i="39" s="1"/>
  <c r="S50" i="39"/>
  <c r="Z50" i="39" s="1"/>
  <c r="S176" i="39"/>
  <c r="Z176" i="39" s="1"/>
  <c r="S168" i="39"/>
  <c r="Z168" i="39" s="1"/>
  <c r="S160" i="39"/>
  <c r="Z160" i="39" s="1"/>
  <c r="S152" i="39"/>
  <c r="Z152" i="39" s="1"/>
  <c r="S144" i="39"/>
  <c r="Z144" i="39" s="1"/>
  <c r="S136" i="39"/>
  <c r="Z136" i="39" s="1"/>
  <c r="S128" i="39"/>
  <c r="Z128" i="39" s="1"/>
  <c r="S120" i="39"/>
  <c r="Z120" i="39" s="1"/>
  <c r="S112" i="39"/>
  <c r="Z112" i="39" s="1"/>
  <c r="S104" i="39"/>
  <c r="Z104" i="39" s="1"/>
  <c r="S96" i="39"/>
  <c r="Z96" i="39" s="1"/>
  <c r="S88" i="39"/>
  <c r="Z88" i="39" s="1"/>
  <c r="S80" i="39"/>
  <c r="Z80" i="39" s="1"/>
  <c r="S72" i="39"/>
  <c r="Z72" i="39" s="1"/>
  <c r="S64" i="39"/>
  <c r="Z64" i="39" s="1"/>
  <c r="S56" i="39"/>
  <c r="Z56" i="39" s="1"/>
  <c r="S48" i="39"/>
  <c r="Z48" i="39" s="1"/>
  <c r="S40" i="39"/>
  <c r="Z40" i="39" s="1"/>
  <c r="S32" i="39"/>
  <c r="Z32" i="39" s="1"/>
  <c r="S24" i="39"/>
  <c r="Z24" i="39" s="1"/>
  <c r="S16" i="39"/>
  <c r="Z16" i="39" s="1"/>
  <c r="S178" i="39"/>
  <c r="Z178" i="39" s="1"/>
  <c r="S130" i="39"/>
  <c r="Z130" i="39" s="1"/>
  <c r="S82" i="39"/>
  <c r="Z82" i="39" s="1"/>
  <c r="S42" i="39"/>
  <c r="Z42" i="39" s="1"/>
  <c r="S183" i="39"/>
  <c r="Z183" i="39" s="1"/>
  <c r="S175" i="39"/>
  <c r="Z175" i="39" s="1"/>
  <c r="S167" i="39"/>
  <c r="Z167" i="39" s="1"/>
  <c r="S159" i="39"/>
  <c r="Z159" i="39" s="1"/>
  <c r="S151" i="39"/>
  <c r="Z151" i="39" s="1"/>
  <c r="S143" i="39"/>
  <c r="Z143" i="39" s="1"/>
  <c r="S135" i="39"/>
  <c r="Z135" i="39" s="1"/>
  <c r="S127" i="39"/>
  <c r="Z127" i="39" s="1"/>
  <c r="S119" i="39"/>
  <c r="Z119" i="39" s="1"/>
  <c r="S111" i="39"/>
  <c r="Z111" i="39" s="1"/>
  <c r="S103" i="39"/>
  <c r="Z103" i="39" s="1"/>
  <c r="S95" i="39"/>
  <c r="Z95" i="39" s="1"/>
  <c r="S87" i="39"/>
  <c r="Z87" i="39" s="1"/>
  <c r="S79" i="39"/>
  <c r="Z79" i="39" s="1"/>
  <c r="S71" i="39"/>
  <c r="Z71" i="39" s="1"/>
  <c r="S63" i="39"/>
  <c r="Z63" i="39" s="1"/>
  <c r="S55" i="39"/>
  <c r="Z55" i="39" s="1"/>
  <c r="S47" i="39"/>
  <c r="Z47" i="39" s="1"/>
  <c r="S39" i="39"/>
  <c r="Z39" i="39" s="1"/>
  <c r="S31" i="39"/>
  <c r="Z31" i="39" s="1"/>
  <c r="S23" i="39"/>
  <c r="Z23" i="39" s="1"/>
  <c r="S15" i="39"/>
  <c r="Z15" i="39" s="1"/>
  <c r="S154" i="39"/>
  <c r="Z154" i="39" s="1"/>
  <c r="S90" i="39"/>
  <c r="Z90" i="39" s="1"/>
  <c r="S26" i="39"/>
  <c r="Z26" i="39" s="1"/>
  <c r="S182" i="39"/>
  <c r="Z182" i="39" s="1"/>
  <c r="S174" i="39"/>
  <c r="Z174" i="39" s="1"/>
  <c r="S166" i="39"/>
  <c r="Z166" i="39" s="1"/>
  <c r="S158" i="39"/>
  <c r="Z158" i="39" s="1"/>
  <c r="S150" i="39"/>
  <c r="Z150" i="39" s="1"/>
  <c r="S142" i="39"/>
  <c r="Z142" i="39" s="1"/>
  <c r="S134" i="39"/>
  <c r="Z134" i="39" s="1"/>
  <c r="S126" i="39"/>
  <c r="Z126" i="39" s="1"/>
  <c r="S118" i="39"/>
  <c r="Z118" i="39" s="1"/>
  <c r="S110" i="39"/>
  <c r="Z110" i="39" s="1"/>
  <c r="S102" i="39"/>
  <c r="Z102" i="39" s="1"/>
  <c r="S94" i="39"/>
  <c r="Z94" i="39" s="1"/>
  <c r="S86" i="39"/>
  <c r="Z86" i="39" s="1"/>
  <c r="S78" i="39"/>
  <c r="Z78" i="39" s="1"/>
  <c r="S70" i="39"/>
  <c r="Z70" i="39" s="1"/>
  <c r="S62" i="39"/>
  <c r="Z62" i="39" s="1"/>
  <c r="S54" i="39"/>
  <c r="Z54" i="39" s="1"/>
  <c r="S46" i="39"/>
  <c r="Z46" i="39" s="1"/>
  <c r="S38" i="39"/>
  <c r="Z38" i="39" s="1"/>
  <c r="S30" i="39"/>
  <c r="Z30" i="39" s="1"/>
  <c r="S22" i="39"/>
  <c r="Z22" i="39" s="1"/>
  <c r="S14" i="39"/>
  <c r="Z14" i="39" s="1"/>
  <c r="S170" i="39"/>
  <c r="Z170" i="39" s="1"/>
  <c r="S122" i="39"/>
  <c r="Z122" i="39" s="1"/>
  <c r="S74" i="39"/>
  <c r="Z74" i="39" s="1"/>
  <c r="S58" i="39"/>
  <c r="Z58" i="39" s="1"/>
  <c r="S18" i="39"/>
  <c r="Z18" i="39" s="1"/>
  <c r="S181" i="39"/>
  <c r="Z181" i="39" s="1"/>
  <c r="S173" i="39"/>
  <c r="Z173" i="39" s="1"/>
  <c r="S165" i="39"/>
  <c r="Z165" i="39" s="1"/>
  <c r="S157" i="39"/>
  <c r="Z157" i="39" s="1"/>
  <c r="S149" i="39"/>
  <c r="Z149" i="39" s="1"/>
  <c r="S141" i="39"/>
  <c r="Z141" i="39" s="1"/>
  <c r="S133" i="39"/>
  <c r="Z133" i="39" s="1"/>
  <c r="S125" i="39"/>
  <c r="Z125" i="39" s="1"/>
  <c r="S117" i="39"/>
  <c r="Z117" i="39" s="1"/>
  <c r="S109" i="39"/>
  <c r="Z109" i="39" s="1"/>
  <c r="S101" i="39"/>
  <c r="Z101" i="39" s="1"/>
  <c r="S93" i="39"/>
  <c r="Z93" i="39" s="1"/>
  <c r="S85" i="39"/>
  <c r="Z85" i="39" s="1"/>
  <c r="S77" i="39"/>
  <c r="Z77" i="39" s="1"/>
  <c r="S69" i="39"/>
  <c r="Z69" i="39" s="1"/>
  <c r="S61" i="39"/>
  <c r="Z61" i="39" s="1"/>
  <c r="S53" i="39"/>
  <c r="Z53" i="39" s="1"/>
  <c r="S45" i="39"/>
  <c r="Z45" i="39" s="1"/>
  <c r="S37" i="39"/>
  <c r="Z37" i="39" s="1"/>
  <c r="S29" i="39"/>
  <c r="Z29" i="39" s="1"/>
  <c r="S21" i="39"/>
  <c r="Z21" i="39" s="1"/>
  <c r="S13" i="39"/>
  <c r="Z13" i="39" s="1"/>
  <c r="S162" i="39"/>
  <c r="Z162" i="39" s="1"/>
  <c r="S114" i="39"/>
  <c r="Z114" i="39" s="1"/>
  <c r="S34" i="39"/>
  <c r="Z34" i="39" s="1"/>
  <c r="S180" i="39"/>
  <c r="Z180" i="39" s="1"/>
  <c r="S172" i="39"/>
  <c r="Z172" i="39" s="1"/>
  <c r="S164" i="39"/>
  <c r="Z164" i="39" s="1"/>
  <c r="S156" i="39"/>
  <c r="Z156" i="39" s="1"/>
  <c r="S148" i="39"/>
  <c r="Z148" i="39" s="1"/>
  <c r="S140" i="39"/>
  <c r="Z140" i="39" s="1"/>
  <c r="S132" i="39"/>
  <c r="Z132" i="39" s="1"/>
  <c r="S124" i="39"/>
  <c r="Z124" i="39" s="1"/>
  <c r="S116" i="39"/>
  <c r="Z116" i="39" s="1"/>
  <c r="S108" i="39"/>
  <c r="Z108" i="39" s="1"/>
  <c r="S100" i="39"/>
  <c r="Z100" i="39" s="1"/>
  <c r="S92" i="39"/>
  <c r="Z92" i="39" s="1"/>
  <c r="S84" i="39"/>
  <c r="Z84" i="39" s="1"/>
  <c r="S76" i="39"/>
  <c r="Z76" i="39" s="1"/>
  <c r="S68" i="39"/>
  <c r="Z68" i="39" s="1"/>
  <c r="S60" i="39"/>
  <c r="Z60" i="39" s="1"/>
  <c r="S52" i="39"/>
  <c r="Z52" i="39" s="1"/>
  <c r="S44" i="39"/>
  <c r="Z44" i="39" s="1"/>
  <c r="S36" i="39"/>
  <c r="Z36" i="39" s="1"/>
  <c r="S28" i="39"/>
  <c r="Z28" i="39" s="1"/>
  <c r="S20" i="39"/>
  <c r="Z20" i="39" s="1"/>
  <c r="S12" i="39"/>
  <c r="Z12" i="39" s="1"/>
  <c r="S98" i="39"/>
  <c r="Z98" i="39" s="1"/>
  <c r="S179" i="39"/>
  <c r="Z179" i="39" s="1"/>
  <c r="S171" i="39"/>
  <c r="Z171" i="39" s="1"/>
  <c r="S163" i="39"/>
  <c r="Z163" i="39" s="1"/>
  <c r="S155" i="39"/>
  <c r="Z155" i="39" s="1"/>
  <c r="S147" i="39"/>
  <c r="Z147" i="39" s="1"/>
  <c r="S139" i="39"/>
  <c r="Z139" i="39" s="1"/>
  <c r="S131" i="39"/>
  <c r="Z131" i="39" s="1"/>
  <c r="S123" i="39"/>
  <c r="Z123" i="39" s="1"/>
  <c r="S115" i="39"/>
  <c r="Z115" i="39" s="1"/>
  <c r="S107" i="39"/>
  <c r="Z107" i="39" s="1"/>
  <c r="S99" i="39"/>
  <c r="Z99" i="39" s="1"/>
  <c r="S91" i="39"/>
  <c r="Z91" i="39" s="1"/>
  <c r="S83" i="39"/>
  <c r="Z83" i="39" s="1"/>
  <c r="S75" i="39"/>
  <c r="Z75" i="39" s="1"/>
  <c r="S67" i="39"/>
  <c r="Z67" i="39" s="1"/>
  <c r="S59" i="39"/>
  <c r="Z59" i="39" s="1"/>
  <c r="S51" i="39"/>
  <c r="Z51" i="39" s="1"/>
  <c r="S43" i="39"/>
  <c r="Z43" i="39" s="1"/>
  <c r="S35" i="39"/>
  <c r="Z35" i="39" s="1"/>
  <c r="S27" i="39"/>
  <c r="Z27" i="39" s="1"/>
  <c r="S19" i="39"/>
  <c r="Z19" i="39" s="1"/>
  <c r="S11" i="39"/>
  <c r="S138" i="39"/>
  <c r="Z138" i="39" s="1"/>
  <c r="S66" i="39"/>
  <c r="Z66" i="39" s="1"/>
  <c r="CV21" i="39"/>
  <c r="CV50" i="39"/>
  <c r="CV24" i="39"/>
  <c r="CQ13" i="39"/>
  <c r="CG9" i="39"/>
  <c r="BR9" i="39"/>
  <c r="BC9" i="39"/>
  <c r="AN9" i="39"/>
  <c r="Y9" i="39"/>
  <c r="CG6" i="39"/>
  <c r="BZ6" i="39"/>
  <c r="BR6" i="39"/>
  <c r="BK6" i="39"/>
  <c r="BC6" i="39"/>
  <c r="AV6" i="39"/>
  <c r="AN6" i="39"/>
  <c r="Y6" i="39"/>
  <c r="AG6" i="39"/>
  <c r="CQ17" i="39"/>
  <c r="CQ16" i="39"/>
  <c r="CQ14" i="39"/>
  <c r="CV51" i="39" l="1"/>
  <c r="AJ7" i="39"/>
  <c r="CQ19" i="39"/>
  <c r="AI7" i="39"/>
  <c r="CQ20" i="39"/>
  <c r="AI154" i="39" l="1"/>
  <c r="AI182" i="39"/>
  <c r="AI156" i="39"/>
  <c r="AI181" i="39"/>
  <c r="AI174" i="39"/>
  <c r="AI169" i="39"/>
  <c r="AI178" i="39"/>
  <c r="AI161" i="39"/>
  <c r="AI163" i="39"/>
  <c r="AI172" i="39"/>
  <c r="AI164" i="39"/>
  <c r="AI146" i="39"/>
  <c r="AI141" i="39"/>
  <c r="AI170" i="39"/>
  <c r="AI145" i="39"/>
  <c r="AI135" i="39"/>
  <c r="AI133" i="39"/>
  <c r="AI152" i="39"/>
  <c r="AI132" i="39"/>
  <c r="AI129" i="39"/>
  <c r="AI126" i="39"/>
  <c r="AI121" i="39"/>
  <c r="AI117" i="39"/>
  <c r="AI149" i="39"/>
  <c r="AI127" i="39"/>
  <c r="AI122" i="39"/>
  <c r="AI137" i="39"/>
  <c r="AI114" i="39"/>
  <c r="AI100" i="39"/>
  <c r="AI116" i="39"/>
  <c r="AI108" i="39"/>
  <c r="AI123" i="39"/>
  <c r="AI97" i="39"/>
  <c r="AI98" i="39"/>
  <c r="AI173" i="39"/>
  <c r="AI112" i="39"/>
  <c r="AI87" i="39"/>
  <c r="AI80" i="39"/>
  <c r="AI92" i="39"/>
  <c r="AI82" i="39"/>
  <c r="AI106" i="39"/>
  <c r="AI86" i="39"/>
  <c r="AI76" i="39"/>
  <c r="AI99" i="39"/>
  <c r="AI64" i="39"/>
  <c r="AI57" i="39"/>
  <c r="AI70" i="39"/>
  <c r="AI90" i="39"/>
  <c r="AI89" i="39"/>
  <c r="AI59" i="39"/>
  <c r="AI94" i="39"/>
  <c r="AI53" i="39"/>
  <c r="AI62" i="39"/>
  <c r="AI51" i="39"/>
  <c r="AI78" i="39"/>
  <c r="AI84" i="39"/>
  <c r="AI77" i="39"/>
  <c r="AI49" i="39"/>
  <c r="AI41" i="39"/>
  <c r="AI67" i="39"/>
  <c r="AI16" i="39"/>
  <c r="AI20" i="39"/>
  <c r="AI33" i="39"/>
  <c r="AI24" i="39"/>
  <c r="AI11" i="39"/>
  <c r="AI72" i="39"/>
  <c r="AI37" i="39"/>
  <c r="AI26" i="39"/>
  <c r="AI45" i="39"/>
  <c r="AI18" i="39"/>
  <c r="AI28" i="39"/>
  <c r="AI15" i="39"/>
  <c r="AI43" i="39"/>
  <c r="AI32" i="39"/>
  <c r="AI35" i="39"/>
  <c r="AI13" i="39"/>
  <c r="AI46" i="39"/>
  <c r="AI48" i="39"/>
  <c r="AI71" i="39"/>
  <c r="AI93" i="39"/>
  <c r="AI115" i="39"/>
  <c r="AI171" i="39"/>
  <c r="AI52" i="39"/>
  <c r="AI61" i="39"/>
  <c r="AI66" i="39"/>
  <c r="AI85" i="39"/>
  <c r="AI74" i="39"/>
  <c r="AI120" i="39"/>
  <c r="AI110" i="39"/>
  <c r="AI119" i="39"/>
  <c r="AI136" i="39"/>
  <c r="AI153" i="39"/>
  <c r="AI39" i="39"/>
  <c r="AI19" i="39"/>
  <c r="AI47" i="39"/>
  <c r="AI27" i="39"/>
  <c r="AI40" i="39"/>
  <c r="AI34" i="39"/>
  <c r="AI56" i="39"/>
  <c r="AI55" i="39"/>
  <c r="AI79" i="39"/>
  <c r="AI68" i="39"/>
  <c r="AI130" i="39"/>
  <c r="AI158" i="39"/>
  <c r="AI157" i="39"/>
  <c r="AI150" i="39"/>
  <c r="AI144" i="39"/>
  <c r="AI162" i="39"/>
  <c r="AI21" i="39"/>
  <c r="AI29" i="39"/>
  <c r="AI111" i="39"/>
  <c r="AI166" i="39"/>
  <c r="AI17" i="39"/>
  <c r="AI60" i="39"/>
  <c r="AI44" i="39"/>
  <c r="AI73" i="39"/>
  <c r="AI103" i="39"/>
  <c r="AI155" i="39"/>
  <c r="AI179" i="39"/>
  <c r="AI139" i="39"/>
  <c r="AI54" i="39"/>
  <c r="AI81" i="39"/>
  <c r="AI65" i="39"/>
  <c r="AI63" i="39"/>
  <c r="AI95" i="39"/>
  <c r="AI102" i="39"/>
  <c r="AI167" i="39"/>
  <c r="AI177" i="39"/>
  <c r="AI159" i="39"/>
  <c r="AI88" i="39"/>
  <c r="AI180" i="39"/>
  <c r="AI107" i="39"/>
  <c r="AI101" i="39"/>
  <c r="AI134" i="39"/>
  <c r="AI138" i="39"/>
  <c r="AI124" i="39"/>
  <c r="AI118" i="39"/>
  <c r="AI142" i="39"/>
  <c r="AI109" i="39"/>
  <c r="AI128" i="39"/>
  <c r="AI143" i="39"/>
  <c r="AI151" i="39"/>
  <c r="AI165" i="39"/>
  <c r="AI42" i="39"/>
  <c r="AI75" i="39"/>
  <c r="AI183" i="39"/>
  <c r="AI131" i="39"/>
  <c r="AI58" i="39"/>
  <c r="AI176" i="39"/>
  <c r="AI148" i="39"/>
  <c r="AI31" i="39"/>
  <c r="AI104" i="39"/>
  <c r="AI83" i="39"/>
  <c r="AI125" i="39"/>
  <c r="AI23" i="39"/>
  <c r="AI30" i="39"/>
  <c r="AI175" i="39"/>
  <c r="AI168" i="39"/>
  <c r="AI14" i="39"/>
  <c r="AI69" i="39"/>
  <c r="AI25" i="39"/>
  <c r="AI160" i="39"/>
  <c r="AI105" i="39"/>
  <c r="AI91" i="39"/>
  <c r="AI147" i="39"/>
  <c r="AI96" i="39"/>
  <c r="AI140" i="39"/>
  <c r="AI38" i="39"/>
  <c r="AI113" i="39"/>
  <c r="AI22" i="39"/>
  <c r="AI36" i="39"/>
  <c r="AI12" i="39"/>
  <c r="AI50" i="39"/>
  <c r="AJ182" i="39"/>
  <c r="AQ182" i="39" s="1"/>
  <c r="AJ160" i="39"/>
  <c r="AQ160" i="39" s="1"/>
  <c r="AJ176" i="39"/>
  <c r="AQ176" i="39" s="1"/>
  <c r="AJ175" i="39"/>
  <c r="AQ175" i="39" s="1"/>
  <c r="AJ169" i="39"/>
  <c r="AQ169" i="39" s="1"/>
  <c r="AJ183" i="39"/>
  <c r="AQ183" i="39" s="1"/>
  <c r="AJ163" i="39"/>
  <c r="AQ163" i="39" s="1"/>
  <c r="AJ173" i="39"/>
  <c r="AQ173" i="39" s="1"/>
  <c r="AJ170" i="39"/>
  <c r="AQ170" i="39" s="1"/>
  <c r="AJ162" i="39"/>
  <c r="AQ162" i="39" s="1"/>
  <c r="AJ151" i="39"/>
  <c r="AQ151" i="39" s="1"/>
  <c r="AJ148" i="39"/>
  <c r="AQ148" i="39" s="1"/>
  <c r="AJ131" i="39"/>
  <c r="AQ131" i="39" s="1"/>
  <c r="AJ147" i="39"/>
  <c r="AQ147" i="39" s="1"/>
  <c r="AJ154" i="39"/>
  <c r="AQ154" i="39" s="1"/>
  <c r="AJ134" i="39"/>
  <c r="AQ134" i="39" s="1"/>
  <c r="AJ149" i="39"/>
  <c r="AQ149" i="39" s="1"/>
  <c r="AJ168" i="39"/>
  <c r="AQ168" i="39" s="1"/>
  <c r="AJ143" i="39"/>
  <c r="AQ143" i="39" s="1"/>
  <c r="AJ125" i="39"/>
  <c r="AQ125" i="39" s="1"/>
  <c r="AJ124" i="39"/>
  <c r="AQ124" i="39" s="1"/>
  <c r="AJ126" i="39"/>
  <c r="AQ126" i="39" s="1"/>
  <c r="AJ146" i="39"/>
  <c r="AQ146" i="39" s="1"/>
  <c r="AJ141" i="39"/>
  <c r="AQ141" i="39" s="1"/>
  <c r="AJ152" i="39"/>
  <c r="AQ152" i="39" s="1"/>
  <c r="AJ135" i="39"/>
  <c r="AQ135" i="39" s="1"/>
  <c r="AJ123" i="39"/>
  <c r="AQ123" i="39" s="1"/>
  <c r="AJ132" i="39"/>
  <c r="AQ132" i="39" s="1"/>
  <c r="AJ120" i="39"/>
  <c r="AQ120" i="39" s="1"/>
  <c r="AJ103" i="39"/>
  <c r="AQ103" i="39" s="1"/>
  <c r="AJ161" i="39"/>
  <c r="AQ161" i="39" s="1"/>
  <c r="AJ113" i="39"/>
  <c r="AQ113" i="39" s="1"/>
  <c r="AJ105" i="39"/>
  <c r="AQ105" i="39" s="1"/>
  <c r="AJ97" i="39"/>
  <c r="AQ97" i="39" s="1"/>
  <c r="AJ104" i="39"/>
  <c r="AQ104" i="39" s="1"/>
  <c r="AJ98" i="39"/>
  <c r="AQ98" i="39" s="1"/>
  <c r="AJ96" i="39"/>
  <c r="AQ96" i="39" s="1"/>
  <c r="AJ106" i="39"/>
  <c r="AQ106" i="39" s="1"/>
  <c r="AJ114" i="39"/>
  <c r="AQ114" i="39" s="1"/>
  <c r="AJ92" i="39"/>
  <c r="AQ92" i="39" s="1"/>
  <c r="AJ111" i="39"/>
  <c r="AQ111" i="39" s="1"/>
  <c r="AJ78" i="39"/>
  <c r="AQ78" i="39" s="1"/>
  <c r="AJ70" i="39"/>
  <c r="AQ70" i="39" s="1"/>
  <c r="AJ119" i="39"/>
  <c r="AQ119" i="39" s="1"/>
  <c r="AJ112" i="39"/>
  <c r="AQ112" i="39" s="1"/>
  <c r="AJ94" i="39"/>
  <c r="AQ94" i="39" s="1"/>
  <c r="AJ89" i="39"/>
  <c r="AQ89" i="39" s="1"/>
  <c r="AJ77" i="39"/>
  <c r="AQ77" i="39" s="1"/>
  <c r="AJ75" i="39"/>
  <c r="AQ75" i="39" s="1"/>
  <c r="AJ72" i="39"/>
  <c r="AQ72" i="39" s="1"/>
  <c r="AJ83" i="39"/>
  <c r="AQ83" i="39" s="1"/>
  <c r="AJ91" i="39"/>
  <c r="AQ91" i="39" s="1"/>
  <c r="AJ56" i="39"/>
  <c r="AQ56" i="39" s="1"/>
  <c r="AJ86" i="39"/>
  <c r="AQ86" i="39" s="1"/>
  <c r="AJ84" i="39"/>
  <c r="AQ84" i="39" s="1"/>
  <c r="AJ79" i="39"/>
  <c r="AQ79" i="39" s="1"/>
  <c r="AJ69" i="39"/>
  <c r="AQ69" i="39" s="1"/>
  <c r="AJ62" i="39"/>
  <c r="AQ62" i="39" s="1"/>
  <c r="AJ51" i="39"/>
  <c r="AQ51" i="39" s="1"/>
  <c r="AJ42" i="39"/>
  <c r="AQ42" i="39" s="1"/>
  <c r="AJ40" i="39"/>
  <c r="AQ40" i="39" s="1"/>
  <c r="AJ67" i="39"/>
  <c r="AQ67" i="39" s="1"/>
  <c r="AJ59" i="39"/>
  <c r="AQ59" i="39" s="1"/>
  <c r="AJ50" i="39"/>
  <c r="AQ50" i="39" s="1"/>
  <c r="AJ48" i="39"/>
  <c r="AQ48" i="39" s="1"/>
  <c r="AJ43" i="39"/>
  <c r="AQ43" i="39" s="1"/>
  <c r="AJ37" i="39"/>
  <c r="AQ37" i="39" s="1"/>
  <c r="AJ64" i="39"/>
  <c r="AQ64" i="39" s="1"/>
  <c r="AJ45" i="39"/>
  <c r="AQ45" i="39" s="1"/>
  <c r="AJ58" i="39"/>
  <c r="AQ58" i="39" s="1"/>
  <c r="AJ53" i="39"/>
  <c r="AQ53" i="39" s="1"/>
  <c r="AJ11" i="39"/>
  <c r="AQ11" i="39" s="1"/>
  <c r="AJ23" i="39"/>
  <c r="AQ23" i="39" s="1"/>
  <c r="AJ13" i="39"/>
  <c r="AQ13" i="39" s="1"/>
  <c r="AJ15" i="39"/>
  <c r="AQ15" i="39" s="1"/>
  <c r="AJ22" i="39"/>
  <c r="AQ22" i="39" s="1"/>
  <c r="AJ30" i="39"/>
  <c r="AQ30" i="39" s="1"/>
  <c r="AJ34" i="39"/>
  <c r="AQ34" i="39" s="1"/>
  <c r="AJ32" i="39"/>
  <c r="AQ32" i="39" s="1"/>
  <c r="AJ31" i="39"/>
  <c r="AQ31" i="39" s="1"/>
  <c r="AJ25" i="39"/>
  <c r="AQ25" i="39" s="1"/>
  <c r="AJ20" i="39"/>
  <c r="AQ20" i="39" s="1"/>
  <c r="AJ35" i="39"/>
  <c r="AQ35" i="39" s="1"/>
  <c r="AJ14" i="39"/>
  <c r="AQ14" i="39" s="1"/>
  <c r="AJ52" i="39"/>
  <c r="AQ52" i="39" s="1"/>
  <c r="AJ66" i="39"/>
  <c r="AQ66" i="39" s="1"/>
  <c r="AJ85" i="39"/>
  <c r="AQ85" i="39" s="1"/>
  <c r="AJ100" i="39"/>
  <c r="AQ100" i="39" s="1"/>
  <c r="AJ110" i="39"/>
  <c r="AQ110" i="39" s="1"/>
  <c r="AJ136" i="39"/>
  <c r="AQ136" i="39" s="1"/>
  <c r="AJ19" i="39"/>
  <c r="AQ19" i="39" s="1"/>
  <c r="AJ47" i="39"/>
  <c r="AQ47" i="39" s="1"/>
  <c r="AJ27" i="39"/>
  <c r="AQ27" i="39" s="1"/>
  <c r="AJ88" i="39"/>
  <c r="AQ88" i="39" s="1"/>
  <c r="AJ101" i="39"/>
  <c r="AQ101" i="39" s="1"/>
  <c r="AJ138" i="39"/>
  <c r="AQ138" i="39" s="1"/>
  <c r="AJ140" i="39"/>
  <c r="AQ140" i="39" s="1"/>
  <c r="AJ157" i="39"/>
  <c r="AQ157" i="39" s="1"/>
  <c r="AJ29" i="39"/>
  <c r="AQ29" i="39" s="1"/>
  <c r="AJ39" i="39"/>
  <c r="AQ39" i="39" s="1"/>
  <c r="AJ38" i="39"/>
  <c r="AQ38" i="39" s="1"/>
  <c r="AJ153" i="39"/>
  <c r="AQ153" i="39" s="1"/>
  <c r="AJ17" i="39"/>
  <c r="AQ17" i="39" s="1"/>
  <c r="AJ60" i="39"/>
  <c r="AQ60" i="39" s="1"/>
  <c r="AJ36" i="39"/>
  <c r="AQ36" i="39" s="1"/>
  <c r="AJ44" i="39"/>
  <c r="AQ44" i="39" s="1"/>
  <c r="AJ61" i="39"/>
  <c r="AQ61" i="39" s="1"/>
  <c r="AJ12" i="39"/>
  <c r="AQ12" i="39" s="1"/>
  <c r="AJ81" i="39"/>
  <c r="AQ81" i="39" s="1"/>
  <c r="AJ95" i="39"/>
  <c r="AQ95" i="39" s="1"/>
  <c r="AJ107" i="39"/>
  <c r="AQ107" i="39" s="1"/>
  <c r="AJ118" i="39"/>
  <c r="AQ118" i="39" s="1"/>
  <c r="AJ128" i="39"/>
  <c r="AQ128" i="39" s="1"/>
  <c r="AJ178" i="39"/>
  <c r="AQ178" i="39" s="1"/>
  <c r="AJ73" i="39"/>
  <c r="AQ73" i="39" s="1"/>
  <c r="AJ46" i="39"/>
  <c r="AQ46" i="39" s="1"/>
  <c r="AJ54" i="39"/>
  <c r="AQ54" i="39" s="1"/>
  <c r="AJ63" i="39"/>
  <c r="AQ63" i="39" s="1"/>
  <c r="AJ109" i="39"/>
  <c r="AQ109" i="39" s="1"/>
  <c r="AJ102" i="39"/>
  <c r="AQ102" i="39" s="1"/>
  <c r="AJ166" i="39"/>
  <c r="AQ166" i="39" s="1"/>
  <c r="AJ159" i="39"/>
  <c r="AQ159" i="39" s="1"/>
  <c r="AJ165" i="39"/>
  <c r="AQ165" i="39" s="1"/>
  <c r="AJ171" i="39"/>
  <c r="AQ171" i="39" s="1"/>
  <c r="AJ71" i="39"/>
  <c r="AQ71" i="39" s="1"/>
  <c r="AJ93" i="39"/>
  <c r="AQ93" i="39" s="1"/>
  <c r="AJ87" i="39"/>
  <c r="AQ87" i="39" s="1"/>
  <c r="AJ117" i="39"/>
  <c r="AQ117" i="39" s="1"/>
  <c r="AJ115" i="39"/>
  <c r="AQ115" i="39" s="1"/>
  <c r="AJ164" i="39"/>
  <c r="AQ164" i="39" s="1"/>
  <c r="AJ129" i="39"/>
  <c r="AQ129" i="39" s="1"/>
  <c r="AJ155" i="39"/>
  <c r="AQ155" i="39" s="1"/>
  <c r="AJ156" i="39"/>
  <c r="AQ156" i="39" s="1"/>
  <c r="AJ179" i="39"/>
  <c r="AQ179" i="39" s="1"/>
  <c r="AJ158" i="39"/>
  <c r="AQ158" i="39" s="1"/>
  <c r="AJ130" i="39"/>
  <c r="AQ130" i="39" s="1"/>
  <c r="AJ122" i="39"/>
  <c r="AQ122" i="39" s="1"/>
  <c r="AJ150" i="39"/>
  <c r="AQ150" i="39" s="1"/>
  <c r="AJ108" i="39"/>
  <c r="AQ108" i="39" s="1"/>
  <c r="AJ144" i="39"/>
  <c r="AQ144" i="39" s="1"/>
  <c r="AJ76" i="39"/>
  <c r="AQ76" i="39" s="1"/>
  <c r="AJ18" i="39"/>
  <c r="AQ18" i="39" s="1"/>
  <c r="AJ26" i="39"/>
  <c r="AQ26" i="39" s="1"/>
  <c r="AJ49" i="39"/>
  <c r="AQ49" i="39" s="1"/>
  <c r="AJ41" i="39"/>
  <c r="AQ41" i="39" s="1"/>
  <c r="AJ65" i="39"/>
  <c r="AQ65" i="39" s="1"/>
  <c r="AJ180" i="39"/>
  <c r="AQ180" i="39" s="1"/>
  <c r="AJ181" i="39"/>
  <c r="AQ181" i="39" s="1"/>
  <c r="AJ24" i="39"/>
  <c r="AQ24" i="39" s="1"/>
  <c r="AJ121" i="39"/>
  <c r="AQ121" i="39" s="1"/>
  <c r="AJ116" i="39"/>
  <c r="AQ116" i="39" s="1"/>
  <c r="AJ177" i="39"/>
  <c r="AQ177" i="39" s="1"/>
  <c r="AJ137" i="39"/>
  <c r="AQ137" i="39" s="1"/>
  <c r="AJ82" i="39"/>
  <c r="AQ82" i="39" s="1"/>
  <c r="AJ142" i="39"/>
  <c r="AQ142" i="39" s="1"/>
  <c r="AJ80" i="39"/>
  <c r="AQ80" i="39" s="1"/>
  <c r="AJ174" i="39"/>
  <c r="AQ174" i="39" s="1"/>
  <c r="AJ127" i="39"/>
  <c r="AQ127" i="39" s="1"/>
  <c r="AJ16" i="39"/>
  <c r="AQ16" i="39" s="1"/>
  <c r="AJ167" i="39"/>
  <c r="AQ167" i="39" s="1"/>
  <c r="AJ90" i="39"/>
  <c r="AQ90" i="39" s="1"/>
  <c r="AJ99" i="39"/>
  <c r="AQ99" i="39" s="1"/>
  <c r="AJ55" i="39"/>
  <c r="AQ55" i="39" s="1"/>
  <c r="AJ133" i="39"/>
  <c r="AQ133" i="39" s="1"/>
  <c r="AJ145" i="39"/>
  <c r="AQ145" i="39" s="1"/>
  <c r="AJ21" i="39"/>
  <c r="AQ21" i="39" s="1"/>
  <c r="AJ28" i="39"/>
  <c r="AQ28" i="39" s="1"/>
  <c r="AJ74" i="39"/>
  <c r="AQ74" i="39" s="1"/>
  <c r="AJ57" i="39"/>
  <c r="AQ57" i="39" s="1"/>
  <c r="AJ68" i="39"/>
  <c r="AQ68" i="39" s="1"/>
  <c r="AJ139" i="39"/>
  <c r="AQ139" i="39" s="1"/>
  <c r="AJ33" i="39"/>
  <c r="AQ33" i="39" s="1"/>
  <c r="AJ172" i="39"/>
  <c r="AQ172" i="39" s="1"/>
  <c r="CT20" i="39"/>
  <c r="CT19" i="39"/>
  <c r="CT17" i="39"/>
  <c r="CT16" i="39"/>
  <c r="CT14" i="39"/>
  <c r="CT13" i="39"/>
  <c r="CS19" i="39"/>
  <c r="CR19" i="39"/>
  <c r="CS20" i="39"/>
  <c r="CS17" i="39"/>
  <c r="CS16" i="39"/>
  <c r="CS14" i="39"/>
  <c r="CS13" i="39"/>
  <c r="AX7" i="39"/>
  <c r="CR17" i="39"/>
  <c r="CR16" i="39"/>
  <c r="CR14" i="39"/>
  <c r="CR13" i="39"/>
  <c r="CP17" i="39"/>
  <c r="CP16" i="39"/>
  <c r="CP14" i="39"/>
  <c r="CP13" i="39"/>
  <c r="AP134" i="39" l="1"/>
  <c r="AT134" i="39" s="1"/>
  <c r="AM134" i="39"/>
  <c r="AP20" i="39"/>
  <c r="AT20" i="39" s="1"/>
  <c r="AM20" i="39"/>
  <c r="AP116" i="39"/>
  <c r="AT116" i="39" s="1"/>
  <c r="AM116" i="39"/>
  <c r="AP176" i="39"/>
  <c r="AT176" i="39" s="1"/>
  <c r="AM176" i="39"/>
  <c r="AP79" i="39"/>
  <c r="AT79" i="39" s="1"/>
  <c r="AM79" i="39"/>
  <c r="AP46" i="39"/>
  <c r="AT46" i="39" s="1"/>
  <c r="AM46" i="39"/>
  <c r="AP100" i="39"/>
  <c r="AT100" i="39" s="1"/>
  <c r="AM100" i="39"/>
  <c r="AX164" i="39"/>
  <c r="AX157" i="39"/>
  <c r="AX176" i="39"/>
  <c r="AX181" i="39"/>
  <c r="AX171" i="39"/>
  <c r="AX183" i="39"/>
  <c r="AX179" i="39"/>
  <c r="AX167" i="39"/>
  <c r="AX154" i="39"/>
  <c r="AX144" i="39"/>
  <c r="AX166" i="39"/>
  <c r="AX151" i="39"/>
  <c r="AX136" i="39"/>
  <c r="AX133" i="39"/>
  <c r="AX149" i="39"/>
  <c r="AX155" i="39"/>
  <c r="AX152" i="39"/>
  <c r="AX159" i="39"/>
  <c r="AX138" i="39"/>
  <c r="AX141" i="39"/>
  <c r="AX132" i="39"/>
  <c r="AX129" i="39"/>
  <c r="AX124" i="39"/>
  <c r="AX115" i="39"/>
  <c r="AX121" i="39"/>
  <c r="AX173" i="39"/>
  <c r="AX126" i="39"/>
  <c r="AX127" i="39"/>
  <c r="AX122" i="39"/>
  <c r="AX117" i="39"/>
  <c r="AX130" i="39"/>
  <c r="AX118" i="39"/>
  <c r="AX103" i="39"/>
  <c r="AX101" i="39"/>
  <c r="AX112" i="39"/>
  <c r="AX104" i="39"/>
  <c r="AX95" i="39"/>
  <c r="AX96" i="39"/>
  <c r="AX111" i="39"/>
  <c r="AX93" i="39"/>
  <c r="AX87" i="39"/>
  <c r="AX81" i="39"/>
  <c r="AX109" i="39"/>
  <c r="AX75" i="39"/>
  <c r="AX90" i="39"/>
  <c r="AX79" i="39"/>
  <c r="AX71" i="39"/>
  <c r="AX56" i="39"/>
  <c r="AX85" i="39"/>
  <c r="AX100" i="39"/>
  <c r="AX65" i="39"/>
  <c r="AX92" i="39"/>
  <c r="AX89" i="39"/>
  <c r="AX67" i="39"/>
  <c r="AX62" i="39"/>
  <c r="AX60" i="39"/>
  <c r="AX52" i="39"/>
  <c r="AX73" i="39"/>
  <c r="AX38" i="39"/>
  <c r="AX54" i="39"/>
  <c r="AX46" i="39"/>
  <c r="AX40" i="39"/>
  <c r="AX48" i="39"/>
  <c r="AX44" i="39"/>
  <c r="AX12" i="39"/>
  <c r="AX23" i="39"/>
  <c r="AX29" i="39"/>
  <c r="AX27" i="39"/>
  <c r="AX15" i="39"/>
  <c r="AX31" i="39"/>
  <c r="AX19" i="39"/>
  <c r="AX36" i="39"/>
  <c r="AX11" i="39"/>
  <c r="AX14" i="39"/>
  <c r="AX42" i="39"/>
  <c r="AX63" i="39"/>
  <c r="AX98" i="39"/>
  <c r="AX106" i="39"/>
  <c r="AX174" i="39"/>
  <c r="AX21" i="39"/>
  <c r="AX32" i="39"/>
  <c r="AX51" i="39"/>
  <c r="AX84" i="39"/>
  <c r="AX119" i="39"/>
  <c r="AX140" i="39"/>
  <c r="AX161" i="39"/>
  <c r="AX180" i="39"/>
  <c r="AX70" i="39"/>
  <c r="AX30" i="39"/>
  <c r="AX22" i="39"/>
  <c r="AX50" i="39"/>
  <c r="AX68" i="39"/>
  <c r="AX41" i="39"/>
  <c r="AX76" i="39"/>
  <c r="AX97" i="39"/>
  <c r="AX83" i="39"/>
  <c r="AX160" i="39"/>
  <c r="AX168" i="39"/>
  <c r="AX16" i="39"/>
  <c r="AX47" i="39"/>
  <c r="AX34" i="39"/>
  <c r="AX78" i="39"/>
  <c r="AX59" i="39"/>
  <c r="AX58" i="39"/>
  <c r="AX66" i="39"/>
  <c r="AX110" i="39"/>
  <c r="AX113" i="39"/>
  <c r="AX139" i="39"/>
  <c r="AX147" i="39"/>
  <c r="AX172" i="39"/>
  <c r="AX57" i="39"/>
  <c r="AX91" i="39"/>
  <c r="AX61" i="39"/>
  <c r="AX74" i="39"/>
  <c r="AX35" i="39"/>
  <c r="AX43" i="39"/>
  <c r="AX114" i="39"/>
  <c r="AX150" i="39"/>
  <c r="AX162" i="39"/>
  <c r="AX142" i="39"/>
  <c r="AX135" i="39"/>
  <c r="AX158" i="39"/>
  <c r="AX20" i="39"/>
  <c r="AX24" i="39"/>
  <c r="AX55" i="39"/>
  <c r="AX49" i="39"/>
  <c r="AX69" i="39"/>
  <c r="AX88" i="39"/>
  <c r="AX131" i="39"/>
  <c r="AX105" i="39"/>
  <c r="AX169" i="39"/>
  <c r="AX146" i="39"/>
  <c r="AX182" i="39"/>
  <c r="AX125" i="39"/>
  <c r="AX165" i="39"/>
  <c r="AX148" i="39"/>
  <c r="AX102" i="39"/>
  <c r="AX177" i="39"/>
  <c r="AX123" i="39"/>
  <c r="AX153" i="39"/>
  <c r="AX77" i="39"/>
  <c r="AX134" i="39"/>
  <c r="AX17" i="39"/>
  <c r="AX80" i="39"/>
  <c r="AX156" i="39"/>
  <c r="AX116" i="39"/>
  <c r="AX13" i="39"/>
  <c r="AX86" i="39"/>
  <c r="AX120" i="39"/>
  <c r="AX18" i="39"/>
  <c r="AX82" i="39"/>
  <c r="AX137" i="39"/>
  <c r="AX26" i="39"/>
  <c r="AX25" i="39"/>
  <c r="AX128" i="39"/>
  <c r="AX72" i="39"/>
  <c r="AX108" i="39"/>
  <c r="AX145" i="39"/>
  <c r="AX107" i="39"/>
  <c r="AX33" i="39"/>
  <c r="AX178" i="39"/>
  <c r="AX175" i="39"/>
  <c r="AX143" i="39"/>
  <c r="AX39" i="39"/>
  <c r="AX53" i="39"/>
  <c r="AX94" i="39"/>
  <c r="AX64" i="39"/>
  <c r="AX28" i="39"/>
  <c r="AX37" i="39"/>
  <c r="AX99" i="39"/>
  <c r="AX163" i="39"/>
  <c r="AX45" i="39"/>
  <c r="AX170" i="39"/>
  <c r="AP38" i="39"/>
  <c r="AT38" i="39" s="1"/>
  <c r="AM38" i="39"/>
  <c r="AP69" i="39"/>
  <c r="AT69" i="39" s="1"/>
  <c r="AM69" i="39"/>
  <c r="AP104" i="39"/>
  <c r="AT104" i="39" s="1"/>
  <c r="AM104" i="39"/>
  <c r="AP42" i="39"/>
  <c r="AT42" i="39" s="1"/>
  <c r="AM42" i="39"/>
  <c r="AP124" i="39"/>
  <c r="AT124" i="39" s="1"/>
  <c r="AM124" i="39"/>
  <c r="AP177" i="39"/>
  <c r="AT177" i="39" s="1"/>
  <c r="AM177" i="39"/>
  <c r="AP139" i="39"/>
  <c r="AT139" i="39" s="1"/>
  <c r="AM139" i="39"/>
  <c r="AP166" i="39"/>
  <c r="AT166" i="39" s="1"/>
  <c r="AM166" i="39"/>
  <c r="AP158" i="39"/>
  <c r="AT158" i="39" s="1"/>
  <c r="AM158" i="39"/>
  <c r="AP27" i="39"/>
  <c r="AT27" i="39" s="1"/>
  <c r="AM27" i="39"/>
  <c r="AP120" i="39"/>
  <c r="AT120" i="39" s="1"/>
  <c r="AM120" i="39"/>
  <c r="AP93" i="39"/>
  <c r="AT93" i="39" s="1"/>
  <c r="AM93" i="39"/>
  <c r="AP15" i="39"/>
  <c r="AT15" i="39" s="1"/>
  <c r="AM15" i="39"/>
  <c r="AP24" i="39"/>
  <c r="AT24" i="39" s="1"/>
  <c r="AM24" i="39"/>
  <c r="AP84" i="39"/>
  <c r="AT84" i="39" s="1"/>
  <c r="AM84" i="39"/>
  <c r="AP90" i="39"/>
  <c r="AT90" i="39" s="1"/>
  <c r="AM90" i="39"/>
  <c r="AP82" i="39"/>
  <c r="AT82" i="39" s="1"/>
  <c r="AM82" i="39"/>
  <c r="AP123" i="39"/>
  <c r="AT123" i="39" s="1"/>
  <c r="AM123" i="39"/>
  <c r="AP149" i="39"/>
  <c r="AT149" i="39" s="1"/>
  <c r="AM149" i="39"/>
  <c r="AP135" i="39"/>
  <c r="AT135" i="39" s="1"/>
  <c r="AM135" i="39"/>
  <c r="AP161" i="39"/>
  <c r="AT161" i="39" s="1"/>
  <c r="AM161" i="39"/>
  <c r="AP151" i="39"/>
  <c r="AT151" i="39" s="1"/>
  <c r="AM151" i="39"/>
  <c r="AP85" i="39"/>
  <c r="AT85" i="39" s="1"/>
  <c r="AM85" i="39"/>
  <c r="AP169" i="39"/>
  <c r="AT169" i="39" s="1"/>
  <c r="AM169" i="39"/>
  <c r="AP147" i="39"/>
  <c r="AT147" i="39" s="1"/>
  <c r="AM147" i="39"/>
  <c r="AP95" i="39"/>
  <c r="AT95" i="39" s="1"/>
  <c r="AM95" i="39"/>
  <c r="AP66" i="39"/>
  <c r="AT66" i="39" s="1"/>
  <c r="AM66" i="39"/>
  <c r="AP87" i="39"/>
  <c r="AT87" i="39" s="1"/>
  <c r="AM87" i="39"/>
  <c r="AP140" i="39"/>
  <c r="AT140" i="39" s="1"/>
  <c r="AM140" i="39"/>
  <c r="AP14" i="39"/>
  <c r="AT14" i="39" s="1"/>
  <c r="AM14" i="39"/>
  <c r="AP31" i="39"/>
  <c r="AT31" i="39" s="1"/>
  <c r="AM31" i="39"/>
  <c r="AP165" i="39"/>
  <c r="AT165" i="39" s="1"/>
  <c r="AM165" i="39"/>
  <c r="AP138" i="39"/>
  <c r="AT138" i="39" s="1"/>
  <c r="AM138" i="39"/>
  <c r="AP167" i="39"/>
  <c r="AT167" i="39" s="1"/>
  <c r="AM167" i="39"/>
  <c r="AP179" i="39"/>
  <c r="AT179" i="39" s="1"/>
  <c r="AM179" i="39"/>
  <c r="AP111" i="39"/>
  <c r="AT111" i="39" s="1"/>
  <c r="AM111" i="39"/>
  <c r="AP130" i="39"/>
  <c r="AT130" i="39" s="1"/>
  <c r="AM130" i="39"/>
  <c r="AP47" i="39"/>
  <c r="AT47" i="39" s="1"/>
  <c r="AM47" i="39"/>
  <c r="AP74" i="39"/>
  <c r="AT74" i="39" s="1"/>
  <c r="AM74" i="39"/>
  <c r="AP71" i="39"/>
  <c r="AT71" i="39" s="1"/>
  <c r="AM71" i="39"/>
  <c r="AP28" i="39"/>
  <c r="AT28" i="39" s="1"/>
  <c r="AM28" i="39"/>
  <c r="AP33" i="39"/>
  <c r="AT33" i="39" s="1"/>
  <c r="AM33" i="39"/>
  <c r="AP78" i="39"/>
  <c r="AT78" i="39" s="1"/>
  <c r="AM78" i="39"/>
  <c r="AP70" i="39"/>
  <c r="AT70" i="39" s="1"/>
  <c r="AM70" i="39"/>
  <c r="AP92" i="39"/>
  <c r="AT92" i="39" s="1"/>
  <c r="AM92" i="39"/>
  <c r="AP108" i="39"/>
  <c r="AT108" i="39" s="1"/>
  <c r="AM108" i="39"/>
  <c r="AP117" i="39"/>
  <c r="AT117" i="39" s="1"/>
  <c r="AM117" i="39"/>
  <c r="AP145" i="39"/>
  <c r="AT145" i="39" s="1"/>
  <c r="AM145" i="39"/>
  <c r="AP178" i="39"/>
  <c r="AT178" i="39" s="1"/>
  <c r="AM178" i="39"/>
  <c r="AP96" i="39"/>
  <c r="AT96" i="39" s="1"/>
  <c r="AM96" i="39"/>
  <c r="AP155" i="39"/>
  <c r="AT155" i="39" s="1"/>
  <c r="AM155" i="39"/>
  <c r="AP48" i="39"/>
  <c r="AT48" i="39" s="1"/>
  <c r="AM48" i="39"/>
  <c r="AP170" i="39"/>
  <c r="AT170" i="39" s="1"/>
  <c r="AM170" i="39"/>
  <c r="AP50" i="39"/>
  <c r="AT50" i="39" s="1"/>
  <c r="AM50" i="39"/>
  <c r="AP101" i="39"/>
  <c r="AT101" i="39" s="1"/>
  <c r="AM101" i="39"/>
  <c r="AP39" i="39"/>
  <c r="AT39" i="39" s="1"/>
  <c r="AM39" i="39"/>
  <c r="AP16" i="39"/>
  <c r="AT16" i="39" s="1"/>
  <c r="AM16" i="39"/>
  <c r="AP62" i="39"/>
  <c r="AT62" i="39" s="1"/>
  <c r="AM62" i="39"/>
  <c r="AP141" i="39"/>
  <c r="AT141" i="39" s="1"/>
  <c r="AM141" i="39"/>
  <c r="AP12" i="39"/>
  <c r="AT12" i="39" s="1"/>
  <c r="AM12" i="39"/>
  <c r="AP91" i="39"/>
  <c r="AT91" i="39" s="1"/>
  <c r="AM91" i="39"/>
  <c r="AP30" i="39"/>
  <c r="AT30" i="39" s="1"/>
  <c r="AM30" i="39"/>
  <c r="AP58" i="39"/>
  <c r="AT58" i="39" s="1"/>
  <c r="AM58" i="39"/>
  <c r="AP128" i="39"/>
  <c r="AT128" i="39" s="1"/>
  <c r="AM128" i="39"/>
  <c r="AP107" i="39"/>
  <c r="AT107" i="39" s="1"/>
  <c r="AM107" i="39"/>
  <c r="AP63" i="39"/>
  <c r="AT63" i="39" s="1"/>
  <c r="AM63" i="39"/>
  <c r="AP73" i="39"/>
  <c r="AT73" i="39" s="1"/>
  <c r="AM73" i="39"/>
  <c r="AP162" i="39"/>
  <c r="AT162" i="39" s="1"/>
  <c r="AM162" i="39"/>
  <c r="AP55" i="39"/>
  <c r="AT55" i="39" s="1"/>
  <c r="AM55" i="39"/>
  <c r="AP153" i="39"/>
  <c r="AT153" i="39" s="1"/>
  <c r="AM153" i="39"/>
  <c r="AP61" i="39"/>
  <c r="AT61" i="39" s="1"/>
  <c r="AM61" i="39"/>
  <c r="AP13" i="39"/>
  <c r="AT13" i="39" s="1"/>
  <c r="AM13" i="39"/>
  <c r="AP26" i="39"/>
  <c r="AT26" i="39" s="1"/>
  <c r="AM26" i="39"/>
  <c r="AP67" i="39"/>
  <c r="AT67" i="39" s="1"/>
  <c r="AM67" i="39"/>
  <c r="AP53" i="39"/>
  <c r="AT53" i="39" s="1"/>
  <c r="AM53" i="39"/>
  <c r="AP99" i="39"/>
  <c r="AT99" i="39" s="1"/>
  <c r="AM99" i="39"/>
  <c r="AP112" i="39"/>
  <c r="AT112" i="39" s="1"/>
  <c r="AM112" i="39"/>
  <c r="AP114" i="39"/>
  <c r="AT114" i="39" s="1"/>
  <c r="AM114" i="39"/>
  <c r="AP129" i="39"/>
  <c r="AT129" i="39" s="1"/>
  <c r="AM129" i="39"/>
  <c r="AP146" i="39"/>
  <c r="AT146" i="39" s="1"/>
  <c r="AM146" i="39"/>
  <c r="AP181" i="39"/>
  <c r="AT181" i="39" s="1"/>
  <c r="AM181" i="39"/>
  <c r="AP168" i="39"/>
  <c r="AT168" i="39" s="1"/>
  <c r="AM168" i="39"/>
  <c r="AP29" i="39"/>
  <c r="AT29" i="39" s="1"/>
  <c r="AM29" i="39"/>
  <c r="AP18" i="39"/>
  <c r="AT18" i="39" s="1"/>
  <c r="AM18" i="39"/>
  <c r="AP121" i="39"/>
  <c r="AT121" i="39" s="1"/>
  <c r="AM121" i="39"/>
  <c r="AP175" i="39"/>
  <c r="AT175" i="39" s="1"/>
  <c r="AM175" i="39"/>
  <c r="AP21" i="39"/>
  <c r="AT21" i="39" s="1"/>
  <c r="AM21" i="39"/>
  <c r="AP45" i="39"/>
  <c r="AT45" i="39" s="1"/>
  <c r="AM45" i="39"/>
  <c r="AP174" i="39"/>
  <c r="AT174" i="39" s="1"/>
  <c r="AM174" i="39"/>
  <c r="AP36" i="39"/>
  <c r="AT36" i="39" s="1"/>
  <c r="AM36" i="39"/>
  <c r="AP105" i="39"/>
  <c r="AT105" i="39" s="1"/>
  <c r="AM105" i="39"/>
  <c r="AP23" i="39"/>
  <c r="AT23" i="39" s="1"/>
  <c r="AM23" i="39"/>
  <c r="AP131" i="39"/>
  <c r="AT131" i="39" s="1"/>
  <c r="AM131" i="39"/>
  <c r="AP109" i="39"/>
  <c r="AT109" i="39" s="1"/>
  <c r="AM109" i="39"/>
  <c r="AP180" i="39"/>
  <c r="AT180" i="39" s="1"/>
  <c r="AM180" i="39"/>
  <c r="AP65" i="39"/>
  <c r="AT65" i="39" s="1"/>
  <c r="AM65" i="39"/>
  <c r="AP44" i="39"/>
  <c r="AT44" i="39" s="1"/>
  <c r="AM44" i="39"/>
  <c r="AP144" i="39"/>
  <c r="AT144" i="39" s="1"/>
  <c r="AM144" i="39"/>
  <c r="AP56" i="39"/>
  <c r="AT56" i="39" s="1"/>
  <c r="AM56" i="39"/>
  <c r="AP136" i="39"/>
  <c r="AT136" i="39" s="1"/>
  <c r="AM136" i="39"/>
  <c r="AP52" i="39"/>
  <c r="AT52" i="39" s="1"/>
  <c r="AM52" i="39"/>
  <c r="AP35" i="39"/>
  <c r="AT35" i="39" s="1"/>
  <c r="AM35" i="39"/>
  <c r="AP37" i="39"/>
  <c r="AT37" i="39" s="1"/>
  <c r="AM37" i="39"/>
  <c r="AP41" i="39"/>
  <c r="AT41" i="39" s="1"/>
  <c r="AM41" i="39"/>
  <c r="AP94" i="39"/>
  <c r="AT94" i="39" s="1"/>
  <c r="AM94" i="39"/>
  <c r="AP76" i="39"/>
  <c r="AT76" i="39" s="1"/>
  <c r="AM76" i="39"/>
  <c r="AP173" i="39"/>
  <c r="AT173" i="39" s="1"/>
  <c r="AM173" i="39"/>
  <c r="AP137" i="39"/>
  <c r="AT137" i="39" s="1"/>
  <c r="AM137" i="39"/>
  <c r="AP132" i="39"/>
  <c r="AT132" i="39" s="1"/>
  <c r="AM132" i="39"/>
  <c r="AP164" i="39"/>
  <c r="AT164" i="39" s="1"/>
  <c r="AM164" i="39"/>
  <c r="AP156" i="39"/>
  <c r="AT156" i="39" s="1"/>
  <c r="AM156" i="39"/>
  <c r="AP148" i="39"/>
  <c r="AT148" i="39" s="1"/>
  <c r="AM148" i="39"/>
  <c r="AP68" i="39"/>
  <c r="AT68" i="39" s="1"/>
  <c r="AM68" i="39"/>
  <c r="AP51" i="39"/>
  <c r="AT51" i="39" s="1"/>
  <c r="AM51" i="39"/>
  <c r="AP80" i="39"/>
  <c r="AT80" i="39" s="1"/>
  <c r="AM80" i="39"/>
  <c r="AP103" i="39"/>
  <c r="AT103" i="39" s="1"/>
  <c r="AM103" i="39"/>
  <c r="AP126" i="39"/>
  <c r="AT126" i="39" s="1"/>
  <c r="AM126" i="39"/>
  <c r="AP22" i="39"/>
  <c r="AT22" i="39" s="1"/>
  <c r="AM22" i="39"/>
  <c r="AP160" i="39"/>
  <c r="AT160" i="39" s="1"/>
  <c r="AM160" i="39"/>
  <c r="AP125" i="39"/>
  <c r="AT125" i="39" s="1"/>
  <c r="AM125" i="39"/>
  <c r="AP183" i="39"/>
  <c r="AT183" i="39" s="1"/>
  <c r="AM183" i="39"/>
  <c r="AP142" i="39"/>
  <c r="AT142" i="39" s="1"/>
  <c r="AM142" i="39"/>
  <c r="AP88" i="39"/>
  <c r="AT88" i="39" s="1"/>
  <c r="AM88" i="39"/>
  <c r="AP81" i="39"/>
  <c r="AT81" i="39" s="1"/>
  <c r="AM81" i="39"/>
  <c r="AP60" i="39"/>
  <c r="AT60" i="39" s="1"/>
  <c r="AM60" i="39"/>
  <c r="AP150" i="39"/>
  <c r="AT150" i="39" s="1"/>
  <c r="AM150" i="39"/>
  <c r="AP34" i="39"/>
  <c r="AT34" i="39" s="1"/>
  <c r="AM34" i="39"/>
  <c r="AP119" i="39"/>
  <c r="AT119" i="39" s="1"/>
  <c r="AM119" i="39"/>
  <c r="AP171" i="39"/>
  <c r="AT171" i="39" s="1"/>
  <c r="AM171" i="39"/>
  <c r="AP32" i="39"/>
  <c r="AT32" i="39" s="1"/>
  <c r="AM32" i="39"/>
  <c r="AP72" i="39"/>
  <c r="AT72" i="39" s="1"/>
  <c r="AM72" i="39"/>
  <c r="AP49" i="39"/>
  <c r="AT49" i="39" s="1"/>
  <c r="AM49" i="39"/>
  <c r="AP59" i="39"/>
  <c r="AT59" i="39" s="1"/>
  <c r="AM59" i="39"/>
  <c r="AP86" i="39"/>
  <c r="AT86" i="39" s="1"/>
  <c r="AM86" i="39"/>
  <c r="AP98" i="39"/>
  <c r="AT98" i="39" s="1"/>
  <c r="AM98" i="39"/>
  <c r="AP122" i="39"/>
  <c r="AT122" i="39" s="1"/>
  <c r="AM122" i="39"/>
  <c r="AP152" i="39"/>
  <c r="AT152" i="39" s="1"/>
  <c r="AM152" i="39"/>
  <c r="AP172" i="39"/>
  <c r="AT172" i="39" s="1"/>
  <c r="AM172" i="39"/>
  <c r="AP182" i="39"/>
  <c r="AT182" i="39" s="1"/>
  <c r="AM182" i="39"/>
  <c r="AP102" i="39"/>
  <c r="AT102" i="39" s="1"/>
  <c r="AM102" i="39"/>
  <c r="AP19" i="39"/>
  <c r="AT19" i="39" s="1"/>
  <c r="AM19" i="39"/>
  <c r="AP57" i="39"/>
  <c r="AT57" i="39" s="1"/>
  <c r="AM57" i="39"/>
  <c r="AP143" i="39"/>
  <c r="AT143" i="39" s="1"/>
  <c r="AM143" i="39"/>
  <c r="AP64" i="39"/>
  <c r="AT64" i="39" s="1"/>
  <c r="AM64" i="39"/>
  <c r="AP113" i="39"/>
  <c r="AT113" i="39" s="1"/>
  <c r="AM113" i="39"/>
  <c r="AP25" i="39"/>
  <c r="AT25" i="39" s="1"/>
  <c r="AM25" i="39"/>
  <c r="AP83" i="39"/>
  <c r="AT83" i="39" s="1"/>
  <c r="AM83" i="39"/>
  <c r="AP75" i="39"/>
  <c r="AT75" i="39" s="1"/>
  <c r="AM75" i="39"/>
  <c r="AP118" i="39"/>
  <c r="AT118" i="39" s="1"/>
  <c r="AM118" i="39"/>
  <c r="AP159" i="39"/>
  <c r="AT159" i="39" s="1"/>
  <c r="AM159" i="39"/>
  <c r="AP54" i="39"/>
  <c r="AT54" i="39" s="1"/>
  <c r="AM54" i="39"/>
  <c r="AP17" i="39"/>
  <c r="AT17" i="39" s="1"/>
  <c r="AM17" i="39"/>
  <c r="AP157" i="39"/>
  <c r="AT157" i="39" s="1"/>
  <c r="AM157" i="39"/>
  <c r="AP40" i="39"/>
  <c r="AT40" i="39" s="1"/>
  <c r="AM40" i="39"/>
  <c r="AP110" i="39"/>
  <c r="AT110" i="39" s="1"/>
  <c r="AM110" i="39"/>
  <c r="AP115" i="39"/>
  <c r="AT115" i="39" s="1"/>
  <c r="AM115" i="39"/>
  <c r="AP43" i="39"/>
  <c r="AT43" i="39" s="1"/>
  <c r="AM43" i="39"/>
  <c r="AP77" i="39"/>
  <c r="AT77" i="39" s="1"/>
  <c r="AM77" i="39"/>
  <c r="AP89" i="39"/>
  <c r="AT89" i="39" s="1"/>
  <c r="AM89" i="39"/>
  <c r="AP106" i="39"/>
  <c r="AT106" i="39" s="1"/>
  <c r="AM106" i="39"/>
  <c r="AP97" i="39"/>
  <c r="AT97" i="39" s="1"/>
  <c r="AM97" i="39"/>
  <c r="AP127" i="39"/>
  <c r="AT127" i="39" s="1"/>
  <c r="AM127" i="39"/>
  <c r="AP133" i="39"/>
  <c r="AT133" i="39" s="1"/>
  <c r="AM133" i="39"/>
  <c r="AP163" i="39"/>
  <c r="AT163" i="39" s="1"/>
  <c r="AM163" i="39"/>
  <c r="AP154" i="39"/>
  <c r="AT154" i="39" s="1"/>
  <c r="AM154" i="39"/>
  <c r="CP19" i="39"/>
  <c r="T7" i="39"/>
  <c r="CP20" i="39"/>
  <c r="AY7" i="39"/>
  <c r="CC7" i="39"/>
  <c r="BN7" i="39"/>
  <c r="BM7" i="39"/>
  <c r="CB7" i="39"/>
  <c r="Z11" i="39"/>
  <c r="CS18" i="39"/>
  <c r="CP15" i="39"/>
  <c r="CQ15" i="39"/>
  <c r="CT15" i="39"/>
  <c r="CT18" i="39"/>
  <c r="CS15" i="39"/>
  <c r="CP18" i="39"/>
  <c r="CR18" i="39"/>
  <c r="CQ18" i="39"/>
  <c r="AY165" i="39" l="1"/>
  <c r="BF165" i="39" s="1"/>
  <c r="AY176" i="39"/>
  <c r="BF176" i="39" s="1"/>
  <c r="AY155" i="39"/>
  <c r="BF155" i="39" s="1"/>
  <c r="AY175" i="39"/>
  <c r="BF175" i="39" s="1"/>
  <c r="AY166" i="39"/>
  <c r="BF166" i="39" s="1"/>
  <c r="AY156" i="39"/>
  <c r="BF156" i="39" s="1"/>
  <c r="AY171" i="39"/>
  <c r="BF171" i="39" s="1"/>
  <c r="AY183" i="39"/>
  <c r="BF183" i="39" s="1"/>
  <c r="AY179" i="39"/>
  <c r="BF179" i="39" s="1"/>
  <c r="AY163" i="39"/>
  <c r="BF163" i="39" s="1"/>
  <c r="AY154" i="39"/>
  <c r="BF154" i="39" s="1"/>
  <c r="AY157" i="39"/>
  <c r="BF157" i="39" s="1"/>
  <c r="AY144" i="39"/>
  <c r="BF144" i="39" s="1"/>
  <c r="AY137" i="39"/>
  <c r="BF137" i="39" s="1"/>
  <c r="AY149" i="39"/>
  <c r="BF149" i="39" s="1"/>
  <c r="AY164" i="39"/>
  <c r="BF164" i="39" s="1"/>
  <c r="AY132" i="39"/>
  <c r="BF132" i="39" s="1"/>
  <c r="AY143" i="39"/>
  <c r="BF143" i="39" s="1"/>
  <c r="AY141" i="39"/>
  <c r="BF141" i="39" s="1"/>
  <c r="AY138" i="39"/>
  <c r="BF138" i="39" s="1"/>
  <c r="AY129" i="39"/>
  <c r="BF129" i="39" s="1"/>
  <c r="AY115" i="39"/>
  <c r="BF115" i="39" s="1"/>
  <c r="AY121" i="39"/>
  <c r="BF121" i="39" s="1"/>
  <c r="AY170" i="39"/>
  <c r="BF170" i="39" s="1"/>
  <c r="AY126" i="39"/>
  <c r="BF126" i="39" s="1"/>
  <c r="AY178" i="39"/>
  <c r="BF178" i="39" s="1"/>
  <c r="AY127" i="39"/>
  <c r="BF127" i="39" s="1"/>
  <c r="AY122" i="39"/>
  <c r="BF122" i="39" s="1"/>
  <c r="AY117" i="39"/>
  <c r="BF117" i="39" s="1"/>
  <c r="AY133" i="39"/>
  <c r="BF133" i="39" s="1"/>
  <c r="AY135" i="39"/>
  <c r="BF135" i="39" s="1"/>
  <c r="AY128" i="39"/>
  <c r="BF128" i="39" s="1"/>
  <c r="AY118" i="39"/>
  <c r="BF118" i="39" s="1"/>
  <c r="AY114" i="39"/>
  <c r="BF114" i="39" s="1"/>
  <c r="AY116" i="39"/>
  <c r="BF116" i="39" s="1"/>
  <c r="AY101" i="39"/>
  <c r="BF101" i="39" s="1"/>
  <c r="AY107" i="39"/>
  <c r="BF107" i="39" s="1"/>
  <c r="AY108" i="39"/>
  <c r="BF108" i="39" s="1"/>
  <c r="AY95" i="39"/>
  <c r="BF95" i="39" s="1"/>
  <c r="AY99" i="39"/>
  <c r="BF99" i="39" s="1"/>
  <c r="AY120" i="39"/>
  <c r="BF120" i="39" s="1"/>
  <c r="AY109" i="39"/>
  <c r="BF109" i="39" s="1"/>
  <c r="AY100" i="39"/>
  <c r="BF100" i="39" s="1"/>
  <c r="AY87" i="39"/>
  <c r="BF87" i="39" s="1"/>
  <c r="AY81" i="39"/>
  <c r="BF81" i="39" s="1"/>
  <c r="AY136" i="39"/>
  <c r="BF136" i="39" s="1"/>
  <c r="AY94" i="39"/>
  <c r="BF94" i="39" s="1"/>
  <c r="AY106" i="39"/>
  <c r="BF106" i="39" s="1"/>
  <c r="AY89" i="39"/>
  <c r="BF89" i="39" s="1"/>
  <c r="AY73" i="39"/>
  <c r="BF73" i="39" s="1"/>
  <c r="AY84" i="39"/>
  <c r="BF84" i="39" s="1"/>
  <c r="AY72" i="39"/>
  <c r="BF72" i="39" s="1"/>
  <c r="AY86" i="39"/>
  <c r="BF86" i="39" s="1"/>
  <c r="AY79" i="39"/>
  <c r="BF79" i="39" s="1"/>
  <c r="AY64" i="39"/>
  <c r="BF64" i="39" s="1"/>
  <c r="AY75" i="39"/>
  <c r="BF75" i="39" s="1"/>
  <c r="AY70" i="39"/>
  <c r="BF70" i="39" s="1"/>
  <c r="AY65" i="39"/>
  <c r="BF65" i="39" s="1"/>
  <c r="AY92" i="39"/>
  <c r="BF92" i="39" s="1"/>
  <c r="AY59" i="39"/>
  <c r="BF59" i="39" s="1"/>
  <c r="AY67" i="39"/>
  <c r="BF67" i="39" s="1"/>
  <c r="AY62" i="39"/>
  <c r="BF62" i="39" s="1"/>
  <c r="AY80" i="39"/>
  <c r="BF80" i="39" s="1"/>
  <c r="AY56" i="39"/>
  <c r="BF56" i="39" s="1"/>
  <c r="AY38" i="39"/>
  <c r="BF38" i="39" s="1"/>
  <c r="AY54" i="39"/>
  <c r="BF54" i="39" s="1"/>
  <c r="AY46" i="39"/>
  <c r="BF46" i="39" s="1"/>
  <c r="AY40" i="39"/>
  <c r="BF40" i="39" s="1"/>
  <c r="AY48" i="39"/>
  <c r="BF48" i="39" s="1"/>
  <c r="AY43" i="39"/>
  <c r="BF43" i="39" s="1"/>
  <c r="AY37" i="39"/>
  <c r="BF37" i="39" s="1"/>
  <c r="AY53" i="39"/>
  <c r="BF53" i="39" s="1"/>
  <c r="AY45" i="39"/>
  <c r="BF45" i="39" s="1"/>
  <c r="AY26" i="39"/>
  <c r="BF26" i="39" s="1"/>
  <c r="AY12" i="39"/>
  <c r="BF12" i="39" s="1"/>
  <c r="AY19" i="39"/>
  <c r="BF19" i="39" s="1"/>
  <c r="AY35" i="39"/>
  <c r="BF35" i="39" s="1"/>
  <c r="AY25" i="39"/>
  <c r="BF25" i="39" s="1"/>
  <c r="AY27" i="39"/>
  <c r="BF27" i="39" s="1"/>
  <c r="AY18" i="39"/>
  <c r="BF18" i="39" s="1"/>
  <c r="AY15" i="39"/>
  <c r="BF15" i="39" s="1"/>
  <c r="AY17" i="39"/>
  <c r="BF17" i="39" s="1"/>
  <c r="AY11" i="39"/>
  <c r="BF11" i="39" s="1"/>
  <c r="AY28" i="39"/>
  <c r="BF28" i="39" s="1"/>
  <c r="AY51" i="39"/>
  <c r="BF51" i="39" s="1"/>
  <c r="AY33" i="39"/>
  <c r="BF33" i="39" s="1"/>
  <c r="AY32" i="39"/>
  <c r="BF32" i="39" s="1"/>
  <c r="AY49" i="39"/>
  <c r="BF49" i="39" s="1"/>
  <c r="AY82" i="39"/>
  <c r="BF82" i="39" s="1"/>
  <c r="AY30" i="39"/>
  <c r="BF30" i="39" s="1"/>
  <c r="AY98" i="39"/>
  <c r="BF98" i="39" s="1"/>
  <c r="AY97" i="39"/>
  <c r="BF97" i="39" s="1"/>
  <c r="AY102" i="39"/>
  <c r="BF102" i="39" s="1"/>
  <c r="AY112" i="39"/>
  <c r="BF112" i="39" s="1"/>
  <c r="AY160" i="39"/>
  <c r="BF160" i="39" s="1"/>
  <c r="AY50" i="39"/>
  <c r="BF50" i="39" s="1"/>
  <c r="AY68" i="39"/>
  <c r="BF68" i="39" s="1"/>
  <c r="AY76" i="39"/>
  <c r="BF76" i="39" s="1"/>
  <c r="AY20" i="39"/>
  <c r="BF20" i="39" s="1"/>
  <c r="AY13" i="39"/>
  <c r="BF13" i="39" s="1"/>
  <c r="AY22" i="39"/>
  <c r="BF22" i="39" s="1"/>
  <c r="AY47" i="39"/>
  <c r="BF47" i="39" s="1"/>
  <c r="AY66" i="39"/>
  <c r="BF66" i="39" s="1"/>
  <c r="AY90" i="39"/>
  <c r="BF90" i="39" s="1"/>
  <c r="AY96" i="39"/>
  <c r="BF96" i="39" s="1"/>
  <c r="AY110" i="39"/>
  <c r="BF110" i="39" s="1"/>
  <c r="AY113" i="39"/>
  <c r="BF113" i="39" s="1"/>
  <c r="AY139" i="39"/>
  <c r="BF139" i="39" s="1"/>
  <c r="AY151" i="39"/>
  <c r="BF151" i="39" s="1"/>
  <c r="AY173" i="39"/>
  <c r="BF173" i="39" s="1"/>
  <c r="AY16" i="39"/>
  <c r="BF16" i="39" s="1"/>
  <c r="AY41" i="39"/>
  <c r="BF41" i="39" s="1"/>
  <c r="AY57" i="39"/>
  <c r="BF57" i="39" s="1"/>
  <c r="AY91" i="39"/>
  <c r="BF91" i="39" s="1"/>
  <c r="AY104" i="39"/>
  <c r="BF104" i="39" s="1"/>
  <c r="AY125" i="39"/>
  <c r="BF125" i="39" s="1"/>
  <c r="AY134" i="39"/>
  <c r="BF134" i="39" s="1"/>
  <c r="AY153" i="39"/>
  <c r="BF153" i="39" s="1"/>
  <c r="AY61" i="39"/>
  <c r="BF61" i="39" s="1"/>
  <c r="AY74" i="39"/>
  <c r="BF74" i="39" s="1"/>
  <c r="AY78" i="39"/>
  <c r="BF78" i="39" s="1"/>
  <c r="AY55" i="39"/>
  <c r="BF55" i="39" s="1"/>
  <c r="AY88" i="39"/>
  <c r="BF88" i="39" s="1"/>
  <c r="AY131" i="39"/>
  <c r="BF131" i="39" s="1"/>
  <c r="AY105" i="39"/>
  <c r="BF105" i="39" s="1"/>
  <c r="AY123" i="39"/>
  <c r="BF123" i="39" s="1"/>
  <c r="AY158" i="39"/>
  <c r="BF158" i="39" s="1"/>
  <c r="AY181" i="39"/>
  <c r="BF181" i="39" s="1"/>
  <c r="AY174" i="39"/>
  <c r="BF174" i="39" s="1"/>
  <c r="AY142" i="39"/>
  <c r="BF142" i="39" s="1"/>
  <c r="AY161" i="39"/>
  <c r="BF161" i="39" s="1"/>
  <c r="AY167" i="39"/>
  <c r="BF167" i="39" s="1"/>
  <c r="AY14" i="39"/>
  <c r="BF14" i="39" s="1"/>
  <c r="AY24" i="39"/>
  <c r="BF24" i="39" s="1"/>
  <c r="AY39" i="39"/>
  <c r="BF39" i="39" s="1"/>
  <c r="AY42" i="39"/>
  <c r="BF42" i="39" s="1"/>
  <c r="AY63" i="39"/>
  <c r="BF63" i="39" s="1"/>
  <c r="AY103" i="39"/>
  <c r="BF103" i="39" s="1"/>
  <c r="AY182" i="39"/>
  <c r="BF182" i="39" s="1"/>
  <c r="AY111" i="39"/>
  <c r="BF111" i="39" s="1"/>
  <c r="AY83" i="39"/>
  <c r="BF83" i="39" s="1"/>
  <c r="AY152" i="39"/>
  <c r="BF152" i="39" s="1"/>
  <c r="AY162" i="39"/>
  <c r="BF162" i="39" s="1"/>
  <c r="AY168" i="39"/>
  <c r="BF168" i="39" s="1"/>
  <c r="AY119" i="39"/>
  <c r="BF119" i="39" s="1"/>
  <c r="AY145" i="39"/>
  <c r="BF145" i="39" s="1"/>
  <c r="AY150" i="39"/>
  <c r="BF150" i="39" s="1"/>
  <c r="AY58" i="39"/>
  <c r="BF58" i="39" s="1"/>
  <c r="AY44" i="39"/>
  <c r="BF44" i="39" s="1"/>
  <c r="AY148" i="39"/>
  <c r="BF148" i="39" s="1"/>
  <c r="AY77" i="39"/>
  <c r="BF77" i="39" s="1"/>
  <c r="AY177" i="39"/>
  <c r="BF177" i="39" s="1"/>
  <c r="AY124" i="39"/>
  <c r="BF124" i="39" s="1"/>
  <c r="AY31" i="39"/>
  <c r="BF31" i="39" s="1"/>
  <c r="AY71" i="39"/>
  <c r="BF71" i="39" s="1"/>
  <c r="AY146" i="39"/>
  <c r="BF146" i="39" s="1"/>
  <c r="AY93" i="39"/>
  <c r="BF93" i="39" s="1"/>
  <c r="AY69" i="39"/>
  <c r="BF69" i="39" s="1"/>
  <c r="AY180" i="39"/>
  <c r="BF180" i="39" s="1"/>
  <c r="AY23" i="39"/>
  <c r="BF23" i="39" s="1"/>
  <c r="AY147" i="39"/>
  <c r="BF147" i="39" s="1"/>
  <c r="AY36" i="39"/>
  <c r="BF36" i="39" s="1"/>
  <c r="AY130" i="39"/>
  <c r="BF130" i="39" s="1"/>
  <c r="AY169" i="39"/>
  <c r="BF169" i="39" s="1"/>
  <c r="AY85" i="39"/>
  <c r="BF85" i="39" s="1"/>
  <c r="AY159" i="39"/>
  <c r="BF159" i="39" s="1"/>
  <c r="AY21" i="39"/>
  <c r="BF21" i="39" s="1"/>
  <c r="AY52" i="39"/>
  <c r="BF52" i="39" s="1"/>
  <c r="AY140" i="39"/>
  <c r="BF140" i="39" s="1"/>
  <c r="AY60" i="39"/>
  <c r="BF60" i="39" s="1"/>
  <c r="AY172" i="39"/>
  <c r="BF172" i="39" s="1"/>
  <c r="AY29" i="39"/>
  <c r="BF29" i="39" s="1"/>
  <c r="AY34" i="39"/>
  <c r="BF34" i="39" s="1"/>
  <c r="BE99" i="39"/>
  <c r="BE105" i="39"/>
  <c r="BE158" i="39"/>
  <c r="BE74" i="39"/>
  <c r="BE110" i="39"/>
  <c r="BE168" i="39"/>
  <c r="BE22" i="39"/>
  <c r="BE51" i="39"/>
  <c r="BE14" i="39"/>
  <c r="BE23" i="39"/>
  <c r="BE73" i="39"/>
  <c r="BE100" i="39"/>
  <c r="BE81" i="39"/>
  <c r="BE101" i="39"/>
  <c r="BE173" i="39"/>
  <c r="BE159" i="39"/>
  <c r="BE144" i="39"/>
  <c r="BE157" i="39"/>
  <c r="BE37" i="39"/>
  <c r="BE178" i="39"/>
  <c r="BB178" i="39"/>
  <c r="BE26" i="39"/>
  <c r="BE156" i="39"/>
  <c r="BE102" i="39"/>
  <c r="BE131" i="39"/>
  <c r="BE135" i="39"/>
  <c r="BE61" i="39"/>
  <c r="BE66" i="39"/>
  <c r="BE160" i="39"/>
  <c r="BE30" i="39"/>
  <c r="BE32" i="39"/>
  <c r="BE12" i="39"/>
  <c r="BE52" i="39"/>
  <c r="BE85" i="39"/>
  <c r="BE87" i="39"/>
  <c r="BE103" i="39"/>
  <c r="BE121" i="39"/>
  <c r="BE152" i="39"/>
  <c r="BE154" i="39"/>
  <c r="BE164" i="39"/>
  <c r="BE25" i="39"/>
  <c r="BE33" i="39"/>
  <c r="BE91" i="39"/>
  <c r="BE36" i="39"/>
  <c r="BE155" i="39"/>
  <c r="BE64" i="39"/>
  <c r="BE107" i="39"/>
  <c r="BE82" i="39"/>
  <c r="BE17" i="39"/>
  <c r="BE165" i="39"/>
  <c r="BE69" i="39"/>
  <c r="BE162" i="39"/>
  <c r="BE57" i="39"/>
  <c r="BE59" i="39"/>
  <c r="BE97" i="39"/>
  <c r="BE180" i="39"/>
  <c r="BE174" i="39"/>
  <c r="BE19" i="39"/>
  <c r="BE48" i="39"/>
  <c r="BE62" i="39"/>
  <c r="BE71" i="39"/>
  <c r="BE111" i="39"/>
  <c r="BE130" i="39"/>
  <c r="BE124" i="39"/>
  <c r="BE149" i="39"/>
  <c r="BE179" i="39"/>
  <c r="BE177" i="39"/>
  <c r="BE137" i="39"/>
  <c r="BE142" i="39"/>
  <c r="BE21" i="39"/>
  <c r="BE93" i="39"/>
  <c r="BE118" i="39"/>
  <c r="BE94" i="39"/>
  <c r="BE145" i="39"/>
  <c r="BE18" i="39"/>
  <c r="BE134" i="39"/>
  <c r="BE125" i="39"/>
  <c r="BE49" i="39"/>
  <c r="BE150" i="39"/>
  <c r="BE172" i="39"/>
  <c r="BE78" i="39"/>
  <c r="BE76" i="39"/>
  <c r="BE161" i="39"/>
  <c r="BE106" i="39"/>
  <c r="BE31" i="39"/>
  <c r="BE40" i="39"/>
  <c r="BE67" i="39"/>
  <c r="BE79" i="39"/>
  <c r="BE96" i="39"/>
  <c r="BE117" i="39"/>
  <c r="BE129" i="39"/>
  <c r="BE133" i="39"/>
  <c r="BE183" i="39"/>
  <c r="BE116" i="39"/>
  <c r="BE28" i="39"/>
  <c r="BE88" i="39"/>
  <c r="BE70" i="39"/>
  <c r="BE56" i="39"/>
  <c r="BE115" i="39"/>
  <c r="BM176" i="39"/>
  <c r="BM173" i="39"/>
  <c r="BM159" i="39"/>
  <c r="BM155" i="39"/>
  <c r="BM183" i="39"/>
  <c r="BM171" i="39"/>
  <c r="BM161" i="39"/>
  <c r="BM174" i="39"/>
  <c r="BM163" i="39"/>
  <c r="BM157" i="39"/>
  <c r="BM154" i="39"/>
  <c r="BM147" i="39"/>
  <c r="BM162" i="39"/>
  <c r="BM144" i="39"/>
  <c r="BM139" i="39"/>
  <c r="BM180" i="39"/>
  <c r="BM158" i="39"/>
  <c r="BM148" i="39"/>
  <c r="BM167" i="39"/>
  <c r="BM133" i="39"/>
  <c r="BM150" i="39"/>
  <c r="BM135" i="39"/>
  <c r="BM125" i="39"/>
  <c r="BM121" i="39"/>
  <c r="BM127" i="39"/>
  <c r="BM119" i="39"/>
  <c r="BM107" i="39"/>
  <c r="BM124" i="39"/>
  <c r="BM95" i="39"/>
  <c r="BM112" i="39"/>
  <c r="BM104" i="39"/>
  <c r="BM98" i="39"/>
  <c r="BM97" i="39"/>
  <c r="BM96" i="39"/>
  <c r="BM152" i="39"/>
  <c r="BM130" i="39"/>
  <c r="BM111" i="39"/>
  <c r="BM106" i="39"/>
  <c r="BM93" i="39"/>
  <c r="BM114" i="39"/>
  <c r="BM92" i="39"/>
  <c r="BM90" i="39"/>
  <c r="BM84" i="39"/>
  <c r="BM78" i="39"/>
  <c r="BM80" i="39"/>
  <c r="BM68" i="39"/>
  <c r="BM65" i="39"/>
  <c r="BM57" i="39"/>
  <c r="BM82" i="39"/>
  <c r="BM74" i="39"/>
  <c r="BM59" i="39"/>
  <c r="BM88" i="39"/>
  <c r="BM70" i="39"/>
  <c r="BM85" i="39"/>
  <c r="BM75" i="39"/>
  <c r="BM39" i="39"/>
  <c r="BM47" i="39"/>
  <c r="BM43" i="39"/>
  <c r="BM76" i="39"/>
  <c r="BM62" i="39"/>
  <c r="BM49" i="39"/>
  <c r="BM44" i="39"/>
  <c r="BM55" i="39"/>
  <c r="BM26" i="39"/>
  <c r="BM32" i="39"/>
  <c r="BM15" i="39"/>
  <c r="BM41" i="39"/>
  <c r="BM33" i="39"/>
  <c r="BM22" i="39"/>
  <c r="BM51" i="39"/>
  <c r="BM18" i="39"/>
  <c r="BM24" i="39"/>
  <c r="BM35" i="39"/>
  <c r="BM31" i="39"/>
  <c r="BM30" i="39"/>
  <c r="BM11" i="39"/>
  <c r="BM13" i="39"/>
  <c r="BM52" i="39"/>
  <c r="BM19" i="39"/>
  <c r="BM17" i="39"/>
  <c r="BM72" i="39"/>
  <c r="BM117" i="39"/>
  <c r="BM164" i="39"/>
  <c r="BM38" i="39"/>
  <c r="BM71" i="39"/>
  <c r="BM86" i="39"/>
  <c r="BM91" i="39"/>
  <c r="BM122" i="39"/>
  <c r="BM128" i="39"/>
  <c r="BM134" i="39"/>
  <c r="BM123" i="39"/>
  <c r="BM45" i="39"/>
  <c r="BM54" i="39"/>
  <c r="BM53" i="39"/>
  <c r="BM63" i="39"/>
  <c r="BM66" i="39"/>
  <c r="BM25" i="39"/>
  <c r="BM60" i="39"/>
  <c r="BM64" i="39"/>
  <c r="BM81" i="39"/>
  <c r="BM109" i="39"/>
  <c r="BM120" i="39"/>
  <c r="BM142" i="39"/>
  <c r="BM170" i="39"/>
  <c r="BM14" i="39"/>
  <c r="BM42" i="39"/>
  <c r="BM16" i="39"/>
  <c r="BM131" i="39"/>
  <c r="BM143" i="39"/>
  <c r="BM156" i="39"/>
  <c r="BM178" i="39"/>
  <c r="BM58" i="39"/>
  <c r="BM77" i="39"/>
  <c r="BM69" i="39"/>
  <c r="BM23" i="39"/>
  <c r="BM27" i="39"/>
  <c r="BM115" i="39"/>
  <c r="BM83" i="39"/>
  <c r="BM99" i="39"/>
  <c r="BM100" i="39"/>
  <c r="BM116" i="39"/>
  <c r="BM145" i="39"/>
  <c r="BM151" i="39"/>
  <c r="BM165" i="39"/>
  <c r="BM172" i="39"/>
  <c r="BM175" i="39"/>
  <c r="BM113" i="39"/>
  <c r="BM169" i="39"/>
  <c r="BM79" i="39"/>
  <c r="BM36" i="39"/>
  <c r="BM50" i="39"/>
  <c r="BM46" i="39"/>
  <c r="BM140" i="39"/>
  <c r="BM136" i="39"/>
  <c r="BM137" i="39"/>
  <c r="BM177" i="39"/>
  <c r="BM138" i="39"/>
  <c r="BM179" i="39"/>
  <c r="BM168" i="39"/>
  <c r="BM94" i="39"/>
  <c r="BM108" i="39"/>
  <c r="BM126" i="39"/>
  <c r="BM153" i="39"/>
  <c r="BM87" i="39"/>
  <c r="BM105" i="39"/>
  <c r="BM149" i="39"/>
  <c r="BM101" i="39"/>
  <c r="BM141" i="39"/>
  <c r="BM37" i="39"/>
  <c r="BM181" i="39"/>
  <c r="BM29" i="39"/>
  <c r="BM166" i="39"/>
  <c r="BM103" i="39"/>
  <c r="BM67" i="39"/>
  <c r="BM102" i="39"/>
  <c r="BM73" i="39"/>
  <c r="BM20" i="39"/>
  <c r="BM182" i="39"/>
  <c r="BM61" i="39"/>
  <c r="BM21" i="39"/>
  <c r="BM160" i="39"/>
  <c r="BM129" i="39"/>
  <c r="BM12" i="39"/>
  <c r="BM48" i="39"/>
  <c r="BM34" i="39"/>
  <c r="BM110" i="39"/>
  <c r="BM28" i="39"/>
  <c r="BM118" i="39"/>
  <c r="BM56" i="39"/>
  <c r="BM146" i="39"/>
  <c r="BM89" i="39"/>
  <c r="BM132" i="39"/>
  <c r="BM40" i="39"/>
  <c r="BE170" i="39"/>
  <c r="BE53" i="39"/>
  <c r="BE108" i="39"/>
  <c r="BE120" i="39"/>
  <c r="BE77" i="39"/>
  <c r="BE182" i="39"/>
  <c r="BE55" i="39"/>
  <c r="BE114" i="39"/>
  <c r="BE147" i="39"/>
  <c r="BE34" i="39"/>
  <c r="BE41" i="39"/>
  <c r="BE140" i="39"/>
  <c r="BE98" i="39"/>
  <c r="BE15" i="39"/>
  <c r="BE46" i="39"/>
  <c r="BE89" i="39"/>
  <c r="BE90" i="39"/>
  <c r="BE95" i="39"/>
  <c r="BE122" i="39"/>
  <c r="BE132" i="39"/>
  <c r="BE136" i="39"/>
  <c r="BE171" i="39"/>
  <c r="BE148" i="39"/>
  <c r="BE58" i="39"/>
  <c r="BE44" i="39"/>
  <c r="BE167" i="39"/>
  <c r="BN176" i="39"/>
  <c r="BU176" i="39" s="1"/>
  <c r="BN173" i="39"/>
  <c r="BU173" i="39" s="1"/>
  <c r="BN159" i="39"/>
  <c r="BU159" i="39" s="1"/>
  <c r="BN182" i="39"/>
  <c r="BU182" i="39" s="1"/>
  <c r="BN183" i="39"/>
  <c r="BU183" i="39" s="1"/>
  <c r="BN166" i="39"/>
  <c r="BU166" i="39" s="1"/>
  <c r="BN171" i="39"/>
  <c r="BU171" i="39" s="1"/>
  <c r="BN181" i="39"/>
  <c r="BU181" i="39" s="1"/>
  <c r="BN174" i="39"/>
  <c r="BU174" i="39" s="1"/>
  <c r="BN164" i="39"/>
  <c r="BU164" i="39" s="1"/>
  <c r="BN157" i="39"/>
  <c r="BU157" i="39" s="1"/>
  <c r="BN167" i="39"/>
  <c r="BU167" i="39" s="1"/>
  <c r="BN146" i="39"/>
  <c r="BU146" i="39" s="1"/>
  <c r="BN144" i="39"/>
  <c r="BU144" i="39" s="1"/>
  <c r="BN133" i="39"/>
  <c r="BU133" i="39" s="1"/>
  <c r="BN132" i="39"/>
  <c r="BU132" i="39" s="1"/>
  <c r="BN152" i="39"/>
  <c r="BU152" i="39" s="1"/>
  <c r="BN150" i="39"/>
  <c r="BU150" i="39" s="1"/>
  <c r="BN129" i="39"/>
  <c r="BU129" i="39" s="1"/>
  <c r="BN161" i="39"/>
  <c r="BU161" i="39" s="1"/>
  <c r="BN138" i="39"/>
  <c r="BU138" i="39" s="1"/>
  <c r="BN117" i="39"/>
  <c r="BU117" i="39" s="1"/>
  <c r="BN149" i="39"/>
  <c r="BU149" i="39" s="1"/>
  <c r="BN130" i="39"/>
  <c r="BU130" i="39" s="1"/>
  <c r="BN124" i="39"/>
  <c r="BU124" i="39" s="1"/>
  <c r="BN103" i="39"/>
  <c r="BU103" i="39" s="1"/>
  <c r="BN101" i="39"/>
  <c r="BU101" i="39" s="1"/>
  <c r="BN95" i="39"/>
  <c r="BU95" i="39" s="1"/>
  <c r="BN112" i="39"/>
  <c r="BU112" i="39" s="1"/>
  <c r="BN104" i="39"/>
  <c r="BU104" i="39" s="1"/>
  <c r="BN139" i="39"/>
  <c r="BU139" i="39" s="1"/>
  <c r="BN97" i="39"/>
  <c r="BU97" i="39" s="1"/>
  <c r="BN96" i="39"/>
  <c r="BU96" i="39" s="1"/>
  <c r="BN110" i="39"/>
  <c r="BU110" i="39" s="1"/>
  <c r="BN147" i="39"/>
  <c r="BU147" i="39" s="1"/>
  <c r="BN119" i="39"/>
  <c r="BU119" i="39" s="1"/>
  <c r="BN102" i="39"/>
  <c r="BU102" i="39" s="1"/>
  <c r="BN87" i="39"/>
  <c r="BU87" i="39" s="1"/>
  <c r="BN109" i="39"/>
  <c r="BU109" i="39" s="1"/>
  <c r="BN82" i="39"/>
  <c r="BU82" i="39" s="1"/>
  <c r="BN73" i="39"/>
  <c r="BU73" i="39" s="1"/>
  <c r="BN70" i="39"/>
  <c r="BU70" i="39" s="1"/>
  <c r="BN75" i="39"/>
  <c r="BU75" i="39" s="1"/>
  <c r="BN111" i="39"/>
  <c r="BU111" i="39" s="1"/>
  <c r="BN74" i="39"/>
  <c r="BU74" i="39" s="1"/>
  <c r="BN84" i="39"/>
  <c r="BU84" i="39" s="1"/>
  <c r="BN59" i="39"/>
  <c r="BU59" i="39" s="1"/>
  <c r="BN76" i="39"/>
  <c r="BU76" i="39" s="1"/>
  <c r="BN62" i="39"/>
  <c r="BU62" i="39" s="1"/>
  <c r="BN90" i="39"/>
  <c r="BU90" i="39" s="1"/>
  <c r="BN92" i="39"/>
  <c r="BU92" i="39" s="1"/>
  <c r="BN89" i="39"/>
  <c r="BU89" i="39" s="1"/>
  <c r="BN81" i="39"/>
  <c r="BU81" i="39" s="1"/>
  <c r="BN57" i="39"/>
  <c r="BU57" i="39" s="1"/>
  <c r="BN68" i="39"/>
  <c r="BU68" i="39" s="1"/>
  <c r="BN56" i="39"/>
  <c r="BU56" i="39" s="1"/>
  <c r="BN54" i="39"/>
  <c r="BU54" i="39" s="1"/>
  <c r="BN67" i="39"/>
  <c r="BU67" i="39" s="1"/>
  <c r="BN48" i="39"/>
  <c r="BU48" i="39" s="1"/>
  <c r="BN46" i="39"/>
  <c r="BU46" i="39" s="1"/>
  <c r="BN40" i="39"/>
  <c r="BU40" i="39" s="1"/>
  <c r="BN35" i="39"/>
  <c r="BU35" i="39" s="1"/>
  <c r="BN43" i="39"/>
  <c r="BU43" i="39" s="1"/>
  <c r="BN49" i="39"/>
  <c r="BU49" i="39" s="1"/>
  <c r="BN65" i="39"/>
  <c r="BU65" i="39" s="1"/>
  <c r="BN51" i="39"/>
  <c r="BU51" i="39" s="1"/>
  <c r="BN15" i="39"/>
  <c r="BU15" i="39" s="1"/>
  <c r="BN11" i="39"/>
  <c r="BU11" i="39" s="1"/>
  <c r="BN41" i="39"/>
  <c r="BU41" i="39" s="1"/>
  <c r="BN34" i="39"/>
  <c r="BU34" i="39" s="1"/>
  <c r="BN33" i="39"/>
  <c r="BU33" i="39" s="1"/>
  <c r="BN29" i="39"/>
  <c r="BU29" i="39" s="1"/>
  <c r="BN21" i="39"/>
  <c r="BU21" i="39" s="1"/>
  <c r="BN19" i="39"/>
  <c r="BU19" i="39" s="1"/>
  <c r="BN31" i="39"/>
  <c r="BU31" i="39" s="1"/>
  <c r="BN30" i="39"/>
  <c r="BU30" i="39" s="1"/>
  <c r="BN22" i="39"/>
  <c r="BU22" i="39" s="1"/>
  <c r="BN13" i="39"/>
  <c r="BU13" i="39" s="1"/>
  <c r="BN38" i="39"/>
  <c r="BU38" i="39" s="1"/>
  <c r="BN28" i="39"/>
  <c r="BU28" i="39" s="1"/>
  <c r="BN26" i="39"/>
  <c r="BU26" i="39" s="1"/>
  <c r="BN12" i="39"/>
  <c r="BU12" i="39" s="1"/>
  <c r="BN20" i="39"/>
  <c r="BU20" i="39" s="1"/>
  <c r="BN71" i="39"/>
  <c r="BU71" i="39" s="1"/>
  <c r="BN86" i="39"/>
  <c r="BU86" i="39" s="1"/>
  <c r="BN91" i="39"/>
  <c r="BU91" i="39" s="1"/>
  <c r="BN128" i="39"/>
  <c r="BU128" i="39" s="1"/>
  <c r="BN134" i="39"/>
  <c r="BU134" i="39" s="1"/>
  <c r="BN151" i="39"/>
  <c r="BU151" i="39" s="1"/>
  <c r="BN36" i="39"/>
  <c r="BU36" i="39" s="1"/>
  <c r="BN45" i="39"/>
  <c r="BU45" i="39" s="1"/>
  <c r="BN37" i="39"/>
  <c r="BU37" i="39" s="1"/>
  <c r="BN105" i="39"/>
  <c r="BU105" i="39" s="1"/>
  <c r="BN106" i="39"/>
  <c r="BU106" i="39" s="1"/>
  <c r="BN126" i="39"/>
  <c r="BU126" i="39" s="1"/>
  <c r="BN118" i="39"/>
  <c r="BU118" i="39" s="1"/>
  <c r="BN127" i="39"/>
  <c r="BU127" i="39" s="1"/>
  <c r="BN155" i="39"/>
  <c r="BU155" i="39" s="1"/>
  <c r="BN60" i="39"/>
  <c r="BU60" i="39" s="1"/>
  <c r="BN64" i="39"/>
  <c r="BU64" i="39" s="1"/>
  <c r="BN25" i="39"/>
  <c r="BU25" i="39" s="1"/>
  <c r="BN23" i="39"/>
  <c r="BU23" i="39" s="1"/>
  <c r="BN143" i="39"/>
  <c r="BU143" i="39" s="1"/>
  <c r="BN156" i="39"/>
  <c r="BU156" i="39" s="1"/>
  <c r="BN160" i="39"/>
  <c r="BU160" i="39" s="1"/>
  <c r="BN61" i="39"/>
  <c r="BU61" i="39" s="1"/>
  <c r="BN58" i="39"/>
  <c r="BU58" i="39" s="1"/>
  <c r="BN77" i="39"/>
  <c r="BU77" i="39" s="1"/>
  <c r="BN42" i="39"/>
  <c r="BU42" i="39" s="1"/>
  <c r="BN115" i="39"/>
  <c r="BU115" i="39" s="1"/>
  <c r="BN69" i="39"/>
  <c r="BU69" i="39" s="1"/>
  <c r="BN94" i="39"/>
  <c r="BU94" i="39" s="1"/>
  <c r="BN99" i="39"/>
  <c r="BU99" i="39" s="1"/>
  <c r="BN108" i="39"/>
  <c r="BU108" i="39" s="1"/>
  <c r="BN153" i="39"/>
  <c r="BU153" i="39" s="1"/>
  <c r="BN154" i="39"/>
  <c r="BU154" i="39" s="1"/>
  <c r="BN168" i="39"/>
  <c r="BU168" i="39" s="1"/>
  <c r="BN27" i="39"/>
  <c r="BU27" i="39" s="1"/>
  <c r="BN83" i="39"/>
  <c r="BU83" i="39" s="1"/>
  <c r="BN79" i="39"/>
  <c r="BU79" i="39" s="1"/>
  <c r="BN50" i="39"/>
  <c r="BU50" i="39" s="1"/>
  <c r="BN85" i="39"/>
  <c r="BU85" i="39" s="1"/>
  <c r="BN113" i="39"/>
  <c r="BU113" i="39" s="1"/>
  <c r="BN140" i="39"/>
  <c r="BU140" i="39" s="1"/>
  <c r="BN136" i="39"/>
  <c r="BU136" i="39" s="1"/>
  <c r="BN177" i="39"/>
  <c r="BU177" i="39" s="1"/>
  <c r="BN145" i="39"/>
  <c r="BU145" i="39" s="1"/>
  <c r="BN163" i="39"/>
  <c r="BU163" i="39" s="1"/>
  <c r="BN169" i="39"/>
  <c r="BU169" i="39" s="1"/>
  <c r="BN52" i="39"/>
  <c r="BU52" i="39" s="1"/>
  <c r="BN17" i="39"/>
  <c r="BU17" i="39" s="1"/>
  <c r="BN44" i="39"/>
  <c r="BU44" i="39" s="1"/>
  <c r="BN114" i="39"/>
  <c r="BU114" i="39" s="1"/>
  <c r="BN107" i="39"/>
  <c r="BU107" i="39" s="1"/>
  <c r="BN121" i="39"/>
  <c r="BU121" i="39" s="1"/>
  <c r="BN179" i="39"/>
  <c r="BU179" i="39" s="1"/>
  <c r="BN122" i="39"/>
  <c r="BU122" i="39" s="1"/>
  <c r="BN93" i="39"/>
  <c r="BU93" i="39" s="1"/>
  <c r="BN120" i="39"/>
  <c r="BU120" i="39" s="1"/>
  <c r="BN116" i="39"/>
  <c r="BU116" i="39" s="1"/>
  <c r="BN141" i="39"/>
  <c r="BU141" i="39" s="1"/>
  <c r="BN148" i="39"/>
  <c r="BU148" i="39" s="1"/>
  <c r="BN100" i="39"/>
  <c r="BU100" i="39" s="1"/>
  <c r="BN80" i="39"/>
  <c r="BU80" i="39" s="1"/>
  <c r="BN24" i="39"/>
  <c r="BU24" i="39" s="1"/>
  <c r="BN53" i="39"/>
  <c r="BU53" i="39" s="1"/>
  <c r="BN78" i="39"/>
  <c r="BU78" i="39" s="1"/>
  <c r="BN125" i="39"/>
  <c r="BU125" i="39" s="1"/>
  <c r="BN162" i="39"/>
  <c r="BU162" i="39" s="1"/>
  <c r="BN47" i="39"/>
  <c r="BU47" i="39" s="1"/>
  <c r="BN172" i="39"/>
  <c r="BU172" i="39" s="1"/>
  <c r="BN137" i="39"/>
  <c r="BU137" i="39" s="1"/>
  <c r="BN18" i="39"/>
  <c r="BU18" i="39" s="1"/>
  <c r="BN175" i="39"/>
  <c r="BU175" i="39" s="1"/>
  <c r="BN88" i="39"/>
  <c r="BU88" i="39" s="1"/>
  <c r="BN16" i="39"/>
  <c r="BU16" i="39" s="1"/>
  <c r="BN178" i="39"/>
  <c r="BU178" i="39" s="1"/>
  <c r="BN63" i="39"/>
  <c r="BU63" i="39" s="1"/>
  <c r="BN180" i="39"/>
  <c r="BU180" i="39" s="1"/>
  <c r="BN66" i="39"/>
  <c r="BU66" i="39" s="1"/>
  <c r="BN135" i="39"/>
  <c r="BU135" i="39" s="1"/>
  <c r="BN170" i="39"/>
  <c r="BU170" i="39" s="1"/>
  <c r="BN32" i="39"/>
  <c r="BU32" i="39" s="1"/>
  <c r="BN165" i="39"/>
  <c r="BU165" i="39" s="1"/>
  <c r="BN158" i="39"/>
  <c r="BU158" i="39" s="1"/>
  <c r="BN55" i="39"/>
  <c r="BU55" i="39" s="1"/>
  <c r="BN14" i="39"/>
  <c r="BU14" i="39" s="1"/>
  <c r="BN131" i="39"/>
  <c r="BU131" i="39" s="1"/>
  <c r="BN142" i="39"/>
  <c r="BU142" i="39" s="1"/>
  <c r="BN39" i="39"/>
  <c r="BU39" i="39" s="1"/>
  <c r="BN72" i="39"/>
  <c r="BU72" i="39" s="1"/>
  <c r="BN123" i="39"/>
  <c r="BU123" i="39" s="1"/>
  <c r="BN98" i="39"/>
  <c r="BU98" i="39" s="1"/>
  <c r="BE45" i="39"/>
  <c r="BE39" i="39"/>
  <c r="BE72" i="39"/>
  <c r="BE86" i="39"/>
  <c r="BE153" i="39"/>
  <c r="BE146" i="39"/>
  <c r="BE24" i="39"/>
  <c r="BE43" i="39"/>
  <c r="BE139" i="39"/>
  <c r="BE47" i="39"/>
  <c r="BE68" i="39"/>
  <c r="BE119" i="39"/>
  <c r="BE63" i="39"/>
  <c r="BE27" i="39"/>
  <c r="BE54" i="39"/>
  <c r="BE92" i="39"/>
  <c r="BE75" i="39"/>
  <c r="BE104" i="39"/>
  <c r="BE127" i="39"/>
  <c r="BE141" i="39"/>
  <c r="BE151" i="39"/>
  <c r="BE181" i="39"/>
  <c r="BE175" i="39"/>
  <c r="BE80" i="39"/>
  <c r="BE83" i="39"/>
  <c r="BE60" i="39"/>
  <c r="BE163" i="39"/>
  <c r="BE143" i="39"/>
  <c r="BE128" i="39"/>
  <c r="BE13" i="39"/>
  <c r="BE123" i="39"/>
  <c r="BE169" i="39"/>
  <c r="BE20" i="39"/>
  <c r="BE35" i="39"/>
  <c r="BE113" i="39"/>
  <c r="BE16" i="39"/>
  <c r="BE50" i="39"/>
  <c r="BE84" i="39"/>
  <c r="BE42" i="39"/>
  <c r="BE29" i="39"/>
  <c r="BE38" i="39"/>
  <c r="BE65" i="39"/>
  <c r="BE109" i="39"/>
  <c r="BE112" i="39"/>
  <c r="BE126" i="39"/>
  <c r="BE138" i="39"/>
  <c r="BE166" i="39"/>
  <c r="BE176" i="39"/>
  <c r="T180" i="39"/>
  <c r="T157" i="39"/>
  <c r="T138" i="39"/>
  <c r="T134" i="39"/>
  <c r="T131" i="39"/>
  <c r="T120" i="39"/>
  <c r="T181" i="39"/>
  <c r="T170" i="39"/>
  <c r="T168" i="39"/>
  <c r="T160" i="39"/>
  <c r="T154" i="39"/>
  <c r="T147" i="39"/>
  <c r="T175" i="39"/>
  <c r="T173" i="39"/>
  <c r="T183" i="39"/>
  <c r="T169" i="39"/>
  <c r="T146" i="39"/>
  <c r="T143" i="39"/>
  <c r="T117" i="39"/>
  <c r="T182" i="39"/>
  <c r="T178" i="39"/>
  <c r="T163" i="39"/>
  <c r="T156" i="39"/>
  <c r="T151" i="39"/>
  <c r="T166" i="39"/>
  <c r="T153" i="39"/>
  <c r="T140" i="39"/>
  <c r="T129" i="39"/>
  <c r="T124" i="39"/>
  <c r="T103" i="39"/>
  <c r="T89" i="39"/>
  <c r="T79" i="39"/>
  <c r="T123" i="39"/>
  <c r="T113" i="39"/>
  <c r="T95" i="39"/>
  <c r="T94" i="39"/>
  <c r="T132" i="39"/>
  <c r="T111" i="39"/>
  <c r="T91" i="39"/>
  <c r="T67" i="39"/>
  <c r="T83" i="39"/>
  <c r="T81" i="39"/>
  <c r="T126" i="39"/>
  <c r="T105" i="39"/>
  <c r="T102" i="39"/>
  <c r="T87" i="39"/>
  <c r="T69" i="39"/>
  <c r="T31" i="39"/>
  <c r="T84" i="39"/>
  <c r="T38" i="39"/>
  <c r="T35" i="39"/>
  <c r="T73" i="39"/>
  <c r="T50" i="39"/>
  <c r="T40" i="39"/>
  <c r="T21" i="39"/>
  <c r="T61" i="39"/>
  <c r="T58" i="39"/>
  <c r="T48" i="39"/>
  <c r="T46" i="39"/>
  <c r="T42" i="39"/>
  <c r="T34" i="39"/>
  <c r="T54" i="39"/>
  <c r="T75" i="39"/>
  <c r="T77" i="39"/>
  <c r="T64" i="39"/>
  <c r="T56" i="39"/>
  <c r="T22" i="39"/>
  <c r="T74" i="39"/>
  <c r="T29" i="39"/>
  <c r="T25" i="39"/>
  <c r="T17" i="39"/>
  <c r="T13" i="39"/>
  <c r="T44" i="39"/>
  <c r="T18" i="39"/>
  <c r="T24" i="39"/>
  <c r="T32" i="39"/>
  <c r="T52" i="39"/>
  <c r="T72" i="39"/>
  <c r="T106" i="39"/>
  <c r="T114" i="39"/>
  <c r="T149" i="39"/>
  <c r="T162" i="39"/>
  <c r="T26" i="39"/>
  <c r="T14" i="39"/>
  <c r="T57" i="39"/>
  <c r="T51" i="39"/>
  <c r="T78" i="39"/>
  <c r="T15" i="39"/>
  <c r="T36" i="39"/>
  <c r="T37" i="39"/>
  <c r="T70" i="39"/>
  <c r="T53" i="39"/>
  <c r="T80" i="39"/>
  <c r="T71" i="39"/>
  <c r="T100" i="39"/>
  <c r="T125" i="39"/>
  <c r="T23" i="39"/>
  <c r="T59" i="39"/>
  <c r="T93" i="39"/>
  <c r="T85" i="39"/>
  <c r="T119" i="39"/>
  <c r="T97" i="39"/>
  <c r="T43" i="39"/>
  <c r="T49" i="39"/>
  <c r="T96" i="39"/>
  <c r="T60" i="39"/>
  <c r="T65" i="39"/>
  <c r="T104" i="39"/>
  <c r="T107" i="39"/>
  <c r="T115" i="39"/>
  <c r="T16" i="39"/>
  <c r="T45" i="39"/>
  <c r="T68" i="39"/>
  <c r="T76" i="39"/>
  <c r="T62" i="39"/>
  <c r="T82" i="39"/>
  <c r="T121" i="39"/>
  <c r="T116" i="39"/>
  <c r="T122" i="39"/>
  <c r="T137" i="39"/>
  <c r="T150" i="39"/>
  <c r="T41" i="39"/>
  <c r="T86" i="39"/>
  <c r="T142" i="39"/>
  <c r="T98" i="39"/>
  <c r="T135" i="39"/>
  <c r="T171" i="39"/>
  <c r="T179" i="39"/>
  <c r="T177" i="39"/>
  <c r="T130" i="39"/>
  <c r="T136" i="39"/>
  <c r="T155" i="39"/>
  <c r="T167" i="39"/>
  <c r="T176" i="39"/>
  <c r="T141" i="39"/>
  <c r="T90" i="39"/>
  <c r="T127" i="39"/>
  <c r="T148" i="39"/>
  <c r="T112" i="39"/>
  <c r="T99" i="39"/>
  <c r="T108" i="39"/>
  <c r="T152" i="39"/>
  <c r="T161" i="39"/>
  <c r="T12" i="39"/>
  <c r="T63" i="39"/>
  <c r="T164" i="39"/>
  <c r="T174" i="39"/>
  <c r="T139" i="39"/>
  <c r="T66" i="39"/>
  <c r="T144" i="39"/>
  <c r="T47" i="39"/>
  <c r="T172" i="39"/>
  <c r="T133" i="39"/>
  <c r="T27" i="39"/>
  <c r="T158" i="39"/>
  <c r="T28" i="39"/>
  <c r="T20" i="39"/>
  <c r="T159" i="39"/>
  <c r="T33" i="39"/>
  <c r="T109" i="39"/>
  <c r="T110" i="39"/>
  <c r="T30" i="39"/>
  <c r="T101" i="39"/>
  <c r="T165" i="39"/>
  <c r="T145" i="39"/>
  <c r="T128" i="39"/>
  <c r="T19" i="39"/>
  <c r="T118" i="39"/>
  <c r="T39" i="39"/>
  <c r="T88" i="39"/>
  <c r="T55" i="39"/>
  <c r="T92" i="39"/>
  <c r="T11" i="39"/>
  <c r="AA11" i="39" s="1"/>
  <c r="CS22" i="39"/>
  <c r="CT22" i="39"/>
  <c r="CP22" i="39"/>
  <c r="CQ22" i="39"/>
  <c r="AB11" i="39"/>
  <c r="CR15" i="39"/>
  <c r="CR22" i="39" s="1"/>
  <c r="BI110" i="39" l="1"/>
  <c r="BI132" i="39"/>
  <c r="BI142" i="39"/>
  <c r="D37" i="39"/>
  <c r="D36" i="39"/>
  <c r="D35" i="39"/>
  <c r="BI120" i="39"/>
  <c r="BB138" i="39"/>
  <c r="BB45" i="39"/>
  <c r="BB126" i="39"/>
  <c r="BI126" i="39"/>
  <c r="BB55" i="39"/>
  <c r="BI138" i="39"/>
  <c r="BB113" i="39"/>
  <c r="BB176" i="39"/>
  <c r="BB109" i="39"/>
  <c r="BI176" i="39"/>
  <c r="BI109" i="39"/>
  <c r="BB65" i="39"/>
  <c r="BB143" i="39"/>
  <c r="BI65" i="39"/>
  <c r="BI143" i="39"/>
  <c r="BB163" i="39"/>
  <c r="BI163" i="39"/>
  <c r="BI114" i="39"/>
  <c r="BB132" i="39"/>
  <c r="BB54" i="39"/>
  <c r="BB20" i="39"/>
  <c r="BB84" i="39"/>
  <c r="BI20" i="39"/>
  <c r="BI84" i="39"/>
  <c r="BB175" i="39"/>
  <c r="BI175" i="39"/>
  <c r="BI92" i="39"/>
  <c r="BI113" i="39"/>
  <c r="BB141" i="39"/>
  <c r="BI141" i="39"/>
  <c r="BB104" i="39"/>
  <c r="BI104" i="39"/>
  <c r="BI139" i="39"/>
  <c r="BI29" i="39"/>
  <c r="BB13" i="39"/>
  <c r="BB72" i="39"/>
  <c r="BB29" i="39"/>
  <c r="BI13" i="39"/>
  <c r="BB139" i="39"/>
  <c r="BI72" i="39"/>
  <c r="BB169" i="39"/>
  <c r="BI169" i="39"/>
  <c r="BB63" i="39"/>
  <c r="BI45" i="39"/>
  <c r="BI63" i="39"/>
  <c r="BB38" i="39"/>
  <c r="BI38" i="39"/>
  <c r="BB68" i="39"/>
  <c r="BI68" i="39"/>
  <c r="BB15" i="39"/>
  <c r="BB60" i="39"/>
  <c r="BI60" i="39"/>
  <c r="BI127" i="39"/>
  <c r="BB92" i="39"/>
  <c r="BI46" i="39"/>
  <c r="BB114" i="39"/>
  <c r="BB127" i="39"/>
  <c r="BI54" i="39"/>
  <c r="BI55" i="39"/>
  <c r="BB119" i="39"/>
  <c r="BI119" i="39"/>
  <c r="BB147" i="39"/>
  <c r="BB120" i="39"/>
  <c r="BB146" i="39"/>
  <c r="BI144" i="39"/>
  <c r="BB182" i="39"/>
  <c r="E36" i="39" s="1"/>
  <c r="BB31" i="39"/>
  <c r="BI145" i="39"/>
  <c r="BI165" i="39"/>
  <c r="BB116" i="39"/>
  <c r="BB76" i="39"/>
  <c r="BB73" i="39"/>
  <c r="BB40" i="39"/>
  <c r="BI116" i="39"/>
  <c r="BI83" i="39"/>
  <c r="BB12" i="39"/>
  <c r="BI59" i="39"/>
  <c r="BB167" i="39"/>
  <c r="BB122" i="39"/>
  <c r="BI122" i="39"/>
  <c r="BI158" i="39"/>
  <c r="BI147" i="39"/>
  <c r="BI15" i="39"/>
  <c r="BI36" i="39"/>
  <c r="BI22" i="39"/>
  <c r="BB67" i="39"/>
  <c r="BI31" i="39"/>
  <c r="BB17" i="39"/>
  <c r="BB91" i="39"/>
  <c r="BB103" i="39"/>
  <c r="BB30" i="39"/>
  <c r="BI17" i="39"/>
  <c r="BI91" i="39"/>
  <c r="BI30" i="39"/>
  <c r="BB26" i="39"/>
  <c r="BI28" i="39"/>
  <c r="BB142" i="39"/>
  <c r="BI26" i="39"/>
  <c r="BI58" i="39"/>
  <c r="BI76" i="39"/>
  <c r="BB145" i="39"/>
  <c r="BI178" i="39"/>
  <c r="BB110" i="39"/>
  <c r="BB19" i="39"/>
  <c r="BB36" i="39"/>
  <c r="BI73" i="39"/>
  <c r="BI146" i="39"/>
  <c r="BB58" i="39"/>
  <c r="BB97" i="39"/>
  <c r="BB131" i="39"/>
  <c r="BB125" i="39"/>
  <c r="BB118" i="39"/>
  <c r="BB179" i="39"/>
  <c r="BI82" i="39"/>
  <c r="BB140" i="39"/>
  <c r="BI96" i="39"/>
  <c r="BI179" i="39"/>
  <c r="BI57" i="39"/>
  <c r="BB16" i="39"/>
  <c r="BI140" i="39"/>
  <c r="BI64" i="39"/>
  <c r="BB89" i="39"/>
  <c r="BB124" i="39"/>
  <c r="BI89" i="39"/>
  <c r="BB165" i="39"/>
  <c r="BB77" i="39"/>
  <c r="BI118" i="39"/>
  <c r="BB57" i="39"/>
  <c r="BB82" i="39"/>
  <c r="BB78" i="39"/>
  <c r="BI124" i="39"/>
  <c r="BB174" i="39"/>
  <c r="BB70" i="39"/>
  <c r="BI78" i="39"/>
  <c r="BI174" i="39"/>
  <c r="BI70" i="39"/>
  <c r="BB96" i="39"/>
  <c r="BI77" i="39"/>
  <c r="BI125" i="39"/>
  <c r="BI97" i="39"/>
  <c r="BB135" i="39"/>
  <c r="BB101" i="39"/>
  <c r="BI80" i="39"/>
  <c r="BB27" i="39"/>
  <c r="BI149" i="39"/>
  <c r="BB59" i="39"/>
  <c r="BI135" i="39"/>
  <c r="BI101" i="39"/>
  <c r="BI27" i="39"/>
  <c r="BB95" i="39"/>
  <c r="BI21" i="39"/>
  <c r="BB171" i="39"/>
  <c r="BI95" i="39"/>
  <c r="BI40" i="39"/>
  <c r="BI19" i="39"/>
  <c r="BB157" i="39"/>
  <c r="BB39" i="39"/>
  <c r="BI171" i="39"/>
  <c r="BB87" i="39"/>
  <c r="BI157" i="39"/>
  <c r="BI16" i="39"/>
  <c r="BB80" i="39"/>
  <c r="BB28" i="39"/>
  <c r="BB94" i="39"/>
  <c r="BB111" i="39"/>
  <c r="BI87" i="39"/>
  <c r="BB85" i="39"/>
  <c r="BI123" i="39"/>
  <c r="BI148" i="39"/>
  <c r="BB160" i="39"/>
  <c r="BB37" i="39"/>
  <c r="BI94" i="39"/>
  <c r="BB121" i="39"/>
  <c r="BI160" i="39"/>
  <c r="BI131" i="39"/>
  <c r="BI37" i="39"/>
  <c r="BB66" i="39"/>
  <c r="BB180" i="39"/>
  <c r="BB162" i="39"/>
  <c r="BI66" i="39"/>
  <c r="BI180" i="39"/>
  <c r="BI162" i="39"/>
  <c r="BB32" i="39"/>
  <c r="BB61" i="39"/>
  <c r="BB21" i="39"/>
  <c r="BB149" i="39"/>
  <c r="BB64" i="39"/>
  <c r="BI32" i="39"/>
  <c r="BI61" i="39"/>
  <c r="BB158" i="39"/>
  <c r="BB151" i="39"/>
  <c r="BI86" i="39"/>
  <c r="BB48" i="39"/>
  <c r="BI69" i="39"/>
  <c r="BI107" i="39"/>
  <c r="BI33" i="39"/>
  <c r="BI156" i="39"/>
  <c r="BI81" i="39"/>
  <c r="BI51" i="39"/>
  <c r="BB83" i="39"/>
  <c r="BI115" i="39"/>
  <c r="BI48" i="39"/>
  <c r="BB144" i="39"/>
  <c r="BB22" i="39"/>
  <c r="BI105" i="39"/>
  <c r="BI112" i="39"/>
  <c r="BB35" i="39"/>
  <c r="BI108" i="39"/>
  <c r="BB129" i="39"/>
  <c r="BI67" i="39"/>
  <c r="BB134" i="39"/>
  <c r="BI85" i="39"/>
  <c r="BB166" i="39"/>
  <c r="BI35" i="39"/>
  <c r="BB47" i="39"/>
  <c r="BB153" i="39"/>
  <c r="BI129" i="39"/>
  <c r="BI134" i="39"/>
  <c r="BB93" i="39"/>
  <c r="BB14" i="39"/>
  <c r="BI166" i="39"/>
  <c r="BB44" i="39"/>
  <c r="BB34" i="39"/>
  <c r="BB117" i="39"/>
  <c r="BI93" i="39"/>
  <c r="BB102" i="39"/>
  <c r="BI14" i="39"/>
  <c r="BB86" i="39"/>
  <c r="BI44" i="39"/>
  <c r="BI34" i="39"/>
  <c r="BI117" i="39"/>
  <c r="BB107" i="39"/>
  <c r="BI102" i="39"/>
  <c r="BB81" i="39"/>
  <c r="BB51" i="39"/>
  <c r="BB155" i="39"/>
  <c r="BB100" i="39"/>
  <c r="BI155" i="39"/>
  <c r="BB154" i="39"/>
  <c r="BI100" i="39"/>
  <c r="BI88" i="39"/>
  <c r="BI154" i="39"/>
  <c r="BB98" i="39"/>
  <c r="BB172" i="39"/>
  <c r="BI98" i="39"/>
  <c r="BI172" i="39"/>
  <c r="BB161" i="39"/>
  <c r="BB150" i="39"/>
  <c r="BB71" i="39"/>
  <c r="BI161" i="39"/>
  <c r="BI150" i="39"/>
  <c r="BI71" i="39"/>
  <c r="BB46" i="39"/>
  <c r="BB88" i="39"/>
  <c r="BI182" i="39"/>
  <c r="BB130" i="39"/>
  <c r="BI12" i="39"/>
  <c r="BI130" i="39"/>
  <c r="BI181" i="39"/>
  <c r="BI56" i="39"/>
  <c r="BI18" i="39"/>
  <c r="BB181" i="39"/>
  <c r="E35" i="39" s="1"/>
  <c r="BI99" i="39"/>
  <c r="BI173" i="39"/>
  <c r="BI47" i="39"/>
  <c r="BI168" i="39"/>
  <c r="BB75" i="39"/>
  <c r="BI41" i="39"/>
  <c r="BI53" i="39"/>
  <c r="BI23" i="39"/>
  <c r="BI42" i="39"/>
  <c r="BI177" i="39"/>
  <c r="BT67" i="39"/>
  <c r="BX67" i="39" s="1"/>
  <c r="BQ67" i="39"/>
  <c r="BT179" i="39"/>
  <c r="BX179" i="39" s="1"/>
  <c r="BQ179" i="39"/>
  <c r="BT60" i="39"/>
  <c r="BX60" i="39" s="1"/>
  <c r="BQ60" i="39"/>
  <c r="BT15" i="39"/>
  <c r="BX15" i="39" s="1"/>
  <c r="BQ15" i="39"/>
  <c r="BT90" i="39"/>
  <c r="BX90" i="39" s="1"/>
  <c r="BQ90" i="39"/>
  <c r="BT148" i="39"/>
  <c r="BX148" i="39" s="1"/>
  <c r="BQ148" i="39"/>
  <c r="BB42" i="39"/>
  <c r="BB123" i="39"/>
  <c r="BB53" i="39"/>
  <c r="BT56" i="39"/>
  <c r="BX56" i="39" s="1"/>
  <c r="BQ56" i="39"/>
  <c r="BT160" i="39"/>
  <c r="BX160" i="39" s="1"/>
  <c r="BQ160" i="39"/>
  <c r="BT103" i="39"/>
  <c r="BX103" i="39" s="1"/>
  <c r="BQ103" i="39"/>
  <c r="BT105" i="39"/>
  <c r="BX105" i="39" s="1"/>
  <c r="BQ105" i="39"/>
  <c r="BT138" i="39"/>
  <c r="BX138" i="39" s="1"/>
  <c r="BQ138" i="39"/>
  <c r="BT79" i="39"/>
  <c r="BX79" i="39" s="1"/>
  <c r="BQ79" i="39"/>
  <c r="BT116" i="39"/>
  <c r="BX116" i="39" s="1"/>
  <c r="BQ116" i="39"/>
  <c r="BT77" i="39"/>
  <c r="BX77" i="39" s="1"/>
  <c r="BQ77" i="39"/>
  <c r="BT14" i="39"/>
  <c r="BX14" i="39" s="1"/>
  <c r="BQ14" i="39"/>
  <c r="BT25" i="39"/>
  <c r="BX25" i="39" s="1"/>
  <c r="BQ25" i="39"/>
  <c r="BT128" i="39"/>
  <c r="BX128" i="39" s="1"/>
  <c r="BQ128" i="39"/>
  <c r="BT72" i="39"/>
  <c r="BX72" i="39" s="1"/>
  <c r="BQ72" i="39"/>
  <c r="BT35" i="39"/>
  <c r="BX35" i="39" s="1"/>
  <c r="BQ35" i="39"/>
  <c r="BT32" i="39"/>
  <c r="BX32" i="39" s="1"/>
  <c r="BQ32" i="39"/>
  <c r="BT47" i="39"/>
  <c r="BX47" i="39" s="1"/>
  <c r="BQ47" i="39"/>
  <c r="BT82" i="39"/>
  <c r="BX82" i="39" s="1"/>
  <c r="BQ82" i="39"/>
  <c r="BT92" i="39"/>
  <c r="BX92" i="39" s="1"/>
  <c r="BQ92" i="39"/>
  <c r="BT97" i="39"/>
  <c r="BX97" i="39" s="1"/>
  <c r="BQ97" i="39"/>
  <c r="BT127" i="39"/>
  <c r="BX127" i="39" s="1"/>
  <c r="BQ127" i="39"/>
  <c r="BT158" i="39"/>
  <c r="BX158" i="39" s="1"/>
  <c r="BQ158" i="39"/>
  <c r="BT163" i="39"/>
  <c r="BX163" i="39" s="1"/>
  <c r="BQ163" i="39"/>
  <c r="BT176" i="39"/>
  <c r="BX176" i="39" s="1"/>
  <c r="BQ176" i="39"/>
  <c r="BB56" i="39"/>
  <c r="BB49" i="39"/>
  <c r="BB33" i="39"/>
  <c r="BB152" i="39"/>
  <c r="BB99" i="39"/>
  <c r="BI39" i="39"/>
  <c r="BI121" i="39"/>
  <c r="BT146" i="39"/>
  <c r="BX146" i="39" s="1"/>
  <c r="BQ146" i="39"/>
  <c r="BT166" i="39"/>
  <c r="BX166" i="39" s="1"/>
  <c r="BQ166" i="39"/>
  <c r="BT66" i="39"/>
  <c r="BX66" i="39" s="1"/>
  <c r="BQ66" i="39"/>
  <c r="BT57" i="39"/>
  <c r="BX57" i="39" s="1"/>
  <c r="BQ57" i="39"/>
  <c r="BI75" i="39"/>
  <c r="BI153" i="39"/>
  <c r="BB136" i="39"/>
  <c r="BB90" i="39"/>
  <c r="BB170" i="39"/>
  <c r="BT28" i="39"/>
  <c r="BX28" i="39" s="1"/>
  <c r="BQ28" i="39"/>
  <c r="BT61" i="39"/>
  <c r="BX61" i="39" s="1"/>
  <c r="BQ61" i="39"/>
  <c r="BT29" i="39"/>
  <c r="BX29" i="39" s="1"/>
  <c r="BQ29" i="39"/>
  <c r="BT153" i="39"/>
  <c r="BX153" i="39" s="1"/>
  <c r="BQ153" i="39"/>
  <c r="BT137" i="39"/>
  <c r="BX137" i="39" s="1"/>
  <c r="BQ137" i="39"/>
  <c r="BT113" i="39"/>
  <c r="BX113" i="39" s="1"/>
  <c r="BQ113" i="39"/>
  <c r="BT99" i="39"/>
  <c r="BX99" i="39" s="1"/>
  <c r="BQ99" i="39"/>
  <c r="BT178" i="39"/>
  <c r="BX178" i="39" s="1"/>
  <c r="BQ178" i="39"/>
  <c r="BT142" i="39"/>
  <c r="BX142" i="39" s="1"/>
  <c r="BQ142" i="39"/>
  <c r="BT63" i="39"/>
  <c r="BX63" i="39" s="1"/>
  <c r="BQ63" i="39"/>
  <c r="BT91" i="39"/>
  <c r="BX91" i="39" s="1"/>
  <c r="BQ91" i="39"/>
  <c r="BT19" i="39"/>
  <c r="BX19" i="39" s="1"/>
  <c r="BQ19" i="39"/>
  <c r="BT18" i="39"/>
  <c r="BX18" i="39" s="1"/>
  <c r="BQ18" i="39"/>
  <c r="BT55" i="39"/>
  <c r="BX55" i="39" s="1"/>
  <c r="BQ55" i="39"/>
  <c r="BT75" i="39"/>
  <c r="BX75" i="39" s="1"/>
  <c r="BQ75" i="39"/>
  <c r="BT65" i="39"/>
  <c r="BX65" i="39" s="1"/>
  <c r="BQ65" i="39"/>
  <c r="BT93" i="39"/>
  <c r="BX93" i="39" s="1"/>
  <c r="BQ93" i="39"/>
  <c r="BT104" i="39"/>
  <c r="BX104" i="39" s="1"/>
  <c r="BQ104" i="39"/>
  <c r="BT125" i="39"/>
  <c r="BX125" i="39" s="1"/>
  <c r="BQ125" i="39"/>
  <c r="BT139" i="39"/>
  <c r="BX139" i="39" s="1"/>
  <c r="BQ139" i="39"/>
  <c r="BT161" i="39"/>
  <c r="BX161" i="39" s="1"/>
  <c r="BQ161" i="39"/>
  <c r="BB183" i="39"/>
  <c r="E37" i="39" s="1"/>
  <c r="BB25" i="39"/>
  <c r="BB52" i="39"/>
  <c r="BB159" i="39"/>
  <c r="BB74" i="39"/>
  <c r="BI151" i="39"/>
  <c r="BT145" i="39"/>
  <c r="BX145" i="39" s="1"/>
  <c r="BQ145" i="39"/>
  <c r="BT117" i="39"/>
  <c r="BX117" i="39" s="1"/>
  <c r="BQ117" i="39"/>
  <c r="BT96" i="39"/>
  <c r="BX96" i="39" s="1"/>
  <c r="BQ96" i="39"/>
  <c r="BT173" i="39"/>
  <c r="BX173" i="39" s="1"/>
  <c r="BQ173" i="39"/>
  <c r="BT21" i="39"/>
  <c r="BX21" i="39" s="1"/>
  <c r="BQ21" i="39"/>
  <c r="BT169" i="39"/>
  <c r="BX169" i="39" s="1"/>
  <c r="BQ169" i="39"/>
  <c r="BT122" i="39"/>
  <c r="BX122" i="39" s="1"/>
  <c r="BQ122" i="39"/>
  <c r="BT39" i="39"/>
  <c r="BX39" i="39" s="1"/>
  <c r="BQ39" i="39"/>
  <c r="BT180" i="39"/>
  <c r="BX180" i="39" s="1"/>
  <c r="BQ180" i="39"/>
  <c r="BI152" i="39"/>
  <c r="BB43" i="39"/>
  <c r="BI136" i="39"/>
  <c r="BI90" i="39"/>
  <c r="BI170" i="39"/>
  <c r="BT110" i="39"/>
  <c r="BX110" i="39" s="1"/>
  <c r="BQ110" i="39"/>
  <c r="BT182" i="39"/>
  <c r="BX182" i="39" s="1"/>
  <c r="BQ182" i="39"/>
  <c r="F36" i="39" s="1"/>
  <c r="BT181" i="39"/>
  <c r="BX181" i="39" s="1"/>
  <c r="BQ181" i="39"/>
  <c r="F35" i="39" s="1"/>
  <c r="BT126" i="39"/>
  <c r="BX126" i="39" s="1"/>
  <c r="BQ126" i="39"/>
  <c r="BT136" i="39"/>
  <c r="BX136" i="39" s="1"/>
  <c r="BQ136" i="39"/>
  <c r="BT175" i="39"/>
  <c r="BX175" i="39" s="1"/>
  <c r="BQ175" i="39"/>
  <c r="BT83" i="39"/>
  <c r="BX83" i="39" s="1"/>
  <c r="BQ83" i="39"/>
  <c r="BT156" i="39"/>
  <c r="BX156" i="39" s="1"/>
  <c r="BQ156" i="39"/>
  <c r="BT120" i="39"/>
  <c r="BX120" i="39" s="1"/>
  <c r="BQ120" i="39"/>
  <c r="BT53" i="39"/>
  <c r="BX53" i="39" s="1"/>
  <c r="BQ53" i="39"/>
  <c r="BT86" i="39"/>
  <c r="BX86" i="39" s="1"/>
  <c r="BQ86" i="39"/>
  <c r="BT52" i="39"/>
  <c r="BX52" i="39" s="1"/>
  <c r="BQ52" i="39"/>
  <c r="BT51" i="39"/>
  <c r="BX51" i="39" s="1"/>
  <c r="BQ51" i="39"/>
  <c r="BT44" i="39"/>
  <c r="BX44" i="39" s="1"/>
  <c r="BQ44" i="39"/>
  <c r="BT85" i="39"/>
  <c r="BX85" i="39" s="1"/>
  <c r="BQ85" i="39"/>
  <c r="BT68" i="39"/>
  <c r="BX68" i="39" s="1"/>
  <c r="BQ68" i="39"/>
  <c r="BT106" i="39"/>
  <c r="BX106" i="39" s="1"/>
  <c r="BQ106" i="39"/>
  <c r="BT112" i="39"/>
  <c r="BX112" i="39" s="1"/>
  <c r="BQ112" i="39"/>
  <c r="BT135" i="39"/>
  <c r="BX135" i="39" s="1"/>
  <c r="BQ135" i="39"/>
  <c r="BT144" i="39"/>
  <c r="BX144" i="39" s="1"/>
  <c r="BQ144" i="39"/>
  <c r="BT171" i="39"/>
  <c r="BX171" i="39" s="1"/>
  <c r="BQ171" i="39"/>
  <c r="BI183" i="39"/>
  <c r="BI25" i="39"/>
  <c r="BI52" i="39"/>
  <c r="BI159" i="39"/>
  <c r="BI74" i="39"/>
  <c r="BI111" i="39"/>
  <c r="BI167" i="39"/>
  <c r="BT149" i="39"/>
  <c r="BX149" i="39" s="1"/>
  <c r="BQ149" i="39"/>
  <c r="BT42" i="39"/>
  <c r="BX42" i="39" s="1"/>
  <c r="BQ42" i="39"/>
  <c r="BT74" i="39"/>
  <c r="BX74" i="39" s="1"/>
  <c r="BQ74" i="39"/>
  <c r="BT118" i="39"/>
  <c r="BX118" i="39" s="1"/>
  <c r="BQ118" i="39"/>
  <c r="BT177" i="39"/>
  <c r="BX177" i="39" s="1"/>
  <c r="BQ177" i="39"/>
  <c r="BT170" i="39"/>
  <c r="BX170" i="39" s="1"/>
  <c r="BQ170" i="39"/>
  <c r="BT26" i="39"/>
  <c r="BX26" i="39" s="1"/>
  <c r="BQ26" i="39"/>
  <c r="BT114" i="39"/>
  <c r="BX114" i="39" s="1"/>
  <c r="BQ114" i="39"/>
  <c r="BT174" i="39"/>
  <c r="BX174" i="39" s="1"/>
  <c r="BQ174" i="39"/>
  <c r="BB50" i="39"/>
  <c r="BB128" i="39"/>
  <c r="BI43" i="39"/>
  <c r="BT40" i="39"/>
  <c r="BX40" i="39" s="1"/>
  <c r="BQ40" i="39"/>
  <c r="BT34" i="39"/>
  <c r="BX34" i="39" s="1"/>
  <c r="BQ34" i="39"/>
  <c r="BT20" i="39"/>
  <c r="BX20" i="39" s="1"/>
  <c r="BQ20" i="39"/>
  <c r="BT37" i="39"/>
  <c r="BX37" i="39" s="1"/>
  <c r="BQ37" i="39"/>
  <c r="BT108" i="39"/>
  <c r="BX108" i="39" s="1"/>
  <c r="BQ108" i="39"/>
  <c r="BT140" i="39"/>
  <c r="BX140" i="39" s="1"/>
  <c r="BQ140" i="39"/>
  <c r="BT172" i="39"/>
  <c r="BX172" i="39" s="1"/>
  <c r="BQ172" i="39"/>
  <c r="BT115" i="39"/>
  <c r="BX115" i="39" s="1"/>
  <c r="BQ115" i="39"/>
  <c r="BT143" i="39"/>
  <c r="BX143" i="39" s="1"/>
  <c r="BQ143" i="39"/>
  <c r="BT109" i="39"/>
  <c r="BX109" i="39" s="1"/>
  <c r="BQ109" i="39"/>
  <c r="BT54" i="39"/>
  <c r="BX54" i="39" s="1"/>
  <c r="BQ54" i="39"/>
  <c r="BT71" i="39"/>
  <c r="BX71" i="39" s="1"/>
  <c r="BQ71" i="39"/>
  <c r="BT13" i="39"/>
  <c r="BX13" i="39" s="1"/>
  <c r="BQ13" i="39"/>
  <c r="BT22" i="39"/>
  <c r="BX22" i="39" s="1"/>
  <c r="BQ22" i="39"/>
  <c r="BT49" i="39"/>
  <c r="BX49" i="39" s="1"/>
  <c r="BQ49" i="39"/>
  <c r="BT70" i="39"/>
  <c r="BX70" i="39" s="1"/>
  <c r="BQ70" i="39"/>
  <c r="BT80" i="39"/>
  <c r="BX80" i="39" s="1"/>
  <c r="BQ80" i="39"/>
  <c r="BT111" i="39"/>
  <c r="BX111" i="39" s="1"/>
  <c r="BQ111" i="39"/>
  <c r="BT95" i="39"/>
  <c r="BX95" i="39" s="1"/>
  <c r="BQ95" i="39"/>
  <c r="BT150" i="39"/>
  <c r="BX150" i="39" s="1"/>
  <c r="BQ150" i="39"/>
  <c r="BT162" i="39"/>
  <c r="BX162" i="39" s="1"/>
  <c r="BQ162" i="39"/>
  <c r="BT183" i="39"/>
  <c r="BX183" i="39" s="1"/>
  <c r="BQ183" i="39"/>
  <c r="F37" i="39" s="1"/>
  <c r="BB133" i="39"/>
  <c r="BB79" i="39"/>
  <c r="BB106" i="39"/>
  <c r="BB137" i="39"/>
  <c r="BB62" i="39"/>
  <c r="BB164" i="39"/>
  <c r="BB173" i="39"/>
  <c r="BT69" i="39"/>
  <c r="BX69" i="39" s="1"/>
  <c r="BQ69" i="39"/>
  <c r="BT31" i="39"/>
  <c r="BX31" i="39" s="1"/>
  <c r="BQ31" i="39"/>
  <c r="BT119" i="39"/>
  <c r="BX119" i="39" s="1"/>
  <c r="BQ119" i="39"/>
  <c r="BT100" i="39"/>
  <c r="BX100" i="39" s="1"/>
  <c r="BQ100" i="39"/>
  <c r="BT17" i="39"/>
  <c r="BX17" i="39" s="1"/>
  <c r="BQ17" i="39"/>
  <c r="BT121" i="39"/>
  <c r="BX121" i="39" s="1"/>
  <c r="BQ121" i="39"/>
  <c r="BI49" i="39"/>
  <c r="BI50" i="39"/>
  <c r="BI128" i="39"/>
  <c r="BB24" i="39"/>
  <c r="BT132" i="39"/>
  <c r="BX132" i="39" s="1"/>
  <c r="BQ132" i="39"/>
  <c r="BT48" i="39"/>
  <c r="BX48" i="39" s="1"/>
  <c r="BQ48" i="39"/>
  <c r="BT73" i="39"/>
  <c r="BX73" i="39" s="1"/>
  <c r="BQ73" i="39"/>
  <c r="BT141" i="39"/>
  <c r="BX141" i="39" s="1"/>
  <c r="BQ141" i="39"/>
  <c r="BT94" i="39"/>
  <c r="BX94" i="39" s="1"/>
  <c r="BQ94" i="39"/>
  <c r="BT46" i="39"/>
  <c r="BX46" i="39" s="1"/>
  <c r="BQ46" i="39"/>
  <c r="BT165" i="39"/>
  <c r="BX165" i="39" s="1"/>
  <c r="BQ165" i="39"/>
  <c r="BT27" i="39"/>
  <c r="BX27" i="39" s="1"/>
  <c r="BQ27" i="39"/>
  <c r="BT131" i="39"/>
  <c r="BX131" i="39" s="1"/>
  <c r="BQ131" i="39"/>
  <c r="BT81" i="39"/>
  <c r="BX81" i="39" s="1"/>
  <c r="BQ81" i="39"/>
  <c r="BT45" i="39"/>
  <c r="BX45" i="39" s="1"/>
  <c r="BQ45" i="39"/>
  <c r="BT38" i="39"/>
  <c r="BX38" i="39" s="1"/>
  <c r="BQ38" i="39"/>
  <c r="BT33" i="39"/>
  <c r="BX33" i="39" s="1"/>
  <c r="BQ33" i="39"/>
  <c r="BT62" i="39"/>
  <c r="BX62" i="39" s="1"/>
  <c r="BQ62" i="39"/>
  <c r="BT88" i="39"/>
  <c r="BX88" i="39" s="1"/>
  <c r="BQ88" i="39"/>
  <c r="BT78" i="39"/>
  <c r="BX78" i="39" s="1"/>
  <c r="BQ78" i="39"/>
  <c r="BT130" i="39"/>
  <c r="BX130" i="39" s="1"/>
  <c r="BQ130" i="39"/>
  <c r="BT124" i="39"/>
  <c r="BX124" i="39" s="1"/>
  <c r="BQ124" i="39"/>
  <c r="BT133" i="39"/>
  <c r="BX133" i="39" s="1"/>
  <c r="BQ133" i="39"/>
  <c r="BT147" i="39"/>
  <c r="BX147" i="39" s="1"/>
  <c r="BQ147" i="39"/>
  <c r="BT155" i="39"/>
  <c r="BX155" i="39" s="1"/>
  <c r="BQ155" i="39"/>
  <c r="BI133" i="39"/>
  <c r="BI79" i="39"/>
  <c r="BI106" i="39"/>
  <c r="BI137" i="39"/>
  <c r="BI62" i="39"/>
  <c r="BI164" i="39"/>
  <c r="BI103" i="39"/>
  <c r="BT129" i="39"/>
  <c r="BX129" i="39" s="1"/>
  <c r="BQ129" i="39"/>
  <c r="BT36" i="39"/>
  <c r="BX36" i="39" s="1"/>
  <c r="BQ36" i="39"/>
  <c r="BT134" i="39"/>
  <c r="BX134" i="39" s="1"/>
  <c r="BQ134" i="39"/>
  <c r="BT43" i="39"/>
  <c r="BX43" i="39" s="1"/>
  <c r="BQ43" i="39"/>
  <c r="BT157" i="39"/>
  <c r="BX157" i="39" s="1"/>
  <c r="BQ157" i="39"/>
  <c r="BT87" i="39"/>
  <c r="BX87" i="39" s="1"/>
  <c r="BQ87" i="39"/>
  <c r="BT58" i="39"/>
  <c r="BX58" i="39" s="1"/>
  <c r="BQ58" i="39"/>
  <c r="BT24" i="39"/>
  <c r="BX24" i="39" s="1"/>
  <c r="BQ24" i="39"/>
  <c r="BT98" i="39"/>
  <c r="BX98" i="39" s="1"/>
  <c r="BQ98" i="39"/>
  <c r="BB112" i="39"/>
  <c r="BI24" i="39"/>
  <c r="BB148" i="39"/>
  <c r="BB41" i="39"/>
  <c r="BB108" i="39"/>
  <c r="BT89" i="39"/>
  <c r="BX89" i="39" s="1"/>
  <c r="BQ89" i="39"/>
  <c r="BT12" i="39"/>
  <c r="BX12" i="39" s="1"/>
  <c r="BQ12" i="39"/>
  <c r="BT102" i="39"/>
  <c r="BX102" i="39" s="1"/>
  <c r="BQ102" i="39"/>
  <c r="BT101" i="39"/>
  <c r="BX101" i="39" s="1"/>
  <c r="BQ101" i="39"/>
  <c r="BT168" i="39"/>
  <c r="BX168" i="39" s="1"/>
  <c r="BQ168" i="39"/>
  <c r="BT50" i="39"/>
  <c r="BX50" i="39" s="1"/>
  <c r="BQ50" i="39"/>
  <c r="BT151" i="39"/>
  <c r="BX151" i="39" s="1"/>
  <c r="BQ151" i="39"/>
  <c r="BT23" i="39"/>
  <c r="BX23" i="39" s="1"/>
  <c r="BQ23" i="39"/>
  <c r="BT16" i="39"/>
  <c r="BX16" i="39" s="1"/>
  <c r="BQ16" i="39"/>
  <c r="BT64" i="39"/>
  <c r="BX64" i="39" s="1"/>
  <c r="BQ64" i="39"/>
  <c r="BT123" i="39"/>
  <c r="BX123" i="39" s="1"/>
  <c r="BQ123" i="39"/>
  <c r="BT164" i="39"/>
  <c r="BX164" i="39" s="1"/>
  <c r="BQ164" i="39"/>
  <c r="BT30" i="39"/>
  <c r="BX30" i="39" s="1"/>
  <c r="BQ30" i="39"/>
  <c r="BT41" i="39"/>
  <c r="BX41" i="39" s="1"/>
  <c r="BQ41" i="39"/>
  <c r="BT76" i="39"/>
  <c r="BX76" i="39" s="1"/>
  <c r="BQ76" i="39"/>
  <c r="BT59" i="39"/>
  <c r="BX59" i="39" s="1"/>
  <c r="BQ59" i="39"/>
  <c r="BT84" i="39"/>
  <c r="BX84" i="39" s="1"/>
  <c r="BQ84" i="39"/>
  <c r="BT152" i="39"/>
  <c r="BX152" i="39" s="1"/>
  <c r="BQ152" i="39"/>
  <c r="BT107" i="39"/>
  <c r="BX107" i="39" s="1"/>
  <c r="BQ107" i="39"/>
  <c r="BT167" i="39"/>
  <c r="BX167" i="39" s="1"/>
  <c r="BQ167" i="39"/>
  <c r="BT154" i="39"/>
  <c r="BX154" i="39" s="1"/>
  <c r="BQ154" i="39"/>
  <c r="BT159" i="39"/>
  <c r="BX159" i="39" s="1"/>
  <c r="BQ159" i="39"/>
  <c r="BB115" i="39"/>
  <c r="BB18" i="39"/>
  <c r="BB177" i="39"/>
  <c r="BB69" i="39"/>
  <c r="BB156" i="39"/>
  <c r="BB23" i="39"/>
  <c r="BB168" i="39"/>
  <c r="BB105" i="39"/>
  <c r="AA179" i="39"/>
  <c r="AE179" i="39" s="1"/>
  <c r="X179" i="39"/>
  <c r="AA114" i="39"/>
  <c r="AE114" i="39" s="1"/>
  <c r="X114" i="39"/>
  <c r="AA67" i="39"/>
  <c r="AE67" i="39" s="1"/>
  <c r="X67" i="39"/>
  <c r="AA19" i="39"/>
  <c r="AE19" i="39" s="1"/>
  <c r="X19" i="39"/>
  <c r="AA33" i="39"/>
  <c r="AE33" i="39" s="1"/>
  <c r="X33" i="39"/>
  <c r="AA47" i="39"/>
  <c r="AE47" i="39" s="1"/>
  <c r="X47" i="39"/>
  <c r="AA161" i="39"/>
  <c r="AE161" i="39" s="1"/>
  <c r="X161" i="39"/>
  <c r="AA141" i="39"/>
  <c r="AE141" i="39" s="1"/>
  <c r="X141" i="39"/>
  <c r="AA171" i="39"/>
  <c r="AE171" i="39" s="1"/>
  <c r="X171" i="39"/>
  <c r="AA122" i="39"/>
  <c r="AE122" i="39" s="1"/>
  <c r="X122" i="39"/>
  <c r="AA16" i="39"/>
  <c r="AE16" i="39" s="1"/>
  <c r="X16" i="39"/>
  <c r="AA43" i="39"/>
  <c r="AE43" i="39" s="1"/>
  <c r="X43" i="39"/>
  <c r="AA100" i="39"/>
  <c r="AE100" i="39" s="1"/>
  <c r="X100" i="39"/>
  <c r="AA78" i="39"/>
  <c r="AE78" i="39" s="1"/>
  <c r="X78" i="39"/>
  <c r="AA106" i="39"/>
  <c r="AE106" i="39" s="1"/>
  <c r="X106" i="39"/>
  <c r="AA17" i="39"/>
  <c r="AE17" i="39" s="1"/>
  <c r="X17" i="39"/>
  <c r="AA75" i="39"/>
  <c r="AE75" i="39" s="1"/>
  <c r="X75" i="39"/>
  <c r="AA21" i="39"/>
  <c r="AE21" i="39" s="1"/>
  <c r="X21" i="39"/>
  <c r="AA69" i="39"/>
  <c r="AE69" i="39" s="1"/>
  <c r="X69" i="39"/>
  <c r="AA91" i="39"/>
  <c r="AE91" i="39" s="1"/>
  <c r="X91" i="39"/>
  <c r="AA89" i="39"/>
  <c r="AE89" i="39" s="1"/>
  <c r="X89" i="39"/>
  <c r="AA156" i="39"/>
  <c r="AE156" i="39" s="1"/>
  <c r="X156" i="39"/>
  <c r="AA183" i="39"/>
  <c r="AE183" i="39" s="1"/>
  <c r="X183" i="39"/>
  <c r="C37" i="39" s="1"/>
  <c r="AA181" i="39"/>
  <c r="AE181" i="39" s="1"/>
  <c r="X181" i="39"/>
  <c r="C35" i="39" s="1"/>
  <c r="AA90" i="39"/>
  <c r="AE90" i="39" s="1"/>
  <c r="X90" i="39"/>
  <c r="AA13" i="39"/>
  <c r="AE13" i="39" s="1"/>
  <c r="X13" i="39"/>
  <c r="AA31" i="39"/>
  <c r="AE31" i="39" s="1"/>
  <c r="X31" i="39"/>
  <c r="AA128" i="39"/>
  <c r="AE128" i="39" s="1"/>
  <c r="X128" i="39"/>
  <c r="AA159" i="39"/>
  <c r="AE159" i="39" s="1"/>
  <c r="X159" i="39"/>
  <c r="AA144" i="39"/>
  <c r="AE144" i="39" s="1"/>
  <c r="X144" i="39"/>
  <c r="AA152" i="39"/>
  <c r="AE152" i="39" s="1"/>
  <c r="X152" i="39"/>
  <c r="AA176" i="39"/>
  <c r="AE176" i="39" s="1"/>
  <c r="X176" i="39"/>
  <c r="AA135" i="39"/>
  <c r="AE135" i="39" s="1"/>
  <c r="X135" i="39"/>
  <c r="AA116" i="39"/>
  <c r="AE116" i="39" s="1"/>
  <c r="X116" i="39"/>
  <c r="AA115" i="39"/>
  <c r="AE115" i="39" s="1"/>
  <c r="X115" i="39"/>
  <c r="AA97" i="39"/>
  <c r="AE97" i="39" s="1"/>
  <c r="X97" i="39"/>
  <c r="AA71" i="39"/>
  <c r="AE71" i="39" s="1"/>
  <c r="X71" i="39"/>
  <c r="AA51" i="39"/>
  <c r="AE51" i="39" s="1"/>
  <c r="X51" i="39"/>
  <c r="AA72" i="39"/>
  <c r="AE72" i="39" s="1"/>
  <c r="X72" i="39"/>
  <c r="AA25" i="39"/>
  <c r="AE25" i="39" s="1"/>
  <c r="X25" i="39"/>
  <c r="AA54" i="39"/>
  <c r="AE54" i="39" s="1"/>
  <c r="X54" i="39"/>
  <c r="AA40" i="39"/>
  <c r="AE40" i="39" s="1"/>
  <c r="X40" i="39"/>
  <c r="AA87" i="39"/>
  <c r="AE87" i="39" s="1"/>
  <c r="X87" i="39"/>
  <c r="AA111" i="39"/>
  <c r="AE111" i="39" s="1"/>
  <c r="X111" i="39"/>
  <c r="AA103" i="39"/>
  <c r="AE103" i="39" s="1"/>
  <c r="X103" i="39"/>
  <c r="AA163" i="39"/>
  <c r="AE163" i="39" s="1"/>
  <c r="X163" i="39"/>
  <c r="AA173" i="39"/>
  <c r="AE173" i="39" s="1"/>
  <c r="X173" i="39"/>
  <c r="AA120" i="39"/>
  <c r="AE120" i="39" s="1"/>
  <c r="X120" i="39"/>
  <c r="AA172" i="39"/>
  <c r="AE172" i="39" s="1"/>
  <c r="X172" i="39"/>
  <c r="AA49" i="39"/>
  <c r="AE49" i="39" s="1"/>
  <c r="X49" i="39"/>
  <c r="AA77" i="39"/>
  <c r="AE77" i="39" s="1"/>
  <c r="X77" i="39"/>
  <c r="AA61" i="39"/>
  <c r="AE61" i="39" s="1"/>
  <c r="X61" i="39"/>
  <c r="AA108" i="39"/>
  <c r="AE108" i="39" s="1"/>
  <c r="X108" i="39"/>
  <c r="AA167" i="39"/>
  <c r="AE167" i="39" s="1"/>
  <c r="X167" i="39"/>
  <c r="AA98" i="39"/>
  <c r="AE98" i="39" s="1"/>
  <c r="X98" i="39"/>
  <c r="AA121" i="39"/>
  <c r="AE121" i="39" s="1"/>
  <c r="X121" i="39"/>
  <c r="AA107" i="39"/>
  <c r="AE107" i="39" s="1"/>
  <c r="X107" i="39"/>
  <c r="AA119" i="39"/>
  <c r="AE119" i="39" s="1"/>
  <c r="X119" i="39"/>
  <c r="AA80" i="39"/>
  <c r="AE80" i="39" s="1"/>
  <c r="X80" i="39"/>
  <c r="AA57" i="39"/>
  <c r="AE57" i="39" s="1"/>
  <c r="X57" i="39"/>
  <c r="AA52" i="39"/>
  <c r="AE52" i="39" s="1"/>
  <c r="X52" i="39"/>
  <c r="AA29" i="39"/>
  <c r="AE29" i="39" s="1"/>
  <c r="X29" i="39"/>
  <c r="AA34" i="39"/>
  <c r="AE34" i="39" s="1"/>
  <c r="X34" i="39"/>
  <c r="AA50" i="39"/>
  <c r="AE50" i="39" s="1"/>
  <c r="X50" i="39"/>
  <c r="AA102" i="39"/>
  <c r="AE102" i="39" s="1"/>
  <c r="X102" i="39"/>
  <c r="AA132" i="39"/>
  <c r="AE132" i="39" s="1"/>
  <c r="X132" i="39"/>
  <c r="AA124" i="39"/>
  <c r="AE124" i="39" s="1"/>
  <c r="X124" i="39"/>
  <c r="AA178" i="39"/>
  <c r="AE178" i="39" s="1"/>
  <c r="X178" i="39"/>
  <c r="AA175" i="39"/>
  <c r="AE175" i="39" s="1"/>
  <c r="X175" i="39"/>
  <c r="AA131" i="39"/>
  <c r="AE131" i="39" s="1"/>
  <c r="X131" i="39"/>
  <c r="AA109" i="39"/>
  <c r="AE109" i="39" s="1"/>
  <c r="X109" i="39"/>
  <c r="AA125" i="39"/>
  <c r="AE125" i="39" s="1"/>
  <c r="X125" i="39"/>
  <c r="AA151" i="39"/>
  <c r="AE151" i="39" s="1"/>
  <c r="X151" i="39"/>
  <c r="AA66" i="39"/>
  <c r="AE66" i="39" s="1"/>
  <c r="X66" i="39"/>
  <c r="AA92" i="39"/>
  <c r="AE92" i="39" s="1"/>
  <c r="X92" i="39"/>
  <c r="AA165" i="39"/>
  <c r="AE165" i="39" s="1"/>
  <c r="X165" i="39"/>
  <c r="AA28" i="39"/>
  <c r="AE28" i="39" s="1"/>
  <c r="X28" i="39"/>
  <c r="AA139" i="39"/>
  <c r="AE139" i="39" s="1"/>
  <c r="X139" i="39"/>
  <c r="AA99" i="39"/>
  <c r="AE99" i="39" s="1"/>
  <c r="X99" i="39"/>
  <c r="AA155" i="39"/>
  <c r="AE155" i="39" s="1"/>
  <c r="X155" i="39"/>
  <c r="AA142" i="39"/>
  <c r="AE142" i="39" s="1"/>
  <c r="X142" i="39"/>
  <c r="AA82" i="39"/>
  <c r="AE82" i="39" s="1"/>
  <c r="X82" i="39"/>
  <c r="AA104" i="39"/>
  <c r="AE104" i="39" s="1"/>
  <c r="X104" i="39"/>
  <c r="AA85" i="39"/>
  <c r="AE85" i="39" s="1"/>
  <c r="X85" i="39"/>
  <c r="AA53" i="39"/>
  <c r="AE53" i="39" s="1"/>
  <c r="X53" i="39"/>
  <c r="AA14" i="39"/>
  <c r="AE14" i="39" s="1"/>
  <c r="X14" i="39"/>
  <c r="AA32" i="39"/>
  <c r="AE32" i="39" s="1"/>
  <c r="X32" i="39"/>
  <c r="AA74" i="39"/>
  <c r="AE74" i="39" s="1"/>
  <c r="X74" i="39"/>
  <c r="AA42" i="39"/>
  <c r="AE42" i="39" s="1"/>
  <c r="X42" i="39"/>
  <c r="AA73" i="39"/>
  <c r="AE73" i="39" s="1"/>
  <c r="X73" i="39"/>
  <c r="AA105" i="39"/>
  <c r="AE105" i="39" s="1"/>
  <c r="X105" i="39"/>
  <c r="AA94" i="39"/>
  <c r="AE94" i="39" s="1"/>
  <c r="X94" i="39"/>
  <c r="AA129" i="39"/>
  <c r="AE129" i="39" s="1"/>
  <c r="X129" i="39"/>
  <c r="AA182" i="39"/>
  <c r="AE182" i="39" s="1"/>
  <c r="X182" i="39"/>
  <c r="C36" i="39" s="1"/>
  <c r="AA147" i="39"/>
  <c r="AE147" i="39" s="1"/>
  <c r="X147" i="39"/>
  <c r="AA134" i="39"/>
  <c r="AE134" i="39" s="1"/>
  <c r="X134" i="39"/>
  <c r="AA45" i="39"/>
  <c r="AE45" i="39" s="1"/>
  <c r="X45" i="39"/>
  <c r="AA169" i="39"/>
  <c r="AE169" i="39" s="1"/>
  <c r="X169" i="39"/>
  <c r="AA20" i="39"/>
  <c r="AE20" i="39" s="1"/>
  <c r="X20" i="39"/>
  <c r="AA55" i="39"/>
  <c r="AE55" i="39" s="1"/>
  <c r="X55" i="39"/>
  <c r="AA101" i="39"/>
  <c r="AE101" i="39" s="1"/>
  <c r="X101" i="39"/>
  <c r="AA158" i="39"/>
  <c r="AE158" i="39" s="1"/>
  <c r="X158" i="39"/>
  <c r="AA174" i="39"/>
  <c r="AE174" i="39" s="1"/>
  <c r="X174" i="39"/>
  <c r="AA112" i="39"/>
  <c r="AE112" i="39" s="1"/>
  <c r="X112" i="39"/>
  <c r="AA136" i="39"/>
  <c r="AE136" i="39" s="1"/>
  <c r="X136" i="39"/>
  <c r="AA86" i="39"/>
  <c r="AE86" i="39" s="1"/>
  <c r="X86" i="39"/>
  <c r="AA62" i="39"/>
  <c r="AE62" i="39" s="1"/>
  <c r="X62" i="39"/>
  <c r="AA65" i="39"/>
  <c r="AE65" i="39" s="1"/>
  <c r="X65" i="39"/>
  <c r="AA93" i="39"/>
  <c r="AE93" i="39" s="1"/>
  <c r="X93" i="39"/>
  <c r="AA70" i="39"/>
  <c r="AE70" i="39" s="1"/>
  <c r="X70" i="39"/>
  <c r="AA26" i="39"/>
  <c r="AE26" i="39" s="1"/>
  <c r="X26" i="39"/>
  <c r="AA24" i="39"/>
  <c r="AE24" i="39" s="1"/>
  <c r="X24" i="39"/>
  <c r="AA22" i="39"/>
  <c r="AE22" i="39" s="1"/>
  <c r="X22" i="39"/>
  <c r="AA46" i="39"/>
  <c r="AE46" i="39" s="1"/>
  <c r="X46" i="39"/>
  <c r="AA35" i="39"/>
  <c r="AE35" i="39" s="1"/>
  <c r="X35" i="39"/>
  <c r="AA126" i="39"/>
  <c r="AE126" i="39" s="1"/>
  <c r="X126" i="39"/>
  <c r="AA95" i="39"/>
  <c r="AE95" i="39" s="1"/>
  <c r="X95" i="39"/>
  <c r="AA140" i="39"/>
  <c r="AE140" i="39" s="1"/>
  <c r="X140" i="39"/>
  <c r="AA117" i="39"/>
  <c r="AE117" i="39" s="1"/>
  <c r="X117" i="39"/>
  <c r="AA154" i="39"/>
  <c r="AE154" i="39" s="1"/>
  <c r="X154" i="39"/>
  <c r="AA138" i="39"/>
  <c r="AE138" i="39" s="1"/>
  <c r="X138" i="39"/>
  <c r="AA12" i="39"/>
  <c r="AE12" i="39" s="1"/>
  <c r="X12" i="39"/>
  <c r="AA15" i="39"/>
  <c r="AE15" i="39" s="1"/>
  <c r="X15" i="39"/>
  <c r="AA79" i="39"/>
  <c r="AE79" i="39" s="1"/>
  <c r="X79" i="39"/>
  <c r="AA88" i="39"/>
  <c r="AE88" i="39" s="1"/>
  <c r="X88" i="39"/>
  <c r="AA30" i="39"/>
  <c r="AE30" i="39" s="1"/>
  <c r="X30" i="39"/>
  <c r="AA27" i="39"/>
  <c r="AE27" i="39" s="1"/>
  <c r="X27" i="39"/>
  <c r="AA164" i="39"/>
  <c r="AE164" i="39" s="1"/>
  <c r="X164" i="39"/>
  <c r="AA148" i="39"/>
  <c r="AE148" i="39" s="1"/>
  <c r="X148" i="39"/>
  <c r="AA130" i="39"/>
  <c r="AE130" i="39" s="1"/>
  <c r="X130" i="39"/>
  <c r="AA41" i="39"/>
  <c r="AE41" i="39" s="1"/>
  <c r="X41" i="39"/>
  <c r="AA76" i="39"/>
  <c r="AE76" i="39" s="1"/>
  <c r="X76" i="39"/>
  <c r="AA60" i="39"/>
  <c r="AE60" i="39" s="1"/>
  <c r="X60" i="39"/>
  <c r="AA59" i="39"/>
  <c r="AE59" i="39" s="1"/>
  <c r="X59" i="39"/>
  <c r="AA37" i="39"/>
  <c r="AE37" i="39" s="1"/>
  <c r="X37" i="39"/>
  <c r="AA162" i="39"/>
  <c r="AE162" i="39" s="1"/>
  <c r="X162" i="39"/>
  <c r="AA18" i="39"/>
  <c r="AE18" i="39" s="1"/>
  <c r="X18" i="39"/>
  <c r="AA56" i="39"/>
  <c r="AE56" i="39" s="1"/>
  <c r="X56" i="39"/>
  <c r="AA48" i="39"/>
  <c r="AE48" i="39" s="1"/>
  <c r="X48" i="39"/>
  <c r="AA38" i="39"/>
  <c r="AE38" i="39" s="1"/>
  <c r="X38" i="39"/>
  <c r="AA81" i="39"/>
  <c r="AE81" i="39" s="1"/>
  <c r="X81" i="39"/>
  <c r="AA113" i="39"/>
  <c r="AE113" i="39" s="1"/>
  <c r="X113" i="39"/>
  <c r="AA153" i="39"/>
  <c r="AE153" i="39" s="1"/>
  <c r="X153" i="39"/>
  <c r="AA143" i="39"/>
  <c r="AE143" i="39" s="1"/>
  <c r="X143" i="39"/>
  <c r="AA160" i="39"/>
  <c r="AE160" i="39" s="1"/>
  <c r="X160" i="39"/>
  <c r="AA157" i="39"/>
  <c r="AE157" i="39" s="1"/>
  <c r="X157" i="39"/>
  <c r="AA118" i="39"/>
  <c r="AE118" i="39" s="1"/>
  <c r="X118" i="39"/>
  <c r="AA137" i="39"/>
  <c r="AE137" i="39" s="1"/>
  <c r="X137" i="39"/>
  <c r="AA170" i="39"/>
  <c r="AE170" i="39" s="1"/>
  <c r="X170" i="39"/>
  <c r="AA145" i="39"/>
  <c r="AE145" i="39" s="1"/>
  <c r="X145" i="39"/>
  <c r="AA39" i="39"/>
  <c r="AE39" i="39" s="1"/>
  <c r="X39" i="39"/>
  <c r="AA110" i="39"/>
  <c r="AE110" i="39" s="1"/>
  <c r="X110" i="39"/>
  <c r="AA133" i="39"/>
  <c r="AE133" i="39" s="1"/>
  <c r="X133" i="39"/>
  <c r="AA63" i="39"/>
  <c r="AE63" i="39" s="1"/>
  <c r="X63" i="39"/>
  <c r="AA127" i="39"/>
  <c r="AE127" i="39" s="1"/>
  <c r="X127" i="39"/>
  <c r="AA177" i="39"/>
  <c r="AE177" i="39" s="1"/>
  <c r="X177" i="39"/>
  <c r="AA150" i="39"/>
  <c r="AE150" i="39" s="1"/>
  <c r="X150" i="39"/>
  <c r="AA68" i="39"/>
  <c r="AE68" i="39" s="1"/>
  <c r="X68" i="39"/>
  <c r="AA96" i="39"/>
  <c r="AE96" i="39" s="1"/>
  <c r="X96" i="39"/>
  <c r="AA23" i="39"/>
  <c r="AE23" i="39" s="1"/>
  <c r="X23" i="39"/>
  <c r="AA36" i="39"/>
  <c r="AE36" i="39" s="1"/>
  <c r="X36" i="39"/>
  <c r="AA149" i="39"/>
  <c r="AE149" i="39" s="1"/>
  <c r="X149" i="39"/>
  <c r="AA44" i="39"/>
  <c r="AE44" i="39" s="1"/>
  <c r="X44" i="39"/>
  <c r="AA64" i="39"/>
  <c r="AE64" i="39" s="1"/>
  <c r="X64" i="39"/>
  <c r="AA58" i="39"/>
  <c r="AE58" i="39" s="1"/>
  <c r="X58" i="39"/>
  <c r="AA84" i="39"/>
  <c r="AE84" i="39" s="1"/>
  <c r="X84" i="39"/>
  <c r="AA83" i="39"/>
  <c r="AE83" i="39" s="1"/>
  <c r="X83" i="39"/>
  <c r="AA123" i="39"/>
  <c r="AE123" i="39" s="1"/>
  <c r="X123" i="39"/>
  <c r="AA166" i="39"/>
  <c r="AE166" i="39" s="1"/>
  <c r="X166" i="39"/>
  <c r="AA146" i="39"/>
  <c r="AE146" i="39" s="1"/>
  <c r="X146" i="39"/>
  <c r="AA168" i="39"/>
  <c r="AE168" i="39" s="1"/>
  <c r="X168" i="39"/>
  <c r="AA180" i="39"/>
  <c r="AE180" i="39" s="1"/>
  <c r="X180" i="39"/>
  <c r="BT11" i="39"/>
  <c r="BX11" i="39" s="1"/>
  <c r="BQ11" i="39"/>
  <c r="AP11" i="39"/>
  <c r="AT11" i="39" s="1"/>
  <c r="AM11" i="39"/>
  <c r="BE11" i="39"/>
  <c r="BI11" i="39" s="1"/>
  <c r="BB11" i="39"/>
  <c r="CT12" i="39"/>
  <c r="AE11" i="39"/>
  <c r="X11" i="39"/>
  <c r="CB28" i="39" l="1"/>
  <c r="CB118" i="39"/>
  <c r="CB145" i="39"/>
  <c r="CB164" i="39"/>
  <c r="CB104" i="39"/>
  <c r="CB133" i="39"/>
  <c r="CB134" i="39"/>
  <c r="CB24" i="39"/>
  <c r="CB98" i="39"/>
  <c r="CB34" i="39"/>
  <c r="CB148" i="39"/>
  <c r="CB153" i="39"/>
  <c r="CB52" i="39"/>
  <c r="CB113" i="39"/>
  <c r="CB18" i="39"/>
  <c r="CB62" i="39"/>
  <c r="CB92" i="39"/>
  <c r="CB140" i="39"/>
  <c r="CB143" i="39"/>
  <c r="CB124" i="39"/>
  <c r="CB130" i="39"/>
  <c r="CB59" i="39"/>
  <c r="CB121" i="39"/>
  <c r="CB155" i="39"/>
  <c r="CB182" i="39"/>
  <c r="CB75" i="39"/>
  <c r="CB58" i="39"/>
  <c r="CB178" i="39"/>
  <c r="CB57" i="39"/>
  <c r="CB181" i="39"/>
  <c r="CB13" i="39"/>
  <c r="CB105" i="39"/>
  <c r="CB142" i="39"/>
  <c r="CB42" i="39"/>
  <c r="CB87" i="39"/>
  <c r="CB146" i="39"/>
  <c r="CB152" i="39"/>
  <c r="CB93" i="39"/>
  <c r="CB151" i="39"/>
  <c r="CB31" i="39"/>
  <c r="CB88" i="39"/>
  <c r="CB102" i="39"/>
  <c r="CB125" i="39"/>
  <c r="CB117" i="39"/>
  <c r="CB138" i="39"/>
  <c r="CB69" i="39"/>
  <c r="CB86" i="39"/>
  <c r="CB81" i="39"/>
  <c r="CB85" i="39"/>
  <c r="CB79" i="39"/>
  <c r="CB175" i="39"/>
  <c r="CB21" i="39"/>
  <c r="CB65" i="39"/>
  <c r="CB27" i="39"/>
  <c r="CB54" i="39"/>
  <c r="CB45" i="39"/>
  <c r="CB82" i="39"/>
  <c r="CB41" i="39"/>
  <c r="CB90" i="39"/>
  <c r="CB19" i="39"/>
  <c r="CB183" i="39"/>
  <c r="CB80" i="39"/>
  <c r="CB72" i="39"/>
  <c r="CB173" i="39"/>
  <c r="CB122" i="39"/>
  <c r="CB172" i="39"/>
  <c r="CB110" i="39"/>
  <c r="CB168" i="39"/>
  <c r="CB46" i="39"/>
  <c r="CB11" i="39"/>
  <c r="CB68" i="39"/>
  <c r="CB129" i="39"/>
  <c r="CB136" i="39"/>
  <c r="CB167" i="39"/>
  <c r="CB94" i="39"/>
  <c r="CB84" i="39"/>
  <c r="CB106" i="39"/>
  <c r="CB111" i="39"/>
  <c r="CB97" i="39"/>
  <c r="CB169" i="39"/>
  <c r="CB67" i="39"/>
  <c r="CB119" i="39"/>
  <c r="CB36" i="39"/>
  <c r="CB89" i="39"/>
  <c r="CB165" i="39"/>
  <c r="CB33" i="39"/>
  <c r="CB176" i="39"/>
  <c r="CB49" i="39"/>
  <c r="CB30" i="39"/>
  <c r="CB51" i="39"/>
  <c r="CB64" i="39"/>
  <c r="CB100" i="39"/>
  <c r="CB17" i="39"/>
  <c r="CB25" i="39"/>
  <c r="CB32" i="39"/>
  <c r="CB22" i="39"/>
  <c r="CB112" i="39"/>
  <c r="CB163" i="39"/>
  <c r="CB103" i="39"/>
  <c r="CB177" i="39"/>
  <c r="CB149" i="39"/>
  <c r="CB174" i="39"/>
  <c r="CB83" i="39"/>
  <c r="CB26" i="39"/>
  <c r="CB44" i="39"/>
  <c r="CB128" i="39"/>
  <c r="CB154" i="39"/>
  <c r="CB158" i="39"/>
  <c r="CB179" i="39"/>
  <c r="CB123" i="39"/>
  <c r="CB56" i="39"/>
  <c r="CB180" i="39"/>
  <c r="CB157" i="39"/>
  <c r="CB63" i="39"/>
  <c r="CB78" i="39"/>
  <c r="CB53" i="39"/>
  <c r="CB35" i="39"/>
  <c r="CB156" i="39"/>
  <c r="CB107" i="39"/>
  <c r="CB29" i="39"/>
  <c r="CB15" i="39"/>
  <c r="CB39" i="39"/>
  <c r="CB171" i="39"/>
  <c r="CB55" i="39"/>
  <c r="CB147" i="39"/>
  <c r="CB91" i="39"/>
  <c r="CB115" i="39"/>
  <c r="CB60" i="39"/>
  <c r="CB16" i="39"/>
  <c r="CB43" i="39"/>
  <c r="CB161" i="39"/>
  <c r="CB12" i="39"/>
  <c r="CB114" i="39"/>
  <c r="CB109" i="39"/>
  <c r="CB137" i="39"/>
  <c r="CB95" i="39"/>
  <c r="CB23" i="39"/>
  <c r="CB70" i="39"/>
  <c r="CB76" i="39"/>
  <c r="CB48" i="39"/>
  <c r="CB131" i="39"/>
  <c r="CB108" i="39"/>
  <c r="CB71" i="39"/>
  <c r="CB47" i="39"/>
  <c r="CB99" i="39"/>
  <c r="CB77" i="39"/>
  <c r="CB50" i="39"/>
  <c r="CB116" i="39"/>
  <c r="CB74" i="39"/>
  <c r="CB20" i="39"/>
  <c r="CB73" i="39"/>
  <c r="CB14" i="39"/>
  <c r="CB135" i="39"/>
  <c r="CB132" i="39"/>
  <c r="CB150" i="39"/>
  <c r="CB120" i="39"/>
  <c r="CB139" i="39"/>
  <c r="CB141" i="39"/>
  <c r="CB38" i="39"/>
  <c r="CB166" i="39"/>
  <c r="CB40" i="39"/>
  <c r="CB127" i="39"/>
  <c r="CB101" i="39"/>
  <c r="CB126" i="39"/>
  <c r="CB96" i="39"/>
  <c r="CB159" i="39"/>
  <c r="CB37" i="39"/>
  <c r="CB144" i="39"/>
  <c r="CB170" i="39"/>
  <c r="CB66" i="39"/>
  <c r="CB162" i="39"/>
  <c r="CB160" i="39"/>
  <c r="CB61" i="39"/>
  <c r="CC128" i="39"/>
  <c r="CJ128" i="39" s="1"/>
  <c r="CC49" i="39"/>
  <c r="CJ49" i="39" s="1"/>
  <c r="CC33" i="39"/>
  <c r="CJ33" i="39" s="1"/>
  <c r="CC96" i="39"/>
  <c r="CJ96" i="39" s="1"/>
  <c r="CC41" i="39"/>
  <c r="CJ41" i="39" s="1"/>
  <c r="CC66" i="39"/>
  <c r="CJ66" i="39" s="1"/>
  <c r="CC161" i="39"/>
  <c r="CJ161" i="39" s="1"/>
  <c r="CC138" i="39"/>
  <c r="CJ138" i="39" s="1"/>
  <c r="CC18" i="39"/>
  <c r="CJ18" i="39" s="1"/>
  <c r="CC139" i="39"/>
  <c r="CJ139" i="39" s="1"/>
  <c r="CC44" i="39"/>
  <c r="CJ44" i="39" s="1"/>
  <c r="CC84" i="39"/>
  <c r="CJ84" i="39" s="1"/>
  <c r="CC12" i="39"/>
  <c r="CJ12" i="39" s="1"/>
  <c r="CC119" i="39"/>
  <c r="CJ119" i="39" s="1"/>
  <c r="CC61" i="39"/>
  <c r="CJ61" i="39" s="1"/>
  <c r="CC71" i="39"/>
  <c r="CJ71" i="39" s="1"/>
  <c r="CC127" i="39"/>
  <c r="CJ127" i="39" s="1"/>
  <c r="CC27" i="39"/>
  <c r="CJ27" i="39" s="1"/>
  <c r="CC149" i="39"/>
  <c r="CJ149" i="39" s="1"/>
  <c r="CC55" i="39"/>
  <c r="CJ55" i="39" s="1"/>
  <c r="CC166" i="39"/>
  <c r="CJ166" i="39" s="1"/>
  <c r="CC182" i="39"/>
  <c r="CJ182" i="39" s="1"/>
  <c r="CC120" i="39"/>
  <c r="CJ120" i="39" s="1"/>
  <c r="CC81" i="39"/>
  <c r="CJ81" i="39" s="1"/>
  <c r="CC47" i="39"/>
  <c r="CJ47" i="39" s="1"/>
  <c r="CC179" i="39"/>
  <c r="CJ179" i="39" s="1"/>
  <c r="CC98" i="39"/>
  <c r="CJ98" i="39" s="1"/>
  <c r="CC109" i="39"/>
  <c r="CJ109" i="39" s="1"/>
  <c r="CC15" i="39"/>
  <c r="CJ15" i="39" s="1"/>
  <c r="CC39" i="39"/>
  <c r="CJ39" i="39" s="1"/>
  <c r="CC43" i="39"/>
  <c r="CJ43" i="39" s="1"/>
  <c r="CC108" i="39"/>
  <c r="CJ108" i="39" s="1"/>
  <c r="CC59" i="39"/>
  <c r="CJ59" i="39" s="1"/>
  <c r="CC150" i="39"/>
  <c r="CJ150" i="39" s="1"/>
  <c r="CC94" i="39"/>
  <c r="CJ94" i="39" s="1"/>
  <c r="CC22" i="39"/>
  <c r="CJ22" i="39" s="1"/>
  <c r="CC111" i="39"/>
  <c r="CJ111" i="39" s="1"/>
  <c r="CC155" i="39"/>
  <c r="CJ155" i="39" s="1"/>
  <c r="CC73" i="39"/>
  <c r="CJ73" i="39" s="1"/>
  <c r="CC45" i="39"/>
  <c r="CJ45" i="39" s="1"/>
  <c r="CC121" i="39"/>
  <c r="CJ121" i="39" s="1"/>
  <c r="CC34" i="39"/>
  <c r="CJ34" i="39" s="1"/>
  <c r="CC67" i="39"/>
  <c r="CJ67" i="39" s="1"/>
  <c r="CC124" i="39"/>
  <c r="CJ124" i="39" s="1"/>
  <c r="CC78" i="39"/>
  <c r="CJ78" i="39" s="1"/>
  <c r="CC114" i="39"/>
  <c r="CJ114" i="39" s="1"/>
  <c r="CC92" i="39"/>
  <c r="CJ92" i="39" s="1"/>
  <c r="CC25" i="39"/>
  <c r="CJ25" i="39" s="1"/>
  <c r="CC57" i="39"/>
  <c r="CJ57" i="39" s="1"/>
  <c r="CC107" i="39"/>
  <c r="CJ107" i="39" s="1"/>
  <c r="CC42" i="39"/>
  <c r="CJ42" i="39" s="1"/>
  <c r="CC20" i="39"/>
  <c r="CJ20" i="39" s="1"/>
  <c r="CC80" i="39"/>
  <c r="CJ80" i="39" s="1"/>
  <c r="CC88" i="39"/>
  <c r="CJ88" i="39" s="1"/>
  <c r="CC151" i="39"/>
  <c r="CJ151" i="39" s="1"/>
  <c r="CC87" i="39"/>
  <c r="CJ87" i="39" s="1"/>
  <c r="CC130" i="39"/>
  <c r="CJ130" i="39" s="1"/>
  <c r="CC163" i="39"/>
  <c r="CJ163" i="39" s="1"/>
  <c r="CC13" i="39"/>
  <c r="CJ13" i="39" s="1"/>
  <c r="CC30" i="39"/>
  <c r="CJ30" i="39" s="1"/>
  <c r="CC52" i="39"/>
  <c r="CJ52" i="39" s="1"/>
  <c r="CC56" i="39"/>
  <c r="CJ56" i="39" s="1"/>
  <c r="CC157" i="39"/>
  <c r="CJ157" i="39" s="1"/>
  <c r="CC69" i="39"/>
  <c r="CJ69" i="39" s="1"/>
  <c r="CC141" i="39"/>
  <c r="CJ141" i="39" s="1"/>
  <c r="CC93" i="39"/>
  <c r="CJ93" i="39" s="1"/>
  <c r="CC181" i="39"/>
  <c r="CJ181" i="39" s="1"/>
  <c r="CC21" i="39"/>
  <c r="CJ21" i="39" s="1"/>
  <c r="CC172" i="39"/>
  <c r="CJ172" i="39" s="1"/>
  <c r="CC85" i="39"/>
  <c r="CJ85" i="39" s="1"/>
  <c r="CC100" i="39"/>
  <c r="CJ100" i="39" s="1"/>
  <c r="CC126" i="39"/>
  <c r="CJ126" i="39" s="1"/>
  <c r="CC178" i="39"/>
  <c r="CJ178" i="39" s="1"/>
  <c r="CC63" i="39"/>
  <c r="CJ63" i="39" s="1"/>
  <c r="CC162" i="39"/>
  <c r="CJ162" i="39" s="1"/>
  <c r="CC133" i="39"/>
  <c r="CJ133" i="39" s="1"/>
  <c r="CC65" i="39"/>
  <c r="CJ65" i="39" s="1"/>
  <c r="CC53" i="39"/>
  <c r="CJ53" i="39" s="1"/>
  <c r="CC105" i="39"/>
  <c r="CJ105" i="39" s="1"/>
  <c r="CC62" i="39"/>
  <c r="CJ62" i="39" s="1"/>
  <c r="CC106" i="39"/>
  <c r="CJ106" i="39" s="1"/>
  <c r="CC135" i="39"/>
  <c r="CJ135" i="39" s="1"/>
  <c r="CC74" i="39"/>
  <c r="CJ74" i="39" s="1"/>
  <c r="CC142" i="39"/>
  <c r="CJ142" i="39" s="1"/>
  <c r="CC97" i="39"/>
  <c r="CJ97" i="39" s="1"/>
  <c r="CC60" i="39"/>
  <c r="CJ60" i="39" s="1"/>
  <c r="CC19" i="39"/>
  <c r="CJ19" i="39" s="1"/>
  <c r="CC32" i="39"/>
  <c r="CJ32" i="39" s="1"/>
  <c r="CC38" i="39"/>
  <c r="CJ38" i="39" s="1"/>
  <c r="CC170" i="39"/>
  <c r="CJ170" i="39" s="1"/>
  <c r="CC110" i="39"/>
  <c r="CJ110" i="39" s="1"/>
  <c r="CC112" i="39"/>
  <c r="CJ112" i="39" s="1"/>
  <c r="CC117" i="39"/>
  <c r="CJ117" i="39" s="1"/>
  <c r="CC58" i="39"/>
  <c r="CJ58" i="39" s="1"/>
  <c r="CC159" i="39"/>
  <c r="CJ159" i="39" s="1"/>
  <c r="CC156" i="39"/>
  <c r="CJ156" i="39" s="1"/>
  <c r="CC79" i="39"/>
  <c r="CJ79" i="39" s="1"/>
  <c r="CC173" i="39"/>
  <c r="CJ173" i="39" s="1"/>
  <c r="CC174" i="39"/>
  <c r="CJ174" i="39" s="1"/>
  <c r="CC90" i="39"/>
  <c r="CJ90" i="39" s="1"/>
  <c r="CC167" i="39"/>
  <c r="CJ167" i="39" s="1"/>
  <c r="CC35" i="39"/>
  <c r="CJ35" i="39" s="1"/>
  <c r="CC50" i="39"/>
  <c r="CJ50" i="39" s="1"/>
  <c r="CC72" i="39"/>
  <c r="CJ72" i="39" s="1"/>
  <c r="CC175" i="39"/>
  <c r="CJ175" i="39" s="1"/>
  <c r="CC26" i="39"/>
  <c r="CJ26" i="39" s="1"/>
  <c r="CC158" i="39"/>
  <c r="CJ158" i="39" s="1"/>
  <c r="CC28" i="39"/>
  <c r="CJ28" i="39" s="1"/>
  <c r="CC48" i="39"/>
  <c r="CJ48" i="39" s="1"/>
  <c r="CC68" i="39"/>
  <c r="CJ68" i="39" s="1"/>
  <c r="CC64" i="39"/>
  <c r="CJ64" i="39" s="1"/>
  <c r="CC113" i="39"/>
  <c r="CJ113" i="39" s="1"/>
  <c r="CC116" i="39"/>
  <c r="CJ116" i="39" s="1"/>
  <c r="CC14" i="39"/>
  <c r="CJ14" i="39" s="1"/>
  <c r="CC102" i="39"/>
  <c r="CJ102" i="39" s="1"/>
  <c r="CC129" i="39"/>
  <c r="CJ129" i="39" s="1"/>
  <c r="CC137" i="39"/>
  <c r="CJ137" i="39" s="1"/>
  <c r="CC36" i="39"/>
  <c r="CJ36" i="39" s="1"/>
  <c r="CC145" i="39"/>
  <c r="CJ145" i="39" s="1"/>
  <c r="CC125" i="39"/>
  <c r="CJ125" i="39" s="1"/>
  <c r="CC83" i="39"/>
  <c r="CJ83" i="39" s="1"/>
  <c r="CC99" i="39"/>
  <c r="CJ99" i="39" s="1"/>
  <c r="CC134" i="39"/>
  <c r="CJ134" i="39" s="1"/>
  <c r="CC165" i="39"/>
  <c r="CJ165" i="39" s="1"/>
  <c r="CC123" i="39"/>
  <c r="CJ123" i="39" s="1"/>
  <c r="CC132" i="39"/>
  <c r="CJ132" i="39" s="1"/>
  <c r="CC177" i="39"/>
  <c r="CJ177" i="39" s="1"/>
  <c r="CC152" i="39"/>
  <c r="CJ152" i="39" s="1"/>
  <c r="CC75" i="39"/>
  <c r="CJ75" i="39" s="1"/>
  <c r="CC143" i="39"/>
  <c r="CJ143" i="39" s="1"/>
  <c r="CC76" i="39"/>
  <c r="CJ76" i="39" s="1"/>
  <c r="CC16" i="39"/>
  <c r="CJ16" i="39" s="1"/>
  <c r="CC146" i="39"/>
  <c r="CJ146" i="39" s="1"/>
  <c r="CC144" i="39"/>
  <c r="CJ144" i="39" s="1"/>
  <c r="CC17" i="39"/>
  <c r="CJ17" i="39" s="1"/>
  <c r="CC95" i="39"/>
  <c r="CJ95" i="39" s="1"/>
  <c r="CC82" i="39"/>
  <c r="CJ82" i="39" s="1"/>
  <c r="CC140" i="39"/>
  <c r="CJ140" i="39" s="1"/>
  <c r="CC153" i="39"/>
  <c r="CJ153" i="39" s="1"/>
  <c r="CC23" i="39"/>
  <c r="CJ23" i="39" s="1"/>
  <c r="CC31" i="39"/>
  <c r="CJ31" i="39" s="1"/>
  <c r="CC164" i="39"/>
  <c r="CJ164" i="39" s="1"/>
  <c r="CC169" i="39"/>
  <c r="CJ169" i="39" s="1"/>
  <c r="CC147" i="39"/>
  <c r="CJ147" i="39" s="1"/>
  <c r="CC171" i="39"/>
  <c r="CJ171" i="39" s="1"/>
  <c r="CC183" i="39"/>
  <c r="CJ183" i="39" s="1"/>
  <c r="CC24" i="39"/>
  <c r="CJ24" i="39" s="1"/>
  <c r="CC29" i="39"/>
  <c r="CJ29" i="39" s="1"/>
  <c r="CC118" i="39"/>
  <c r="CJ118" i="39" s="1"/>
  <c r="CC70" i="39"/>
  <c r="CJ70" i="39" s="1"/>
  <c r="CC46" i="39"/>
  <c r="CJ46" i="39" s="1"/>
  <c r="CC176" i="39"/>
  <c r="CJ176" i="39" s="1"/>
  <c r="CC131" i="39"/>
  <c r="CJ131" i="39" s="1"/>
  <c r="CC89" i="39"/>
  <c r="CJ89" i="39" s="1"/>
  <c r="CC154" i="39"/>
  <c r="CJ154" i="39" s="1"/>
  <c r="CC180" i="39"/>
  <c r="CJ180" i="39" s="1"/>
  <c r="CC115" i="39"/>
  <c r="CJ115" i="39" s="1"/>
  <c r="CC160" i="39"/>
  <c r="CJ160" i="39" s="1"/>
  <c r="CC37" i="39"/>
  <c r="CJ37" i="39" s="1"/>
  <c r="CC91" i="39"/>
  <c r="CJ91" i="39" s="1"/>
  <c r="CC104" i="39"/>
  <c r="CJ104" i="39" s="1"/>
  <c r="CC148" i="39"/>
  <c r="CJ148" i="39" s="1"/>
  <c r="CC77" i="39"/>
  <c r="CJ77" i="39" s="1"/>
  <c r="CC51" i="39"/>
  <c r="CJ51" i="39" s="1"/>
  <c r="CC40" i="39"/>
  <c r="CJ40" i="39" s="1"/>
  <c r="CC122" i="39"/>
  <c r="CJ122" i="39" s="1"/>
  <c r="CC136" i="39"/>
  <c r="CJ136" i="39" s="1"/>
  <c r="CC168" i="39"/>
  <c r="CJ168" i="39" s="1"/>
  <c r="CC54" i="39"/>
  <c r="CJ54" i="39" s="1"/>
  <c r="CC86" i="39"/>
  <c r="CJ86" i="39" s="1"/>
  <c r="CC103" i="39"/>
  <c r="CJ103" i="39" s="1"/>
  <c r="CC11" i="39"/>
  <c r="CJ11" i="39" s="1"/>
  <c r="CC101" i="39"/>
  <c r="CJ101" i="39" s="1"/>
  <c r="CI127" i="39" l="1"/>
  <c r="CM127" i="39" s="1"/>
  <c r="CF127" i="39"/>
  <c r="CF39" i="39"/>
  <c r="CI39" i="39"/>
  <c r="CM39" i="39" s="1"/>
  <c r="CI167" i="39"/>
  <c r="CM167" i="39" s="1"/>
  <c r="CF167" i="39"/>
  <c r="CF102" i="39"/>
  <c r="CI102" i="39"/>
  <c r="CM102" i="39" s="1"/>
  <c r="CI47" i="39"/>
  <c r="CM47" i="39" s="1"/>
  <c r="CF47" i="39"/>
  <c r="CI95" i="39"/>
  <c r="CM95" i="39" s="1"/>
  <c r="CF95" i="39"/>
  <c r="CI26" i="39"/>
  <c r="CM26" i="39" s="1"/>
  <c r="CF26" i="39"/>
  <c r="CI22" i="39"/>
  <c r="CM22" i="39" s="1"/>
  <c r="CF22" i="39"/>
  <c r="CF49" i="39"/>
  <c r="CI49" i="39"/>
  <c r="CM49" i="39" s="1"/>
  <c r="CI169" i="39"/>
  <c r="CM169" i="39" s="1"/>
  <c r="CF169" i="39"/>
  <c r="CI129" i="39"/>
  <c r="CM129" i="39" s="1"/>
  <c r="CF129" i="39"/>
  <c r="CF173" i="39"/>
  <c r="CI173" i="39"/>
  <c r="CM173" i="39" s="1"/>
  <c r="CI45" i="39"/>
  <c r="CM45" i="39" s="1"/>
  <c r="CF45" i="39"/>
  <c r="CI81" i="39"/>
  <c r="CM81" i="39" s="1"/>
  <c r="CF81" i="39"/>
  <c r="CI31" i="39"/>
  <c r="CM31" i="39" s="1"/>
  <c r="CF31" i="39"/>
  <c r="CI105" i="39"/>
  <c r="CM105" i="39" s="1"/>
  <c r="CF105" i="39"/>
  <c r="CF155" i="39"/>
  <c r="CI155" i="39"/>
  <c r="CM155" i="39" s="1"/>
  <c r="CI62" i="39"/>
  <c r="CM62" i="39" s="1"/>
  <c r="CF62" i="39"/>
  <c r="CI24" i="39"/>
  <c r="CM24" i="39" s="1"/>
  <c r="CF24" i="39"/>
  <c r="CI37" i="39"/>
  <c r="CM37" i="39" s="1"/>
  <c r="CF37" i="39"/>
  <c r="CI38" i="39"/>
  <c r="CM38" i="39" s="1"/>
  <c r="CF38" i="39"/>
  <c r="CI73" i="39"/>
  <c r="CM73" i="39" s="1"/>
  <c r="CF73" i="39"/>
  <c r="CF71" i="39"/>
  <c r="CI71" i="39"/>
  <c r="CM71" i="39" s="1"/>
  <c r="CI137" i="39"/>
  <c r="CM137" i="39" s="1"/>
  <c r="CF137" i="39"/>
  <c r="CI115" i="39"/>
  <c r="CM115" i="39" s="1"/>
  <c r="CF115" i="39"/>
  <c r="CI107" i="39"/>
  <c r="CM107" i="39" s="1"/>
  <c r="CF107" i="39"/>
  <c r="CI56" i="39"/>
  <c r="CM56" i="39" s="1"/>
  <c r="CF56" i="39"/>
  <c r="CI83" i="39"/>
  <c r="CM83" i="39" s="1"/>
  <c r="CF83" i="39"/>
  <c r="CF32" i="39"/>
  <c r="CI32" i="39"/>
  <c r="CM32" i="39" s="1"/>
  <c r="CI176" i="39"/>
  <c r="CM176" i="39" s="1"/>
  <c r="CF176" i="39"/>
  <c r="CI97" i="39"/>
  <c r="CM97" i="39" s="1"/>
  <c r="CF97" i="39"/>
  <c r="CI68" i="39"/>
  <c r="CM68" i="39" s="1"/>
  <c r="CF68" i="39"/>
  <c r="CF72" i="39"/>
  <c r="CI72" i="39"/>
  <c r="CM72" i="39" s="1"/>
  <c r="CI54" i="39"/>
  <c r="CM54" i="39" s="1"/>
  <c r="CF54" i="39"/>
  <c r="CI86" i="39"/>
  <c r="CM86" i="39" s="1"/>
  <c r="CF86" i="39"/>
  <c r="CI151" i="39"/>
  <c r="CM151" i="39" s="1"/>
  <c r="CF151" i="39"/>
  <c r="CI13" i="39"/>
  <c r="CM13" i="39" s="1"/>
  <c r="CF13" i="39"/>
  <c r="CI121" i="39"/>
  <c r="CM121" i="39" s="1"/>
  <c r="CF121" i="39"/>
  <c r="CF18" i="39"/>
  <c r="CI18" i="39"/>
  <c r="CM18" i="39" s="1"/>
  <c r="CF134" i="39"/>
  <c r="CI134" i="39"/>
  <c r="CM134" i="39" s="1"/>
  <c r="CF132" i="39"/>
  <c r="CI132" i="39"/>
  <c r="CM132" i="39" s="1"/>
  <c r="CF63" i="39"/>
  <c r="CI63" i="39"/>
  <c r="CM63" i="39" s="1"/>
  <c r="CI119" i="39"/>
  <c r="CM119" i="39" s="1"/>
  <c r="CF119" i="39"/>
  <c r="CI41" i="39"/>
  <c r="CM41" i="39" s="1"/>
  <c r="CF41" i="39"/>
  <c r="CF42" i="39"/>
  <c r="CI42" i="39"/>
  <c r="CM42" i="39" s="1"/>
  <c r="CF14" i="39"/>
  <c r="CI14" i="39"/>
  <c r="CM14" i="39" s="1"/>
  <c r="CI29" i="39"/>
  <c r="CM29" i="39" s="1"/>
  <c r="CF29" i="39"/>
  <c r="CI141" i="39"/>
  <c r="CM141" i="39" s="1"/>
  <c r="CF141" i="39"/>
  <c r="CF109" i="39"/>
  <c r="CI109" i="39"/>
  <c r="CM109" i="39" s="1"/>
  <c r="CF123" i="39"/>
  <c r="CI123" i="39"/>
  <c r="CM123" i="39" s="1"/>
  <c r="CF33" i="39"/>
  <c r="CI33" i="39"/>
  <c r="CM33" i="39" s="1"/>
  <c r="CF80" i="39"/>
  <c r="CI80" i="39"/>
  <c r="CM80" i="39" s="1"/>
  <c r="CF69" i="39"/>
  <c r="CI69" i="39"/>
  <c r="CM69" i="39" s="1"/>
  <c r="CF181" i="39"/>
  <c r="G35" i="39" s="1"/>
  <c r="CV52" i="39" s="1"/>
  <c r="CI181" i="39"/>
  <c r="CM181" i="39" s="1"/>
  <c r="CF113" i="39"/>
  <c r="CI113" i="39"/>
  <c r="CM113" i="39" s="1"/>
  <c r="CI61" i="39"/>
  <c r="CM61" i="39" s="1"/>
  <c r="CF61" i="39"/>
  <c r="CF96" i="39"/>
  <c r="CI96" i="39"/>
  <c r="CM96" i="39" s="1"/>
  <c r="CI139" i="39"/>
  <c r="CM139" i="39" s="1"/>
  <c r="CF139" i="39"/>
  <c r="CI74" i="39"/>
  <c r="CM74" i="39" s="1"/>
  <c r="CF74" i="39"/>
  <c r="CF131" i="39"/>
  <c r="CI131" i="39"/>
  <c r="CM131" i="39" s="1"/>
  <c r="CI114" i="39"/>
  <c r="CM114" i="39" s="1"/>
  <c r="CF114" i="39"/>
  <c r="CF147" i="39"/>
  <c r="CI147" i="39"/>
  <c r="CM147" i="39" s="1"/>
  <c r="CI35" i="39"/>
  <c r="CM35" i="39" s="1"/>
  <c r="CF35" i="39"/>
  <c r="CF179" i="39"/>
  <c r="CI179" i="39"/>
  <c r="CM179" i="39" s="1"/>
  <c r="CI149" i="39"/>
  <c r="CM149" i="39" s="1"/>
  <c r="CF149" i="39"/>
  <c r="CI17" i="39"/>
  <c r="CM17" i="39" s="1"/>
  <c r="CF17" i="39"/>
  <c r="CF165" i="39"/>
  <c r="CI165" i="39"/>
  <c r="CM165" i="39" s="1"/>
  <c r="CF106" i="39"/>
  <c r="CI106" i="39"/>
  <c r="CM106" i="39" s="1"/>
  <c r="CI46" i="39"/>
  <c r="CM46" i="39" s="1"/>
  <c r="CF46" i="39"/>
  <c r="CF183" i="39"/>
  <c r="G37" i="39" s="1"/>
  <c r="CV54" i="39" s="1"/>
  <c r="CI183" i="39"/>
  <c r="CM183" i="39" s="1"/>
  <c r="CF65" i="39"/>
  <c r="CI65" i="39"/>
  <c r="CM65" i="39" s="1"/>
  <c r="CI138" i="39"/>
  <c r="CM138" i="39" s="1"/>
  <c r="CF138" i="39"/>
  <c r="CI152" i="39"/>
  <c r="CM152" i="39" s="1"/>
  <c r="CF152" i="39"/>
  <c r="CI57" i="39"/>
  <c r="CM57" i="39" s="1"/>
  <c r="CF57" i="39"/>
  <c r="CI130" i="39"/>
  <c r="CM130" i="39" s="1"/>
  <c r="CF130" i="39"/>
  <c r="CI52" i="39"/>
  <c r="CM52" i="39" s="1"/>
  <c r="CF52" i="39"/>
  <c r="CI104" i="39"/>
  <c r="CM104" i="39" s="1"/>
  <c r="CF104" i="39"/>
  <c r="CI66" i="39"/>
  <c r="CM66" i="39" s="1"/>
  <c r="CF66" i="39"/>
  <c r="CI43" i="39"/>
  <c r="CM43" i="39" s="1"/>
  <c r="CF43" i="39"/>
  <c r="CI163" i="39"/>
  <c r="CM163" i="39" s="1"/>
  <c r="CF163" i="39"/>
  <c r="CI172" i="39"/>
  <c r="CM172" i="39" s="1"/>
  <c r="CF172" i="39"/>
  <c r="CF140" i="39"/>
  <c r="CI140" i="39"/>
  <c r="CM140" i="39" s="1"/>
  <c r="CF166" i="39"/>
  <c r="CI166" i="39"/>
  <c r="CM166" i="39" s="1"/>
  <c r="CI180" i="39"/>
  <c r="CM180" i="39" s="1"/>
  <c r="CF180" i="39"/>
  <c r="CF159" i="39"/>
  <c r="CI159" i="39"/>
  <c r="CM159" i="39" s="1"/>
  <c r="CI108" i="39"/>
  <c r="CM108" i="39" s="1"/>
  <c r="CF108" i="39"/>
  <c r="CF156" i="39"/>
  <c r="CI156" i="39"/>
  <c r="CM156" i="39" s="1"/>
  <c r="CF25" i="39"/>
  <c r="CI25" i="39"/>
  <c r="CM25" i="39" s="1"/>
  <c r="CI111" i="39"/>
  <c r="CM111" i="39" s="1"/>
  <c r="CF111" i="39"/>
  <c r="CI27" i="39"/>
  <c r="CM27" i="39" s="1"/>
  <c r="CF27" i="39"/>
  <c r="CF93" i="39"/>
  <c r="CI93" i="39"/>
  <c r="CM93" i="39" s="1"/>
  <c r="CF133" i="39"/>
  <c r="CI133" i="39"/>
  <c r="CM133" i="39" s="1"/>
  <c r="CF160" i="39"/>
  <c r="CI160" i="39"/>
  <c r="CM160" i="39" s="1"/>
  <c r="CI126" i="39"/>
  <c r="CM126" i="39" s="1"/>
  <c r="CF126" i="39"/>
  <c r="CI120" i="39"/>
  <c r="CM120" i="39" s="1"/>
  <c r="CF120" i="39"/>
  <c r="CI116" i="39"/>
  <c r="CM116" i="39" s="1"/>
  <c r="CF116" i="39"/>
  <c r="CI48" i="39"/>
  <c r="CM48" i="39" s="1"/>
  <c r="CF48" i="39"/>
  <c r="CI12" i="39"/>
  <c r="CM12" i="39" s="1"/>
  <c r="CF12" i="39"/>
  <c r="CF55" i="39"/>
  <c r="CI55" i="39"/>
  <c r="CM55" i="39" s="1"/>
  <c r="CI53" i="39"/>
  <c r="CM53" i="39" s="1"/>
  <c r="CF53" i="39"/>
  <c r="CI158" i="39"/>
  <c r="CM158" i="39" s="1"/>
  <c r="CF158" i="39"/>
  <c r="CI177" i="39"/>
  <c r="CM177" i="39" s="1"/>
  <c r="CF177" i="39"/>
  <c r="CF100" i="39"/>
  <c r="CI100" i="39"/>
  <c r="CM100" i="39" s="1"/>
  <c r="CI89" i="39"/>
  <c r="CM89" i="39" s="1"/>
  <c r="CF89" i="39"/>
  <c r="CI84" i="39"/>
  <c r="CM84" i="39" s="1"/>
  <c r="CF84" i="39"/>
  <c r="CF168" i="39"/>
  <c r="CI168" i="39"/>
  <c r="CM168" i="39" s="1"/>
  <c r="CI19" i="39"/>
  <c r="CM19" i="39" s="1"/>
  <c r="CF19" i="39"/>
  <c r="CI21" i="39"/>
  <c r="CM21" i="39" s="1"/>
  <c r="CF21" i="39"/>
  <c r="CI117" i="39"/>
  <c r="CM117" i="39" s="1"/>
  <c r="CF117" i="39"/>
  <c r="CI146" i="39"/>
  <c r="CM146" i="39" s="1"/>
  <c r="CF146" i="39"/>
  <c r="CI178" i="39"/>
  <c r="CM178" i="39" s="1"/>
  <c r="CF178" i="39"/>
  <c r="CI124" i="39"/>
  <c r="CM124" i="39" s="1"/>
  <c r="CF124" i="39"/>
  <c r="CI153" i="39"/>
  <c r="CM153" i="39" s="1"/>
  <c r="CF153" i="39"/>
  <c r="CI164" i="39"/>
  <c r="CM164" i="39" s="1"/>
  <c r="CF164" i="39"/>
  <c r="CF70" i="39"/>
  <c r="CI70" i="39"/>
  <c r="CM70" i="39" s="1"/>
  <c r="CI51" i="39"/>
  <c r="CM51" i="39" s="1"/>
  <c r="CF51" i="39"/>
  <c r="CF75" i="39"/>
  <c r="CI75" i="39"/>
  <c r="CM75" i="39" s="1"/>
  <c r="CI144" i="39"/>
  <c r="CM144" i="39" s="1"/>
  <c r="CF144" i="39"/>
  <c r="CI60" i="39"/>
  <c r="CM60" i="39" s="1"/>
  <c r="CF60" i="39"/>
  <c r="CI20" i="39"/>
  <c r="CM20" i="39" s="1"/>
  <c r="CF20" i="39"/>
  <c r="CF91" i="39"/>
  <c r="CI91" i="39"/>
  <c r="CM91" i="39" s="1"/>
  <c r="CF174" i="39"/>
  <c r="CI174" i="39"/>
  <c r="CM174" i="39" s="1"/>
  <c r="CI11" i="39"/>
  <c r="CM11" i="39" s="1"/>
  <c r="CF11" i="39"/>
  <c r="CF59" i="39"/>
  <c r="CI59" i="39"/>
  <c r="CM59" i="39" s="1"/>
  <c r="CI162" i="39"/>
  <c r="CM162" i="39" s="1"/>
  <c r="CF162" i="39"/>
  <c r="CF101" i="39"/>
  <c r="CI101" i="39"/>
  <c r="CM101" i="39" s="1"/>
  <c r="CI150" i="39"/>
  <c r="CM150" i="39" s="1"/>
  <c r="CF150" i="39"/>
  <c r="CF50" i="39"/>
  <c r="CI50" i="39"/>
  <c r="CM50" i="39" s="1"/>
  <c r="CI76" i="39"/>
  <c r="CM76" i="39" s="1"/>
  <c r="CF76" i="39"/>
  <c r="CI161" i="39"/>
  <c r="CM161" i="39" s="1"/>
  <c r="CF161" i="39"/>
  <c r="CI171" i="39"/>
  <c r="CM171" i="39" s="1"/>
  <c r="CF171" i="39"/>
  <c r="CI78" i="39"/>
  <c r="CM78" i="39" s="1"/>
  <c r="CF78" i="39"/>
  <c r="CI154" i="39"/>
  <c r="CM154" i="39" s="1"/>
  <c r="CF154" i="39"/>
  <c r="CI103" i="39"/>
  <c r="CM103" i="39" s="1"/>
  <c r="CF103" i="39"/>
  <c r="CI64" i="39"/>
  <c r="CM64" i="39" s="1"/>
  <c r="CF64" i="39"/>
  <c r="CI36" i="39"/>
  <c r="CM36" i="39" s="1"/>
  <c r="CF36" i="39"/>
  <c r="CI94" i="39"/>
  <c r="CM94" i="39" s="1"/>
  <c r="CF94" i="39"/>
  <c r="CI110" i="39"/>
  <c r="CM110" i="39" s="1"/>
  <c r="CF110" i="39"/>
  <c r="CI90" i="39"/>
  <c r="CM90" i="39" s="1"/>
  <c r="CF90" i="39"/>
  <c r="CI175" i="39"/>
  <c r="CM175" i="39" s="1"/>
  <c r="CF175" i="39"/>
  <c r="CI125" i="39"/>
  <c r="CM125" i="39" s="1"/>
  <c r="CF125" i="39"/>
  <c r="CI87" i="39"/>
  <c r="CM87" i="39" s="1"/>
  <c r="CF87" i="39"/>
  <c r="CI58" i="39"/>
  <c r="CM58" i="39" s="1"/>
  <c r="CF58" i="39"/>
  <c r="CF143" i="39"/>
  <c r="CI143" i="39"/>
  <c r="CM143" i="39" s="1"/>
  <c r="CF148" i="39"/>
  <c r="CI148" i="39"/>
  <c r="CM148" i="39" s="1"/>
  <c r="CF145" i="39"/>
  <c r="CI145" i="39"/>
  <c r="CM145" i="39" s="1"/>
  <c r="CF34" i="39"/>
  <c r="CI34" i="39"/>
  <c r="CM34" i="39" s="1"/>
  <c r="CF118" i="39"/>
  <c r="CI118" i="39"/>
  <c r="CM118" i="39" s="1"/>
  <c r="CI77" i="39"/>
  <c r="CM77" i="39" s="1"/>
  <c r="CF77" i="39"/>
  <c r="CF128" i="39"/>
  <c r="CI128" i="39"/>
  <c r="CM128" i="39" s="1"/>
  <c r="CI79" i="39"/>
  <c r="CM79" i="39" s="1"/>
  <c r="CF79" i="39"/>
  <c r="CF170" i="39"/>
  <c r="CI170" i="39"/>
  <c r="CM170" i="39" s="1"/>
  <c r="CI40" i="39"/>
  <c r="CM40" i="39" s="1"/>
  <c r="CF40" i="39"/>
  <c r="CF135" i="39"/>
  <c r="CI135" i="39"/>
  <c r="CM135" i="39" s="1"/>
  <c r="CI99" i="39"/>
  <c r="CM99" i="39" s="1"/>
  <c r="CF99" i="39"/>
  <c r="CI23" i="39"/>
  <c r="CM23" i="39" s="1"/>
  <c r="CF23" i="39"/>
  <c r="CF16" i="39"/>
  <c r="CI16" i="39"/>
  <c r="CM16" i="39" s="1"/>
  <c r="CF15" i="39"/>
  <c r="CI15" i="39"/>
  <c r="CM15" i="39" s="1"/>
  <c r="CF157" i="39"/>
  <c r="CI157" i="39"/>
  <c r="CM157" i="39" s="1"/>
  <c r="CF44" i="39"/>
  <c r="CI44" i="39"/>
  <c r="CM44" i="39" s="1"/>
  <c r="CF112" i="39"/>
  <c r="CI112" i="39"/>
  <c r="CM112" i="39" s="1"/>
  <c r="CI30" i="39"/>
  <c r="CM30" i="39" s="1"/>
  <c r="CF30" i="39"/>
  <c r="CF67" i="39"/>
  <c r="CI67" i="39"/>
  <c r="CM67" i="39" s="1"/>
  <c r="CF136" i="39"/>
  <c r="CI136" i="39"/>
  <c r="CM136" i="39" s="1"/>
  <c r="CI122" i="39"/>
  <c r="CM122" i="39" s="1"/>
  <c r="CF122" i="39"/>
  <c r="CF82" i="39"/>
  <c r="CI82" i="39"/>
  <c r="CM82" i="39" s="1"/>
  <c r="CF85" i="39"/>
  <c r="CI85" i="39"/>
  <c r="CM85" i="39" s="1"/>
  <c r="CI88" i="39"/>
  <c r="CM88" i="39" s="1"/>
  <c r="CF88" i="39"/>
  <c r="CI142" i="39"/>
  <c r="CM142" i="39" s="1"/>
  <c r="CF142" i="39"/>
  <c r="CI182" i="39"/>
  <c r="CM182" i="39" s="1"/>
  <c r="CF182" i="39"/>
  <c r="G36" i="39" s="1"/>
  <c r="CV53" i="39" s="1"/>
  <c r="CI92" i="39"/>
  <c r="CM92" i="39" s="1"/>
  <c r="CF92" i="39"/>
  <c r="CI98" i="39"/>
  <c r="CM98" i="39" s="1"/>
  <c r="CF98" i="39"/>
  <c r="CI28" i="39"/>
  <c r="CM28" i="39" s="1"/>
  <c r="CF28" i="39"/>
  <c r="CV41" i="39"/>
</calcChain>
</file>

<file path=xl/comments1.xml><?xml version="1.0" encoding="utf-8"?>
<comments xmlns="http://schemas.openxmlformats.org/spreadsheetml/2006/main" xmlns:mc="http://schemas.openxmlformats.org/markup-compatibility/2006" xmlns:xr="http://schemas.microsoft.com/office/spreadsheetml/2014/revision" mc:Ignorable="xr">
  <authors>
    <author>Dan Harmon</author>
  </authors>
  <commentList>
    <comment ref="K10" authorId="0" shapeId="0" xr:uid="{9D2BB9F0-0537-4DEB-BA0D-227263D5A174}">
      <text>
        <r>
          <rPr>
            <sz val="9"/>
            <color indexed="81"/>
            <rFont val="Tahoma"/>
            <family val="2"/>
          </rPr>
          <t>This tool assumes a static VCM, i.e. a DC appliction not a switching VCM application such as in-line motor current.</t>
        </r>
      </text>
    </comment>
    <comment ref="K11" authorId="0" shapeId="0" xr:uid="{0B42C33D-825E-489F-980C-94D5FB06D3B7}">
      <text>
        <r>
          <rPr>
            <sz val="9"/>
            <color indexed="81"/>
            <rFont val="Tahoma"/>
            <family val="2"/>
          </rPr>
          <t>A simple two-point room temp calibration will eliminate all room temp error due to offset, CMRR, PSRR, gain error, and shunt tolerance.</t>
        </r>
      </text>
    </comment>
    <comment ref="K14" authorId="0" shapeId="0" xr:uid="{1D7B3EC1-82F5-434C-8D8F-ED71592822EC}">
      <text>
        <r>
          <rPr>
            <sz val="9"/>
            <color indexed="81"/>
            <rFont val="Tahoma"/>
            <family val="2"/>
          </rPr>
          <t>This will help determine the Maximum Calculated Shunt value.  The value is seen in the comparison table. 
See the HELP tab for more information in this subject.</t>
        </r>
      </text>
    </comment>
    <comment ref="K15" authorId="0" shapeId="0" xr:uid="{7B6D5591-130C-471D-A4E3-60F5A4880246}">
      <text>
        <r>
          <rPr>
            <sz val="9"/>
            <color indexed="81"/>
            <rFont val="Tahoma"/>
            <family val="2"/>
          </rPr>
          <t>The "Use Maximum Calculated Shunt" choice affects which shunt value is used for this calcuation.</t>
        </r>
      </text>
    </comment>
    <comment ref="K16" authorId="0" shapeId="0" xr:uid="{6335ABDC-A6AC-4C84-A727-DC3E324F054C}">
      <text>
        <r>
          <rPr>
            <sz val="9"/>
            <color indexed="81"/>
            <rFont val="Tahoma"/>
            <family val="2"/>
          </rPr>
          <t>The "Use Maximum Calculated Shunt" choice affects which shunt value is used for this calcuation.</t>
        </r>
      </text>
    </comment>
    <comment ref="K17" authorId="0" shapeId="0" xr:uid="{7C94D3D5-9215-40E6-9906-258BD7466A7C}">
      <text>
        <r>
          <rPr>
            <sz val="9"/>
            <color indexed="81"/>
            <rFont val="Tahoma"/>
            <family val="2"/>
          </rPr>
          <t>If YES, the error calcuations/curves use the calculated shunt value for each device based on max current and device full-scale input.
If NO, the calculations/curves for all devices use the "Shunt resistor" entered below.</t>
        </r>
      </text>
    </comment>
    <comment ref="K19" authorId="0" shapeId="0" xr:uid="{990FB231-6E8E-4755-AD29-7304172F4498}">
      <text>
        <r>
          <rPr>
            <sz val="9"/>
            <color indexed="81"/>
            <rFont val="Tahoma"/>
            <family val="2"/>
          </rPr>
          <t>If "Use Maximum Calculated Shunt" is YES, the error calcuations &amp; curves use a different shunt value based on device parameters and system specifications.</t>
        </r>
      </text>
    </comment>
    <comment ref="K20" authorId="0" shapeId="0" xr:uid="{6434991F-6099-4856-82D1-15D7A3A18E05}">
      <text>
        <r>
          <rPr>
            <sz val="9"/>
            <color indexed="81"/>
            <rFont val="Tahoma"/>
            <family val="2"/>
          </rPr>
          <t xml:space="preserve">This affects the calcuations/curves regardless of the choice at "Use Maximum Calculated Shunt"
</t>
        </r>
      </text>
    </comment>
    <comment ref="K21" authorId="0" shapeId="0" xr:uid="{44AA7C31-E75E-41F7-A7F2-3E6D83956A4E}">
      <text>
        <r>
          <rPr>
            <sz val="9"/>
            <color indexed="81"/>
            <rFont val="Tahoma"/>
            <family val="2"/>
          </rPr>
          <t xml:space="preserve">This affects the calcuations/curves regardless of the choice at "Use Maximum Calculated Shunt"
</t>
        </r>
      </text>
    </comment>
    <comment ref="B32" authorId="0" shapeId="0" xr:uid="{B16F8568-7F2F-4279-BFDC-B596CD0CA568}">
      <text>
        <r>
          <rPr>
            <sz val="9"/>
            <color indexed="81"/>
            <rFont val="Tahoma"/>
            <family val="2"/>
          </rPr>
          <t xml:space="preserve">The </t>
        </r>
        <r>
          <rPr>
            <b/>
            <sz val="9"/>
            <color indexed="81"/>
            <rFont val="Tahoma"/>
            <family val="2"/>
          </rPr>
          <t xml:space="preserve">Maximum Calclulated Shunt Resistor </t>
        </r>
        <r>
          <rPr>
            <sz val="9"/>
            <color indexed="81"/>
            <rFont val="Tahoma"/>
            <family val="2"/>
          </rPr>
          <t xml:space="preserve">is calculated based on the full-scale input volatge divided by the Maximum Measured Current entered above.
For the </t>
        </r>
        <r>
          <rPr>
            <b/>
            <sz val="9"/>
            <color indexed="81"/>
            <rFont val="Tahoma"/>
            <family val="2"/>
          </rPr>
          <t>digital power monitors</t>
        </r>
        <r>
          <rPr>
            <sz val="9"/>
            <color indexed="81"/>
            <rFont val="Tahoma"/>
            <family val="2"/>
          </rPr>
          <t xml:space="preserve">, the full scale input range is defined in the data sheet.
For the </t>
        </r>
        <r>
          <rPr>
            <b/>
            <sz val="9"/>
            <color indexed="81"/>
            <rFont val="Tahoma"/>
            <family val="2"/>
          </rPr>
          <t>analog output devices</t>
        </r>
        <r>
          <rPr>
            <sz val="9"/>
            <color indexed="81"/>
            <rFont val="Tahoma"/>
            <family val="2"/>
          </rPr>
          <t xml:space="preserve">, the tool will calculate the full scale input range based on the entered Supply Volatge minus the swing to supply value from the device data sheet divided by the gain for the chosen device.  Note that uni-directional measurement is assumed for the bi-directional capable devices.  </t>
        </r>
      </text>
    </comment>
  </commentList>
</comments>
</file>

<file path=xl/sharedStrings.xml><?xml version="1.0" encoding="utf-8"?>
<sst xmlns="http://schemas.openxmlformats.org/spreadsheetml/2006/main" count="3400" uniqueCount="548">
  <si>
    <t>Bandwidth (kHz)</t>
  </si>
  <si>
    <t>LMP8601</t>
  </si>
  <si>
    <t>INA193</t>
  </si>
  <si>
    <t>INA203</t>
  </si>
  <si>
    <t>INA206</t>
  </si>
  <si>
    <t>INA200</t>
  </si>
  <si>
    <t>INA270</t>
  </si>
  <si>
    <t>INA282</t>
  </si>
  <si>
    <t>INA301A2</t>
  </si>
  <si>
    <t>INA301A3</t>
  </si>
  <si>
    <t>Resistor Tolerance (%)</t>
  </si>
  <si>
    <t>Resistor Drift (ppm/C)</t>
  </si>
  <si>
    <t>Gain</t>
  </si>
  <si>
    <t>PSRR</t>
  </si>
  <si>
    <t>Gain Error Drift (ppm/°C)</t>
  </si>
  <si>
    <t>Parameter</t>
  </si>
  <si>
    <t>CMRR (min dB)</t>
  </si>
  <si>
    <t>Slew Rate (V/µs)</t>
  </si>
  <si>
    <t>Swing To Ground (mV)</t>
  </si>
  <si>
    <t>PSRR (min dB)</t>
  </si>
  <si>
    <t>Operating Temp Range (°C)</t>
  </si>
  <si>
    <t>unspec'd</t>
  </si>
  <si>
    <t>System Operating Conditions</t>
  </si>
  <si>
    <t>Desired Temperature (°C)</t>
  </si>
  <si>
    <t>Shunt Resistor Specifications</t>
  </si>
  <si>
    <t>Individual Error Contributions @ 25°C</t>
  </si>
  <si>
    <t>√∑(err1²,err2²,…)</t>
  </si>
  <si>
    <r>
      <t>I</t>
    </r>
    <r>
      <rPr>
        <b/>
        <vertAlign val="subscript"/>
        <sz val="8"/>
        <color theme="1"/>
        <rFont val="Arial"/>
        <family val="2"/>
      </rPr>
      <t>SHUNT</t>
    </r>
  </si>
  <si>
    <r>
      <t>V</t>
    </r>
    <r>
      <rPr>
        <b/>
        <vertAlign val="subscript"/>
        <sz val="8"/>
        <color theme="1"/>
        <rFont val="Arial"/>
        <family val="2"/>
      </rPr>
      <t>OS</t>
    </r>
  </si>
  <si>
    <t>CMRR</t>
  </si>
  <si>
    <r>
      <t>R</t>
    </r>
    <r>
      <rPr>
        <b/>
        <vertAlign val="subscript"/>
        <sz val="8"/>
        <color theme="1"/>
        <rFont val="Arial"/>
        <family val="2"/>
      </rPr>
      <t>SHUNT</t>
    </r>
  </si>
  <si>
    <t>PSRR
(MIN dB)</t>
  </si>
  <si>
    <t>Bandwidth
(kHz)</t>
  </si>
  <si>
    <t>Operating
Temperature
Range (°C)</t>
  </si>
  <si>
    <t>Output
Interface</t>
  </si>
  <si>
    <t>Swing to
Ground
(mV)</t>
  </si>
  <si>
    <r>
      <t>V</t>
    </r>
    <r>
      <rPr>
        <b/>
        <vertAlign val="subscript"/>
        <sz val="8"/>
        <color theme="1"/>
        <rFont val="Arial"/>
        <family val="2"/>
      </rPr>
      <t>OS</t>
    </r>
    <r>
      <rPr>
        <b/>
        <sz val="8"/>
        <color theme="1"/>
        <rFont val="Arial"/>
        <family val="2"/>
      </rPr>
      <t xml:space="preserve"> @ 25°C
+/-µV
Max</t>
    </r>
  </si>
  <si>
    <t>Gain
Options
V/V</t>
  </si>
  <si>
    <t>Gain Error
Drift
ppm/°C
Max</t>
  </si>
  <si>
    <t>Slew
Rate
(V/µS)</t>
  </si>
  <si>
    <r>
      <t>I</t>
    </r>
    <r>
      <rPr>
        <b/>
        <vertAlign val="subscript"/>
        <sz val="8"/>
        <color theme="1"/>
        <rFont val="Arial"/>
        <family val="2"/>
      </rPr>
      <t>Q</t>
    </r>
    <r>
      <rPr>
        <b/>
        <sz val="8"/>
        <color theme="1"/>
        <rFont val="Arial"/>
        <family val="2"/>
      </rPr>
      <t xml:space="preserve">
mA
Max</t>
    </r>
  </si>
  <si>
    <t>Supply Voltage (V)</t>
  </si>
  <si>
    <t>Common Mode Voltage (V)</t>
  </si>
  <si>
    <t>Yes</t>
  </si>
  <si>
    <t>No</t>
  </si>
  <si>
    <t>Shunt Resistor (mΩ)</t>
  </si>
  <si>
    <t>LMP8602</t>
  </si>
  <si>
    <t>LMP8603</t>
  </si>
  <si>
    <t>INA216A1</t>
  </si>
  <si>
    <t>INA216A2</t>
  </si>
  <si>
    <t>INA216A3</t>
  </si>
  <si>
    <t>INA216A4</t>
  </si>
  <si>
    <t>INA223 (G=20)</t>
  </si>
  <si>
    <t>INA223 (G=128)</t>
  </si>
  <si>
    <t>INA223 (G=300)</t>
  </si>
  <si>
    <t>INA225 (G=100)</t>
  </si>
  <si>
    <t>INA225 (G=200)</t>
  </si>
  <si>
    <t>INA225 (G=50)</t>
  </si>
  <si>
    <t>INA225 (G=25)</t>
  </si>
  <si>
    <t>INA301A1</t>
  </si>
  <si>
    <r>
      <t>V</t>
    </r>
    <r>
      <rPr>
        <b/>
        <vertAlign val="subscript"/>
        <sz val="8"/>
        <color theme="1"/>
        <rFont val="Arial"/>
        <family val="2"/>
      </rPr>
      <t>OS</t>
    </r>
    <r>
      <rPr>
        <b/>
        <sz val="8"/>
        <color theme="1"/>
        <rFont val="Arial"/>
        <family val="2"/>
      </rPr>
      <t xml:space="preserve"> Drift
+/-µV/°C
Max</t>
    </r>
  </si>
  <si>
    <t>INA283</t>
  </si>
  <si>
    <t>INA284</t>
  </si>
  <si>
    <t>INA285</t>
  </si>
  <si>
    <t>INA286</t>
  </si>
  <si>
    <t>INA271</t>
  </si>
  <si>
    <t>Gain Error @ 25°C (max)</t>
  </si>
  <si>
    <t>Gain Error @ 125°C (max)</t>
  </si>
  <si>
    <t>N/A</t>
  </si>
  <si>
    <t>INA302A1</t>
  </si>
  <si>
    <t>INA302A2</t>
  </si>
  <si>
    <t>INA302A3</t>
  </si>
  <si>
    <t>INA303A1</t>
  </si>
  <si>
    <t>INA303A2</t>
  </si>
  <si>
    <t>INA303A3</t>
  </si>
  <si>
    <t>ADC
# of Bits</t>
  </si>
  <si>
    <t>Fastest
Conversion
Time
(µs)</t>
  </si>
  <si>
    <t>INA226</t>
  </si>
  <si>
    <t>INA233</t>
  </si>
  <si>
    <t>I2C, PMBus, SMBus</t>
  </si>
  <si>
    <t>INA230</t>
  </si>
  <si>
    <t>INA231</t>
  </si>
  <si>
    <t>LMP92064</t>
  </si>
  <si>
    <t>SPI</t>
  </si>
  <si>
    <t>INA3221</t>
  </si>
  <si>
    <t>I2C, SMBus</t>
  </si>
  <si>
    <t>Room Temp Calibration</t>
  </si>
  <si>
    <t>Low-Side Capable</t>
  </si>
  <si>
    <t>Bi-directional Capable</t>
  </si>
  <si>
    <t>Max
Gain
Error
@ 25°C</t>
  </si>
  <si>
    <t>Analog Output Specifications</t>
  </si>
  <si>
    <t>INA271-HT</t>
  </si>
  <si>
    <r>
      <t>I</t>
    </r>
    <r>
      <rPr>
        <b/>
        <vertAlign val="subscript"/>
        <sz val="8"/>
        <color theme="1"/>
        <rFont val="Arial"/>
        <family val="2"/>
      </rPr>
      <t>B</t>
    </r>
    <r>
      <rPr>
        <b/>
        <sz val="8"/>
        <color theme="1"/>
        <rFont val="Arial"/>
        <family val="2"/>
      </rPr>
      <t xml:space="preserve">
µA
Typ</t>
    </r>
  </si>
  <si>
    <r>
      <t>I</t>
    </r>
    <r>
      <rPr>
        <b/>
        <vertAlign val="subscript"/>
        <sz val="8"/>
        <color theme="1"/>
        <rFont val="Arial"/>
        <family val="2"/>
      </rPr>
      <t>SD</t>
    </r>
    <r>
      <rPr>
        <b/>
        <sz val="8"/>
        <color theme="1"/>
        <rFont val="Arial"/>
        <family val="2"/>
      </rPr>
      <t xml:space="preserve">
µA
Max</t>
    </r>
  </si>
  <si>
    <t>DC
CMRR
(MIN dB)</t>
  </si>
  <si>
    <t>In-line filter enabled</t>
  </si>
  <si>
    <t>Other
Special
Feature(s)</t>
  </si>
  <si>
    <t>Dual</t>
  </si>
  <si>
    <t>Window</t>
  </si>
  <si>
    <t>Single</t>
  </si>
  <si>
    <t>Digital</t>
  </si>
  <si>
    <t>Maximum
Supply
Voltage
(V)</t>
  </si>
  <si>
    <t>Minimum
Supply
Voltage
(V)</t>
  </si>
  <si>
    <t>INA194</t>
  </si>
  <si>
    <t>INA195</t>
  </si>
  <si>
    <t>INA196</t>
  </si>
  <si>
    <t>INA197</t>
  </si>
  <si>
    <t>INA198</t>
  </si>
  <si>
    <t>LMP8640HV-T</t>
  </si>
  <si>
    <t>LMP8640HV-F</t>
  </si>
  <si>
    <t>LMP8640HV-H</t>
  </si>
  <si>
    <t>INA201</t>
  </si>
  <si>
    <t>INA202</t>
  </si>
  <si>
    <t>INA204</t>
  </si>
  <si>
    <t>INA205</t>
  </si>
  <si>
    <t>INA207</t>
  </si>
  <si>
    <t>INA208</t>
  </si>
  <si>
    <t>INA210A</t>
  </si>
  <si>
    <t>INA210B</t>
  </si>
  <si>
    <t>INA210C</t>
  </si>
  <si>
    <t>INA211A</t>
  </si>
  <si>
    <t>INA211B</t>
  </si>
  <si>
    <t>INA211C</t>
  </si>
  <si>
    <t>INA213A</t>
  </si>
  <si>
    <t>INA213B</t>
  </si>
  <si>
    <t>INA213C</t>
  </si>
  <si>
    <t>INA212A</t>
  </si>
  <si>
    <t>INA212B</t>
  </si>
  <si>
    <t>INA212C</t>
  </si>
  <si>
    <t>INA214A</t>
  </si>
  <si>
    <t>INA214B</t>
  </si>
  <si>
    <t>INA214C</t>
  </si>
  <si>
    <t>INA215A</t>
  </si>
  <si>
    <t>INA215B</t>
  </si>
  <si>
    <t>INA215C</t>
  </si>
  <si>
    <t>ALERT
Function</t>
  </si>
  <si>
    <t>Maximum
Operating
Voltage (V)</t>
  </si>
  <si>
    <t>Minimum
Operating
Voltage (V)</t>
  </si>
  <si>
    <t>Maximum
Survivabilty 
Voltage (V)</t>
  </si>
  <si>
    <t>Minimum
Survivability
Voltage (V)</t>
  </si>
  <si>
    <t>Enh. PWM Rejection</t>
  </si>
  <si>
    <t>Digital Output Specifications</t>
  </si>
  <si>
    <t>Number of ADC Bits</t>
  </si>
  <si>
    <t>Fastest Conversion Time</t>
  </si>
  <si>
    <t>Low-Side capable</t>
  </si>
  <si>
    <t>ALERT Function Included</t>
  </si>
  <si>
    <t>Package(s)</t>
  </si>
  <si>
    <t>Package
Options</t>
  </si>
  <si>
    <r>
      <t>V</t>
    </r>
    <r>
      <rPr>
        <vertAlign val="subscript"/>
        <sz val="8"/>
        <color theme="1"/>
        <rFont val="Arial"/>
        <family val="2"/>
      </rPr>
      <t>OS</t>
    </r>
    <r>
      <rPr>
        <sz val="8"/>
        <color theme="1"/>
        <rFont val="Arial"/>
        <family val="2"/>
      </rPr>
      <t xml:space="preserve"> @ 25°C (max µV)</t>
    </r>
  </si>
  <si>
    <r>
      <t>V</t>
    </r>
    <r>
      <rPr>
        <vertAlign val="subscript"/>
        <sz val="8"/>
        <color theme="1"/>
        <rFont val="Arial"/>
        <family val="2"/>
      </rPr>
      <t>OS</t>
    </r>
    <r>
      <rPr>
        <sz val="8"/>
        <color theme="1"/>
        <rFont val="Arial"/>
        <family val="2"/>
      </rPr>
      <t xml:space="preserve"> Drift  (max µV/°C)</t>
    </r>
  </si>
  <si>
    <r>
      <t>I</t>
    </r>
    <r>
      <rPr>
        <vertAlign val="subscript"/>
        <sz val="8"/>
        <color theme="1"/>
        <rFont val="Arial"/>
        <family val="2"/>
      </rPr>
      <t>Q</t>
    </r>
    <r>
      <rPr>
        <sz val="8"/>
        <color theme="1"/>
        <rFont val="Arial"/>
        <family val="2"/>
      </rPr>
      <t xml:space="preserve"> (max mA)</t>
    </r>
  </si>
  <si>
    <r>
      <t>I</t>
    </r>
    <r>
      <rPr>
        <vertAlign val="subscript"/>
        <sz val="8"/>
        <color theme="1"/>
        <rFont val="Arial"/>
        <family val="2"/>
      </rPr>
      <t>B</t>
    </r>
    <r>
      <rPr>
        <sz val="8"/>
        <color theme="1"/>
        <rFont val="Arial"/>
        <family val="2"/>
      </rPr>
      <t xml:space="preserve"> (typ µA)</t>
    </r>
  </si>
  <si>
    <r>
      <t>I</t>
    </r>
    <r>
      <rPr>
        <vertAlign val="subscript"/>
        <sz val="8"/>
        <color theme="1"/>
        <rFont val="Arial"/>
        <family val="2"/>
      </rPr>
      <t>SD</t>
    </r>
    <r>
      <rPr>
        <sz val="8"/>
        <color theme="1"/>
        <rFont val="Arial"/>
        <family val="2"/>
      </rPr>
      <t xml:space="preserve"> (max µA)</t>
    </r>
  </si>
  <si>
    <t>V/V:</t>
  </si>
  <si>
    <t>SC70 (6)</t>
  </si>
  <si>
    <t>SOT-23 (5)</t>
  </si>
  <si>
    <t>SOT-23 (6)</t>
  </si>
  <si>
    <t>QFN (16)</t>
  </si>
  <si>
    <t>VSSOP (10)</t>
  </si>
  <si>
    <t>TSSOP (8)</t>
  </si>
  <si>
    <t>VSSOP (8)</t>
  </si>
  <si>
    <t>SON (10)</t>
  </si>
  <si>
    <t>SOIC (8)</t>
  </si>
  <si>
    <t>CFP (8)</t>
  </si>
  <si>
    <t>TSSOP (14)</t>
  </si>
  <si>
    <t>DSBGA (12)</t>
  </si>
  <si>
    <t>VQFN (16)</t>
  </si>
  <si>
    <t>WSON (16)</t>
  </si>
  <si>
    <t>TSSOP (16)</t>
  </si>
  <si>
    <t>Other Special Feature(s)</t>
  </si>
  <si>
    <t>Unspec'd Checks</t>
  </si>
  <si>
    <t>VCM MAX</t>
  </si>
  <si>
    <t>VCM MIN</t>
  </si>
  <si>
    <t>MAX Check</t>
  </si>
  <si>
    <t>Min Check</t>
  </si>
  <si>
    <t>VOS @ 25°C (max µV)</t>
  </si>
  <si>
    <t>VOS Drift  (max µV/°C)</t>
  </si>
  <si>
    <t>VOS @ 125°C  (max µV)</t>
  </si>
  <si>
    <t>Voltage range Checks:</t>
  </si>
  <si>
    <t>Supply MAX</t>
  </si>
  <si>
    <t>Supply MIN</t>
  </si>
  <si>
    <t>INA199B1</t>
  </si>
  <si>
    <t>INA199B2</t>
  </si>
  <si>
    <t>INA199B3</t>
  </si>
  <si>
    <t>INA186A1</t>
  </si>
  <si>
    <t>INA186A3</t>
  </si>
  <si>
    <t>INA186A4</t>
  </si>
  <si>
    <t>INA186A5</t>
  </si>
  <si>
    <t>INA186A2</t>
  </si>
  <si>
    <t>INA190A1</t>
  </si>
  <si>
    <t>INA190A2</t>
  </si>
  <si>
    <t>INA190A3</t>
  </si>
  <si>
    <t>INA190A4</t>
  </si>
  <si>
    <t>INA190A5</t>
  </si>
  <si>
    <t>INA199A1</t>
  </si>
  <si>
    <t>INA199A2</t>
  </si>
  <si>
    <t>INA199A3</t>
  </si>
  <si>
    <t>INA199C2</t>
  </si>
  <si>
    <t>INA199C1</t>
  </si>
  <si>
    <t>INA199C3</t>
  </si>
  <si>
    <t>INA240A1</t>
  </si>
  <si>
    <t>INA240A2</t>
  </si>
  <si>
    <t>INA240A3</t>
  </si>
  <si>
    <t>INA240A4</t>
  </si>
  <si>
    <t>INA4181A4 (Low Side)</t>
  </si>
  <si>
    <t>LMP8480-T</t>
  </si>
  <si>
    <t>LMP8480-S</t>
  </si>
  <si>
    <t>LMP8481-T</t>
  </si>
  <si>
    <t>LMP8481-S</t>
  </si>
  <si>
    <t>LMP8481-H</t>
  </si>
  <si>
    <t>LMP8640-T</t>
  </si>
  <si>
    <t>LMP8640-F</t>
  </si>
  <si>
    <t>LMP8640-H</t>
  </si>
  <si>
    <t>Type
Sort
Order</t>
  </si>
  <si>
    <t>INA209 (G=1)</t>
  </si>
  <si>
    <t>INA219A (G=1)</t>
  </si>
  <si>
    <t>INA219B (G=1)</t>
  </si>
  <si>
    <t>INA220A (G=1)</t>
  </si>
  <si>
    <t>INA220B (G=1)</t>
  </si>
  <si>
    <t>INA220-Q1 (G=1)</t>
  </si>
  <si>
    <t>INA209 (G=1/8)</t>
  </si>
  <si>
    <t>INA219A (G=1/8)</t>
  </si>
  <si>
    <t>INA219B (G=1/8)</t>
  </si>
  <si>
    <t>INA220A (G=1/8)</t>
  </si>
  <si>
    <t>INA220B (G=1/8)</t>
  </si>
  <si>
    <t>INA220-Q1 (G=1/8)</t>
  </si>
  <si>
    <t>INA209 (G=1/4)</t>
  </si>
  <si>
    <t>INA219A (G=1/4)</t>
  </si>
  <si>
    <t>INA219B (G=1/4)</t>
  </si>
  <si>
    <t>INA220A (G=1/4)</t>
  </si>
  <si>
    <t>INA220B (G=1/4)</t>
  </si>
  <si>
    <t>INA220-Q1 (G=1/4)</t>
  </si>
  <si>
    <t>INA209 (G=1/2)</t>
  </si>
  <si>
    <t>INA219A (G=1/2)</t>
  </si>
  <si>
    <t>INA219B (G=1/2)</t>
  </si>
  <si>
    <t>INA220A (G=1/2)</t>
  </si>
  <si>
    <t>INA220B (G=1/2)</t>
  </si>
  <si>
    <t>INA220-Q1 (G=1/2)</t>
  </si>
  <si>
    <t>INA191A1</t>
  </si>
  <si>
    <t>INA191A2</t>
  </si>
  <si>
    <t>INA191A3</t>
  </si>
  <si>
    <t>INA191A4</t>
  </si>
  <si>
    <t>INA191A5</t>
  </si>
  <si>
    <t>Device</t>
  </si>
  <si>
    <t>Positive</t>
  </si>
  <si>
    <t>Negative</t>
  </si>
  <si>
    <t>Unidirectional</t>
  </si>
  <si>
    <t>Swing
to
Supply
(V)</t>
  </si>
  <si>
    <t>Maximum Measured Current (A):</t>
  </si>
  <si>
    <t>Minimum Measured Current (A):</t>
  </si>
  <si>
    <t>Nominal Measured Current (A):</t>
  </si>
  <si>
    <t>SOT-563 (6)</t>
  </si>
  <si>
    <t>INA290A1</t>
  </si>
  <si>
    <t>INA290A2</t>
  </si>
  <si>
    <t>INA290A3</t>
  </si>
  <si>
    <t>INA290A4</t>
  </si>
  <si>
    <t>INA290A5</t>
  </si>
  <si>
    <t>INA293x1</t>
  </si>
  <si>
    <t>INA293x2</t>
  </si>
  <si>
    <t>INA293x3</t>
  </si>
  <si>
    <t>INA293x4</t>
  </si>
  <si>
    <t>INA293x5</t>
  </si>
  <si>
    <t>None</t>
  </si>
  <si>
    <t>System Current Conditions</t>
  </si>
  <si>
    <r>
      <t>I</t>
    </r>
    <r>
      <rPr>
        <b/>
        <vertAlign val="subscript"/>
        <sz val="8"/>
        <color theme="1"/>
        <rFont val="Arial"/>
        <family val="2"/>
      </rPr>
      <t>BIAS</t>
    </r>
  </si>
  <si>
    <t>swing</t>
  </si>
  <si>
    <t>digital or analog</t>
  </si>
  <si>
    <r>
      <t>V</t>
    </r>
    <r>
      <rPr>
        <b/>
        <vertAlign val="subscript"/>
        <sz val="8"/>
        <color theme="1"/>
        <rFont val="Arial"/>
        <family val="2"/>
      </rPr>
      <t>SHUNT1</t>
    </r>
  </si>
  <si>
    <r>
      <t>V</t>
    </r>
    <r>
      <rPr>
        <b/>
        <vertAlign val="subscript"/>
        <sz val="8"/>
        <color theme="1"/>
        <rFont val="Arial"/>
        <family val="2"/>
      </rPr>
      <t>SHUNT2</t>
    </r>
  </si>
  <si>
    <r>
      <t>V</t>
    </r>
    <r>
      <rPr>
        <b/>
        <vertAlign val="subscript"/>
        <sz val="8"/>
        <color theme="1"/>
        <rFont val="Arial"/>
        <family val="2"/>
      </rPr>
      <t>SHUNT3</t>
    </r>
  </si>
  <si>
    <r>
      <t>V</t>
    </r>
    <r>
      <rPr>
        <b/>
        <vertAlign val="subscript"/>
        <sz val="8"/>
        <color theme="1"/>
        <rFont val="Arial"/>
        <family val="2"/>
      </rPr>
      <t>SHUNT5</t>
    </r>
  </si>
  <si>
    <r>
      <t>V</t>
    </r>
    <r>
      <rPr>
        <b/>
        <vertAlign val="subscript"/>
        <sz val="8"/>
        <color theme="1"/>
        <rFont val="Arial"/>
        <family val="2"/>
      </rPr>
      <t>SHUNT4</t>
    </r>
  </si>
  <si>
    <t>INA280A1</t>
  </si>
  <si>
    <t>INA280A2</t>
  </si>
  <si>
    <t>INA280A3</t>
  </si>
  <si>
    <t>INA280A4</t>
  </si>
  <si>
    <t>INA280A5</t>
  </si>
  <si>
    <t>INA281x1</t>
  </si>
  <si>
    <t>INA281x2</t>
  </si>
  <si>
    <t>INA281x3</t>
  </si>
  <si>
    <t>INA281x4</t>
  </si>
  <si>
    <t>INA281x5</t>
  </si>
  <si>
    <t>Formatting checks</t>
  </si>
  <si>
    <t>Version Number</t>
  </si>
  <si>
    <t>Version History</t>
  </si>
  <si>
    <t>Version</t>
  </si>
  <si>
    <t>Change List Description</t>
  </si>
  <si>
    <t>Initial Release</t>
  </si>
  <si>
    <t xml:space="preserve">For any futher assistance on this tool, please  post your question in  the following forum Room </t>
  </si>
  <si>
    <t>E2E Current Sensing Forum</t>
  </si>
  <si>
    <t>Getting Started with this tool ?</t>
  </si>
  <si>
    <t>1) Scope</t>
  </si>
  <si>
    <t>Worksheet</t>
  </si>
  <si>
    <t>Description</t>
  </si>
  <si>
    <t>About</t>
  </si>
  <si>
    <t>General information about the calculator.</t>
  </si>
  <si>
    <t>Help</t>
  </si>
  <si>
    <t>How to use the calculator and where to get further support.</t>
  </si>
  <si>
    <t>GPN</t>
  </si>
  <si>
    <t>Comparison</t>
  </si>
  <si>
    <t>Allows the user to select between 2 and 5 of Texas Instruments standard current sense amplifiers</t>
  </si>
  <si>
    <t>The tool will provide a table comparing the selected devices on basic parameters as well</t>
  </si>
  <si>
    <t>as plotting the root-sum-square error based on user-provided system parameters</t>
  </si>
  <si>
    <t>Current Sense Amplifiers Product Overview</t>
  </si>
  <si>
    <t>TI Precision Labs - Current Sense Amplifiers</t>
  </si>
  <si>
    <t>2) Root-Sum-Square (RSS) Error Calculation</t>
  </si>
  <si>
    <r>
      <t>V</t>
    </r>
    <r>
      <rPr>
        <vertAlign val="subscript"/>
        <sz val="10"/>
        <color theme="1"/>
        <rFont val="Arial"/>
        <family val="2"/>
      </rPr>
      <t>OFFSET</t>
    </r>
  </si>
  <si>
    <r>
      <t>VOS</t>
    </r>
    <r>
      <rPr>
        <vertAlign val="subscript"/>
        <sz val="10"/>
        <color theme="1"/>
        <rFont val="Arial"/>
        <family val="2"/>
      </rPr>
      <t>DRIFT</t>
    </r>
  </si>
  <si>
    <r>
      <t>TEMP</t>
    </r>
    <r>
      <rPr>
        <vertAlign val="subscript"/>
        <sz val="10"/>
        <color theme="1"/>
        <rFont val="Arial"/>
        <family val="2"/>
      </rPr>
      <t>INTEREST</t>
    </r>
  </si>
  <si>
    <r>
      <t>TEMP</t>
    </r>
    <r>
      <rPr>
        <vertAlign val="subscript"/>
        <sz val="10"/>
        <color theme="1"/>
        <rFont val="Arial"/>
        <family val="2"/>
      </rPr>
      <t>CAL</t>
    </r>
  </si>
  <si>
    <r>
      <t>V</t>
    </r>
    <r>
      <rPr>
        <vertAlign val="subscript"/>
        <sz val="10"/>
        <color theme="1"/>
        <rFont val="Arial"/>
        <family val="2"/>
      </rPr>
      <t>CM-APPLICATION</t>
    </r>
  </si>
  <si>
    <r>
      <t>V</t>
    </r>
    <r>
      <rPr>
        <vertAlign val="subscript"/>
        <sz val="10"/>
        <color theme="1"/>
        <rFont val="Arial"/>
        <family val="2"/>
      </rPr>
      <t>CM-VOSDATASHEETSPEC</t>
    </r>
  </si>
  <si>
    <r>
      <t>V</t>
    </r>
    <r>
      <rPr>
        <vertAlign val="subscript"/>
        <sz val="10"/>
        <color theme="1"/>
        <rFont val="Arial"/>
        <family val="2"/>
      </rPr>
      <t>S-APPLICATION</t>
    </r>
  </si>
  <si>
    <r>
      <t>V</t>
    </r>
    <r>
      <rPr>
        <vertAlign val="subscript"/>
        <sz val="10"/>
        <color theme="1"/>
        <rFont val="Arial"/>
        <family val="2"/>
      </rPr>
      <t>S-VOSDATASHEETSPEC</t>
    </r>
  </si>
  <si>
    <r>
      <t>AMP</t>
    </r>
    <r>
      <rPr>
        <vertAlign val="subscript"/>
        <sz val="10"/>
        <color theme="1"/>
        <rFont val="Arial"/>
        <family val="2"/>
      </rPr>
      <t>GAIN-ERR%</t>
    </r>
  </si>
  <si>
    <r>
      <t>AMP</t>
    </r>
    <r>
      <rPr>
        <vertAlign val="subscript"/>
        <sz val="10"/>
        <color theme="1"/>
        <rFont val="Arial"/>
        <family val="2"/>
      </rPr>
      <t>GAIN-ERR-DRIFT</t>
    </r>
  </si>
  <si>
    <r>
      <t>SHUNT</t>
    </r>
    <r>
      <rPr>
        <vertAlign val="subscript"/>
        <sz val="10"/>
        <color theme="1"/>
        <rFont val="Arial"/>
        <family val="2"/>
      </rPr>
      <t>TOLERANCE%</t>
    </r>
  </si>
  <si>
    <r>
      <t>SHUNT</t>
    </r>
    <r>
      <rPr>
        <vertAlign val="subscript"/>
        <sz val="10"/>
        <color theme="1"/>
        <rFont val="Arial"/>
        <family val="2"/>
      </rPr>
      <t>TEMPCO</t>
    </r>
  </si>
  <si>
    <t>Temperature (in °C) for which you want to calculate error</t>
  </si>
  <si>
    <t>Temperature (in °C) for which data sheet parameters are specified or for which calibration is performed - in this tool this is always 25°C.</t>
  </si>
  <si>
    <t>Gain error for the current sense amplifer, usually specifed at 25°C in %.</t>
  </si>
  <si>
    <t>Drift of the gain error for the current sense amplifer, usualy in ppm/°C</t>
  </si>
  <si>
    <t>Common mode rejection ratio for the current sense amplifier usually in dB that is converted to µV/V by the tool</t>
  </si>
  <si>
    <t>Power supply rejection ratio for the current sense amplifier usually in dB that is converted to µV/V by the tool</t>
  </si>
  <si>
    <t>Temperature coefficient (drift) of the shunt resistor tolerance, usualy in ppm/°C</t>
  </si>
  <si>
    <t>Error</t>
  </si>
  <si>
    <t>Other
Qualified
Options</t>
  </si>
  <si>
    <t>AEC-Q100 Grd 1</t>
  </si>
  <si>
    <t>AEC-Q100 Grd 1
Enhanced Product</t>
  </si>
  <si>
    <t>Additional Qualified Options:</t>
  </si>
  <si>
    <t>UQFN (10)
SC-70 (6)
SOT23 (8)</t>
  </si>
  <si>
    <t>UQFN (10)
SC70 (6)</t>
  </si>
  <si>
    <t>VSSOP (8)
SOIC (8)</t>
  </si>
  <si>
    <t>DSBGA (4)
UQFN (10)</t>
  </si>
  <si>
    <t>SOT-23 (8)
SOIC (8)</t>
  </si>
  <si>
    <t>TSSOP (8)
SOIC (8)</t>
  </si>
  <si>
    <t>CGW (8)
CFP (8)
KGD</t>
  </si>
  <si>
    <t>WSON (8)
VSSOP (10)</t>
  </si>
  <si>
    <t>ENABLE Pin
ultra-low IB</t>
  </si>
  <si>
    <t>Energy Accumulator
Local Temp Sensor
1.8V I2C</t>
  </si>
  <si>
    <t>Energy Accumulator
1.8V I2C</t>
  </si>
  <si>
    <t>Local Temp Sensor
1.8V I2C</t>
  </si>
  <si>
    <t>Simultaneous Sampling
Bus &amp; Shunt ADCs</t>
  </si>
  <si>
    <t>Digital Interface Options</t>
  </si>
  <si>
    <t>Gain (V/V)</t>
  </si>
  <si>
    <r>
      <t>Operational V</t>
    </r>
    <r>
      <rPr>
        <vertAlign val="subscript"/>
        <sz val="8"/>
        <color theme="1"/>
        <rFont val="Arial"/>
        <family val="2"/>
      </rPr>
      <t>CM</t>
    </r>
    <r>
      <rPr>
        <sz val="8"/>
        <color theme="1"/>
        <rFont val="Arial"/>
        <family val="2"/>
      </rPr>
      <t xml:space="preserve"> Range</t>
    </r>
  </si>
  <si>
    <r>
      <t>Surviving V</t>
    </r>
    <r>
      <rPr>
        <vertAlign val="subscript"/>
        <sz val="8"/>
        <color theme="1"/>
        <rFont val="Arial"/>
        <family val="2"/>
      </rPr>
      <t>CM</t>
    </r>
    <r>
      <rPr>
        <sz val="8"/>
        <color theme="1"/>
        <rFont val="Arial"/>
        <family val="2"/>
      </rPr>
      <t xml:space="preserve"> Range</t>
    </r>
  </si>
  <si>
    <t>Supply Voltage Range</t>
  </si>
  <si>
    <t>Shunt Value  (mΩ) used for calculations</t>
  </si>
  <si>
    <t>There are comments on each input field to help guide you.</t>
  </si>
  <si>
    <t>xx</t>
  </si>
  <si>
    <t xml:space="preserve">Data is entered or chosen in the yellow fields                 </t>
  </si>
  <si>
    <t>4) Review the product datasheets:</t>
  </si>
  <si>
    <t>5) There is a TI Precision Labs Video Currculum for Current sense Amplfiers</t>
  </si>
  <si>
    <t>TI Precision Labs - Current Sense Amplifiers: How to Choose a Shunt Resistor</t>
  </si>
  <si>
    <t xml:space="preserve">
For more on sizing your shunt resistor, see our video:
</t>
  </si>
  <si>
    <t>Tolerance (error) of the shunt resistor, usually specifed at 25°C in %.</t>
  </si>
  <si>
    <t>The worst case possible error would occur when all error sources are simultaneously at their worst.  This is a statistically unlikely occurance, therefore RSS error is what we calculate based on the following formula(s):</t>
  </si>
  <si>
    <t>INA240-SEP</t>
  </si>
  <si>
    <t>Space Enhanced Product
TID 20krad
Enh. PWM Rejection</t>
  </si>
  <si>
    <t>INA901-SP</t>
  </si>
  <si>
    <t>Space Enhanced Product:
50krad RHA
In-line filter enabled</t>
  </si>
  <si>
    <t>Additional Information</t>
  </si>
  <si>
    <t>Calculated Shunt Resistor (mΩ)</t>
  </si>
  <si>
    <t>The tool provides an easy way to compare up to 5 of Texas Instruments current sense amplifers and calculate the RSS error based on the devices selected and user-input system level parameters.</t>
  </si>
  <si>
    <t>Referred to input offset specification of the current sense amplifier, usually in µV or mV</t>
  </si>
  <si>
    <t>Current sense amplifier offset drift, usually in µV/°C</t>
  </si>
  <si>
    <t>Common mode voltage that the current sense amplifier inputs pins will see.  Note that the error tool assumes a non-switching VCM.</t>
  </si>
  <si>
    <t>Common mode voltage that offset is specified at in the data sheet for the selected current sense amplifier.</t>
  </si>
  <si>
    <t>Supply voltage for the current sense amplifier</t>
  </si>
  <si>
    <t>Supply voltage that offset is specified at in the data sheet for the selected current sense amplifier.</t>
  </si>
  <si>
    <t>The following error factors are not included in this analysis: Reference Voltage Rejection, Linearity, Input Filter Effects, Output Filter Effects, Bandwidth.  Individual data sheets will address these additional error terms.
In addition, contact TI in the E2E Current Sensing Forum shown above for additional help with error calculations.</t>
  </si>
  <si>
    <t>In this tool, the Calclulated Shunt Resistor is based on the full-scale input volatge diviced by the user-entered Maximum Measured Current.
For the digital power monitors, the full scale input range is defined in the data sheet - for example, here it is in the INA226:</t>
  </si>
  <si>
    <t xml:space="preserve">The actual shunt value implemented should be less than the ideal calculated value to insure that under parametric variation from resistor to resistor and device to device that you do not enter saturation.
</t>
  </si>
  <si>
    <t xml:space="preserve">For the analog output devices, the tool will calculate the full scale input range based on the entered Supply Voltage minus the swing to supply value from the device data sheet divided by the gain for the chosen device.
Note that this method works for all of the devices inlcuded in  this tool;
however there are some devices this methodology will not work for.
Note that uni-directional measurement is assumed for the
bi-directional capable devices. </t>
  </si>
  <si>
    <t>Bi-directional?</t>
  </si>
  <si>
    <r>
      <t>V</t>
    </r>
    <r>
      <rPr>
        <b/>
        <vertAlign val="subscript"/>
        <sz val="8"/>
        <color theme="1"/>
        <rFont val="Arial"/>
        <family val="2"/>
      </rPr>
      <t>CM</t>
    </r>
    <r>
      <rPr>
        <b/>
        <sz val="8"/>
        <color theme="1"/>
        <rFont val="Arial"/>
        <family val="2"/>
      </rPr>
      <t xml:space="preserve">
for
V</t>
    </r>
    <r>
      <rPr>
        <b/>
        <vertAlign val="subscript"/>
        <sz val="8"/>
        <color theme="1"/>
        <rFont val="Arial"/>
        <family val="2"/>
      </rPr>
      <t>OS</t>
    </r>
  </si>
  <si>
    <r>
      <t>V</t>
    </r>
    <r>
      <rPr>
        <b/>
        <vertAlign val="subscript"/>
        <sz val="8"/>
        <color theme="1"/>
        <rFont val="Arial"/>
        <family val="2"/>
      </rPr>
      <t>S</t>
    </r>
    <r>
      <rPr>
        <b/>
        <sz val="8"/>
        <color theme="1"/>
        <rFont val="Arial"/>
        <family val="2"/>
      </rPr>
      <t xml:space="preserve">
for
V</t>
    </r>
    <r>
      <rPr>
        <b/>
        <vertAlign val="subscript"/>
        <sz val="8"/>
        <color theme="1"/>
        <rFont val="Arial"/>
        <family val="2"/>
      </rPr>
      <t>OS</t>
    </r>
  </si>
  <si>
    <t>Two Int. Comparators</t>
  </si>
  <si>
    <t>Int. Window Comparator</t>
  </si>
  <si>
    <t>Analog Comparator</t>
  </si>
  <si>
    <t>Int. Comparator</t>
  </si>
  <si>
    <r>
      <t>V</t>
    </r>
    <r>
      <rPr>
        <vertAlign val="subscript"/>
        <sz val="8"/>
        <rFont val="Arial"/>
        <family val="2"/>
      </rPr>
      <t>S</t>
    </r>
    <r>
      <rPr>
        <sz val="8"/>
        <rFont val="Arial"/>
        <family val="2"/>
      </rPr>
      <t xml:space="preserve"> = V</t>
    </r>
    <r>
      <rPr>
        <vertAlign val="subscript"/>
        <sz val="8"/>
        <rFont val="Arial"/>
        <family val="2"/>
      </rPr>
      <t>IN+</t>
    </r>
  </si>
  <si>
    <t>VSSOP (8)
WSON (8)</t>
  </si>
  <si>
    <t>VSSOP (10)
WSON (10)</t>
  </si>
  <si>
    <t>TSSOP (20)</t>
  </si>
  <si>
    <t>VSSOP (10)
TSSOP (14)
SOIC (14)</t>
  </si>
  <si>
    <t>VSSOP (10)
SOIC (14)</t>
  </si>
  <si>
    <t>VSSOP (10)
TSSOP (14)</t>
  </si>
  <si>
    <t>Select from 2 to 5 devices to compare and then hit the "Refresh" button.</t>
  </si>
  <si>
    <t>Local Temp Sensor</t>
  </si>
  <si>
    <t>Energy Accumulator
Local Temp Sensor</t>
  </si>
  <si>
    <t>Maximum Shunt and Error calculations</t>
  </si>
  <si>
    <t>Use Maximum Calculated Shunt?</t>
  </si>
  <si>
    <t>3) Maximum Calculated Shunt Restor Value:</t>
  </si>
  <si>
    <r>
      <t>I</t>
    </r>
    <r>
      <rPr>
        <vertAlign val="subscript"/>
        <sz val="10"/>
        <color theme="1"/>
        <rFont val="Arial"/>
        <family val="2"/>
      </rPr>
      <t>BIAS</t>
    </r>
  </si>
  <si>
    <t>Device bias current into the input pins usually in µA or nA</t>
  </si>
  <si>
    <t>INA2290A1</t>
  </si>
  <si>
    <t>INA2290A2</t>
  </si>
  <si>
    <t>INA2290A3</t>
  </si>
  <si>
    <t>INA2290A4</t>
  </si>
  <si>
    <t>INA2290A5</t>
  </si>
  <si>
    <t>Dual Channel</t>
  </si>
  <si>
    <t>Quad Channel</t>
  </si>
  <si>
    <t>Triple Channel</t>
  </si>
  <si>
    <t>INA381A1 (High side)</t>
  </si>
  <si>
    <t>INA381A2 (High side)</t>
  </si>
  <si>
    <t>INA381A3 (High side)</t>
  </si>
  <si>
    <t>INA381A4 (High side)</t>
  </si>
  <si>
    <t>INA180x1 (High side)</t>
  </si>
  <si>
    <t>INA180x2 (High side)</t>
  </si>
  <si>
    <t>INA180x3 (High side)</t>
  </si>
  <si>
    <t>INA180x4 (High side)</t>
  </si>
  <si>
    <t>INA181A1 (High side)</t>
  </si>
  <si>
    <t>INA181A2 (High side)</t>
  </si>
  <si>
    <t>INA181A3 (High side)</t>
  </si>
  <si>
    <t>INA181A4 (High side)</t>
  </si>
  <si>
    <t>INA185A1 (High side)</t>
  </si>
  <si>
    <t>INA185A2 (High side)</t>
  </si>
  <si>
    <t>INA185A3 (High side)</t>
  </si>
  <si>
    <t>INA185A4 (High side)</t>
  </si>
  <si>
    <t>INA2180A1 (High side)</t>
  </si>
  <si>
    <t>INA2180A2 (High side)</t>
  </si>
  <si>
    <t>INA2180A3 (High side)</t>
  </si>
  <si>
    <t>INA2180A4 (High side)</t>
  </si>
  <si>
    <t>INA2181A1 (High side)</t>
  </si>
  <si>
    <t>INA2181A2 (High side)</t>
  </si>
  <si>
    <t>INA2181A3 (High side)</t>
  </si>
  <si>
    <t>INA2181A4 (High side)</t>
  </si>
  <si>
    <t>INA4180A1 (High side)</t>
  </si>
  <si>
    <t>INA4180A2 (High side)</t>
  </si>
  <si>
    <t>INA4180A3 (High side)</t>
  </si>
  <si>
    <t>INA4180A4 (High side)</t>
  </si>
  <si>
    <t>INA4181A1 (High side)</t>
  </si>
  <si>
    <t>INA4181A2 (High side)</t>
  </si>
  <si>
    <t>INA4181A3 (High side)</t>
  </si>
  <si>
    <t>INA4181A4 (High side)</t>
  </si>
  <si>
    <t>INA180x1 (Low side)</t>
  </si>
  <si>
    <t>INA180x2 (Low side)</t>
  </si>
  <si>
    <t>INA180x3 (Low side)</t>
  </si>
  <si>
    <t>INA180x4 (Low side)</t>
  </si>
  <si>
    <t>INA181A1 (Low side)</t>
  </si>
  <si>
    <t>INA181A2 (Low side)</t>
  </si>
  <si>
    <t>INA181A3 (Low side)</t>
  </si>
  <si>
    <t>INA181A4 (Low side)</t>
  </si>
  <si>
    <t>INA185A1 (Low side)</t>
  </si>
  <si>
    <t>INA185A2 (Low side)</t>
  </si>
  <si>
    <t>INA185A3 (Low side)</t>
  </si>
  <si>
    <t>INA185A4 (Low side)</t>
  </si>
  <si>
    <t>INA2180A1 (Low side)</t>
  </si>
  <si>
    <t>INA2180A2 (Low side)</t>
  </si>
  <si>
    <t>INA2180A3 (Low side)</t>
  </si>
  <si>
    <t>INA2180A4 (Low side)</t>
  </si>
  <si>
    <t>INA2181A1 (Low side)</t>
  </si>
  <si>
    <t>INA2181A2 (Low side)</t>
  </si>
  <si>
    <t>INA2181A3 (Low side)</t>
  </si>
  <si>
    <t>INA2181A4 (Low side)</t>
  </si>
  <si>
    <t>INA381A1 (Low side)</t>
  </si>
  <si>
    <t>INA381A2 (Low side)</t>
  </si>
  <si>
    <t>INA381A3 (Low side)</t>
  </si>
  <si>
    <t>INA381A4 (Low side)</t>
  </si>
  <si>
    <t>INA4180A1 (Low side)</t>
  </si>
  <si>
    <t>INA4180A2 (Low side)</t>
  </si>
  <si>
    <t>INA4180A3 (Low side)</t>
  </si>
  <si>
    <t>INA4180A4 (Low side)</t>
  </si>
  <si>
    <t>INA4181A1 (Low side)</t>
  </si>
  <si>
    <t>INA4181A2 (Low side)</t>
  </si>
  <si>
    <t>INA4181A3 (Low side)</t>
  </si>
  <si>
    <t>INA228</t>
  </si>
  <si>
    <t>INA229</t>
  </si>
  <si>
    <t>INA237</t>
  </si>
  <si>
    <t>INA238</t>
  </si>
  <si>
    <t>INA239</t>
  </si>
  <si>
    <t>INA183A2</t>
  </si>
  <si>
    <t>INA183A3</t>
  </si>
  <si>
    <t>INA183A1</t>
  </si>
  <si>
    <t>INA2191A1</t>
  </si>
  <si>
    <t>INA2191A2</t>
  </si>
  <si>
    <t>INA2191A3</t>
  </si>
  <si>
    <t>INA2191A4</t>
  </si>
  <si>
    <t>INA2191A5</t>
  </si>
  <si>
    <r>
      <rPr>
        <b/>
        <i/>
        <sz val="8"/>
        <color theme="1"/>
        <rFont val="Arial"/>
        <family val="2"/>
      </rPr>
      <t xml:space="preserve">Use the drop down to select the devices you want to compare.
</t>
    </r>
    <r>
      <rPr>
        <sz val="8"/>
        <color theme="1"/>
        <rFont val="Arial"/>
        <family val="2"/>
      </rPr>
      <t xml:space="preserve">
For many devices, parameters change with gain, so you must choose the appropriate option.
In addition, a few devices have different specifications in low-side vs. high-side applications.</t>
    </r>
  </si>
  <si>
    <t>←</t>
  </si>
  <si>
    <t>Enter the value for the supply voltage for the current sense amplifier.</t>
  </si>
  <si>
    <t>Enter the value of the common mode signal at the inputs pins. If a low-side, enter 0.</t>
  </si>
  <si>
    <t>If you choose Yes, a simple two-point room temp calibration is assumed</t>
  </si>
  <si>
    <t>Enter the temperature for a second curve for each device; the first curve is 25°C</t>
  </si>
  <si>
    <t>Enter the maximum linear current to be measured.</t>
  </si>
  <si>
    <t>Enter the typical current value to calculate the typical RSS error shown in the table.</t>
  </si>
  <si>
    <t>Enter the minimum current value to be measured</t>
  </si>
  <si>
    <t>Determines if entered or calculated shunt value is used for calculations &amp; curves</t>
  </si>
  <si>
    <t>Enter the planned Shunt Resistor in mΩ.</t>
  </si>
  <si>
    <t xml:space="preserve">Enter the tolerance for the shunt resistor. </t>
  </si>
  <si>
    <t>Enter the temperature coefficient (drift) for the shunt resistor.</t>
  </si>
  <si>
    <t>Mouse over red triangles for additional information</t>
  </si>
  <si>
    <t>▼</t>
  </si>
  <si>
    <t>-40°C to 125°C</t>
  </si>
  <si>
    <t>-40°C to 125°C
EP: -55 to 125</t>
  </si>
  <si>
    <t>-40°C to 105°C</t>
  </si>
  <si>
    <t>-55°C to 125°C</t>
  </si>
  <si>
    <t>-55°C to 210°C</t>
  </si>
  <si>
    <t>SC70 (6)
SOT-23 (5)
SOT-23 (8)
DSBGA (6)</t>
  </si>
  <si>
    <t>DSBGA (6)</t>
  </si>
  <si>
    <t>INA4290A1</t>
  </si>
  <si>
    <t>INA4290A2</t>
  </si>
  <si>
    <t>INA4290A3</t>
  </si>
  <si>
    <t>INA4290A4</t>
  </si>
  <si>
    <t>INA4290A5</t>
  </si>
  <si>
    <t>SC70 (5)</t>
  </si>
  <si>
    <t>QFN (16)
VSSOP (10)</t>
  </si>
  <si>
    <t>INA234 (FS=80)</t>
  </si>
  <si>
    <t>DSBGA (8)</t>
  </si>
  <si>
    <t>INA234 (FS=20)</t>
  </si>
  <si>
    <t>INA236 (FS=80)</t>
  </si>
  <si>
    <t>INA236 (FS=20)</t>
  </si>
  <si>
    <t>AEC-Q100 Grd 1
AEC-Q100 Grd 0</t>
  </si>
  <si>
    <t>-40°C to 125°C
G0: -40°C to 150°C</t>
  </si>
  <si>
    <t>LMP8278Q-Q1</t>
  </si>
  <si>
    <t>2..5</t>
  </si>
  <si>
    <t>TI Parametric</t>
  </si>
  <si>
    <t>Selection</t>
  </si>
  <si>
    <t>for each gain option of the products this tool supports.</t>
  </si>
  <si>
    <t>In-line filter enabled
High Temp Support
KGD Avail.</t>
  </si>
  <si>
    <t>Pin Selectable Gain</t>
  </si>
  <si>
    <t>Analog Power
I2C Selectable Gain
Shutdown</t>
  </si>
  <si>
    <t>INA296A1</t>
  </si>
  <si>
    <t>INA296B1</t>
  </si>
  <si>
    <t>INA296B2</t>
  </si>
  <si>
    <t>INA296B3</t>
  </si>
  <si>
    <t>INA296B4</t>
  </si>
  <si>
    <t>INA296B5</t>
  </si>
  <si>
    <t>INA296A2</t>
  </si>
  <si>
    <t>INA296A3</t>
  </si>
  <si>
    <t>INA296A4</t>
  </si>
  <si>
    <t>INA296A5</t>
  </si>
  <si>
    <t>INA241A1</t>
  </si>
  <si>
    <t>INA241A2</t>
  </si>
  <si>
    <t>INA241A3</t>
  </si>
  <si>
    <t>INA241A4</t>
  </si>
  <si>
    <t>INA241A5</t>
  </si>
  <si>
    <t>INA241B1</t>
  </si>
  <si>
    <t>INA241B2</t>
  </si>
  <si>
    <t>INA241B3</t>
  </si>
  <si>
    <t>INA241B4</t>
  </si>
  <si>
    <t>INA241B5</t>
  </si>
  <si>
    <t>Expanded parametric selection table listing the key accuracy and performance parameters</t>
  </si>
  <si>
    <t>SOT-23 (8)
MSOP (8)</t>
  </si>
  <si>
    <t>AEC-Q100 Grade 1</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</si>
</sst>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9">
    <numFmt numFmtId="164" formatCode="_(&quot;$&quot;* #,##0.00_);_(&quot;$&quot;* \(#,##0.00\);_(&quot;$&quot;* &quot;-&quot;??_);_(@_)"/>
    <numFmt numFmtId="165" formatCode="_(* #,##0.00_);_(* \(#,##0.00\);_(* &quot;-&quot;??_);_(@_)"/>
    <numFmt numFmtId="166" formatCode="&quot;$&quot;#,##0.00"/>
    <numFmt numFmtId="167" formatCode="0.000%"/>
    <numFmt numFmtId="168" formatCode="0.0"/>
    <numFmt numFmtId="169" formatCode="&quot;$&quot;#,##0.000"/>
    <numFmt numFmtId="170" formatCode="[$$-C09]#,##0"/>
    <numFmt numFmtId="171" formatCode="0.000"/>
    <numFmt numFmtId="172" formatCode="0E+00"/>
  </numFmts>
  <fonts count="74">
    <font>
      <sz val="11"/>
      <color theme="1"/>
      <name val="Calibri"/>
      <family val="2"/>
      <scheme val="minor"/>
    </font>
    <font>
      <sz val="10"/>
      <color theme="1"/>
      <name val="Arial"/>
      <family val="2"/>
    </font>
    <font>
      <sz val="10"/>
      <color theme="1"/>
      <name val="Arial"/>
      <family val="2"/>
    </font>
    <font>
      <sz val="10"/>
      <color theme="1"/>
      <name val="Arial"/>
      <family val="2"/>
    </font>
    <font>
      <sz val="10"/>
      <color theme="1"/>
      <name val="Arial"/>
      <family val="2"/>
    </font>
    <font>
      <sz val="10"/>
      <color theme="1"/>
      <name val="Arial"/>
      <family val="2"/>
    </font>
    <font>
      <sz val="10"/>
      <color theme="1"/>
      <name val="Arial"/>
      <family val="2"/>
    </font>
    <font>
      <sz val="10"/>
      <color theme="1"/>
      <name val="Arial"/>
      <family val="2"/>
    </font>
    <font>
      <sz val="10"/>
      <color theme="1"/>
      <name val="Arial"/>
      <family val="2"/>
    </font>
    <font>
      <sz val="10"/>
      <color theme="1"/>
      <name val="Arial"/>
      <family val="2"/>
    </font>
    <font>
      <sz val="11"/>
      <color theme="1"/>
      <name val="Calibri"/>
      <family val="2"/>
      <scheme val="minor"/>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b/>
      <sz val="12"/>
      <color theme="0"/>
      <name val="Arial"/>
      <family val="2"/>
    </font>
    <font>
      <b/>
      <sz val="8"/>
      <color theme="1"/>
      <name val="Arial"/>
      <family val="2"/>
    </font>
    <font>
      <b/>
      <vertAlign val="subscript"/>
      <sz val="8"/>
      <color theme="1"/>
      <name val="Arial"/>
      <family val="2"/>
    </font>
    <font>
      <sz val="8"/>
      <color theme="1"/>
      <name val="Arial"/>
      <family val="2"/>
    </font>
    <font>
      <b/>
      <i/>
      <sz val="8"/>
      <color theme="1"/>
      <name val="Arial"/>
      <family val="2"/>
    </font>
    <font>
      <sz val="8"/>
      <name val="Arial"/>
      <family val="2"/>
    </font>
    <font>
      <b/>
      <sz val="9"/>
      <color indexed="81"/>
      <name val="Tahoma"/>
      <family val="2"/>
    </font>
    <font>
      <sz val="8"/>
      <color theme="0"/>
      <name val="Arial"/>
      <family val="2"/>
    </font>
    <font>
      <u/>
      <sz val="11"/>
      <color theme="10"/>
      <name val="Calibri"/>
      <family val="2"/>
      <scheme val="minor"/>
    </font>
    <font>
      <b/>
      <sz val="8"/>
      <color theme="0"/>
      <name val="Arial"/>
      <family val="2"/>
    </font>
    <font>
      <vertAlign val="subscript"/>
      <sz val="8"/>
      <color theme="1"/>
      <name val="Arial"/>
      <family val="2"/>
    </font>
    <font>
      <sz val="12"/>
      <color theme="1"/>
      <name val="Arial Narrow"/>
      <family val="2"/>
    </font>
    <font>
      <sz val="10"/>
      <name val="Calibri"/>
      <family val="2"/>
      <scheme val="minor"/>
    </font>
    <font>
      <sz val="11"/>
      <color indexed="8"/>
      <name val="Calibri"/>
      <family val="2"/>
      <scheme val="minor"/>
    </font>
    <font>
      <sz val="11"/>
      <color theme="1"/>
      <name val="Calibri"/>
      <family val="2"/>
      <charset val="134"/>
      <scheme val="minor"/>
    </font>
    <font>
      <sz val="10"/>
      <color theme="0" tint="-4.9989318521683403E-2"/>
      <name val="Calibri"/>
      <family val="2"/>
      <scheme val="minor"/>
    </font>
    <font>
      <sz val="11"/>
      <color indexed="8"/>
      <name val="Tahoma"/>
      <family val="2"/>
    </font>
    <font>
      <sz val="11"/>
      <color indexed="9"/>
      <name val="Tahoma"/>
      <family val="2"/>
    </font>
    <font>
      <sz val="10"/>
      <name val="Arial"/>
      <family val="2"/>
    </font>
    <font>
      <b/>
      <sz val="11"/>
      <color indexed="8"/>
      <name val="Tahoma"/>
      <family val="2"/>
    </font>
    <font>
      <u/>
      <sz val="10"/>
      <color indexed="12"/>
      <name val="Arial"/>
      <family val="2"/>
    </font>
    <font>
      <b/>
      <sz val="18"/>
      <color indexed="62"/>
      <name val="Cambria"/>
      <family val="2"/>
    </font>
    <font>
      <b/>
      <u/>
      <sz val="8"/>
      <color theme="10"/>
      <name val="Arial"/>
      <family val="2"/>
    </font>
    <font>
      <sz val="8"/>
      <color theme="1"/>
      <name val="Wingdings"/>
      <charset val="2"/>
    </font>
    <font>
      <b/>
      <i/>
      <sz val="8"/>
      <color theme="0"/>
      <name val="Arial"/>
      <family val="2"/>
    </font>
    <font>
      <sz val="10"/>
      <name val="Arial"/>
      <family val="2"/>
    </font>
    <font>
      <sz val="11"/>
      <name val="Calibri"/>
      <family val="2"/>
    </font>
    <font>
      <b/>
      <sz val="18"/>
      <color theme="1"/>
      <name val="Arial"/>
      <family val="2"/>
    </font>
    <font>
      <sz val="8"/>
      <name val="Arial"/>
      <family val="2"/>
    </font>
    <font>
      <sz val="8"/>
      <color rgb="FF0000FF"/>
      <name val="Arial"/>
      <family val="2"/>
    </font>
    <font>
      <sz val="11"/>
      <color theme="1"/>
      <name val="Arial"/>
      <family val="2"/>
    </font>
    <font>
      <vertAlign val="subscript"/>
      <sz val="10"/>
      <color theme="1"/>
      <name val="Arial"/>
      <family val="2"/>
    </font>
    <font>
      <sz val="12"/>
      <color theme="1"/>
      <name val="Arial"/>
      <family val="2"/>
    </font>
    <font>
      <b/>
      <sz val="12"/>
      <color theme="1"/>
      <name val="Arial"/>
      <family val="2"/>
    </font>
    <font>
      <u/>
      <sz val="14"/>
      <color theme="10"/>
      <name val="Arial"/>
      <family val="2"/>
    </font>
    <font>
      <sz val="14"/>
      <color theme="1"/>
      <name val="Arial"/>
      <family val="2"/>
    </font>
    <font>
      <b/>
      <sz val="14"/>
      <color rgb="FF000000"/>
      <name val="Arial"/>
      <family val="2"/>
    </font>
    <font>
      <u/>
      <sz val="14"/>
      <color rgb="FF0000FF"/>
      <name val="Arial"/>
      <family val="2"/>
    </font>
    <font>
      <b/>
      <sz val="14"/>
      <color theme="1"/>
      <name val="Arial"/>
      <family val="2"/>
    </font>
    <font>
      <b/>
      <sz val="8"/>
      <color rgb="FFFF0000"/>
      <name val="Arial"/>
      <family val="2"/>
    </font>
    <font>
      <b/>
      <sz val="8"/>
      <name val="Arial"/>
      <family val="2"/>
    </font>
    <font>
      <sz val="9"/>
      <color indexed="81"/>
      <name val="Tahoma"/>
      <family val="2"/>
    </font>
    <font>
      <u/>
      <sz val="12"/>
      <color theme="10"/>
      <name val="Arial"/>
      <family val="2"/>
    </font>
    <font>
      <vertAlign val="subscript"/>
      <sz val="8"/>
      <name val="Arial"/>
      <family val="2"/>
    </font>
    <font>
      <sz val="8"/>
      <name val="Arial"/>
      <family val="2"/>
    </font>
    <font>
      <sz val="12"/>
      <color theme="0"/>
      <name val="Arial"/>
      <family val="2"/>
    </font>
    <font>
      <b/>
      <i/>
      <sz val="8"/>
      <color rgb="FFFF0000"/>
      <name val="Arial"/>
      <family val="2"/>
    </font>
  </fonts>
  <fills count="61">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6" tint="0.59999389629810485"/>
        <bgColor indexed="64"/>
      </patternFill>
    </fill>
    <fill>
      <patternFill patternType="solid">
        <fgColor rgb="FFFF0000"/>
        <bgColor indexed="64"/>
      </patternFill>
    </fill>
    <fill>
      <patternFill patternType="solid">
        <fgColor theme="0" tint="-0.14999847407452621"/>
        <bgColor indexed="64"/>
      </patternFill>
    </fill>
    <fill>
      <patternFill patternType="solid">
        <fgColor rgb="FFFFFF00"/>
        <bgColor indexed="64"/>
      </patternFill>
    </fill>
    <fill>
      <patternFill patternType="solid">
        <fgColor theme="0" tint="-0.34998626667073579"/>
        <bgColor indexed="64"/>
      </patternFill>
    </fill>
    <fill>
      <patternFill patternType="solid">
        <fgColor theme="1"/>
        <bgColor indexed="64"/>
      </patternFill>
    </fill>
    <fill>
      <patternFill patternType="solid">
        <fgColor theme="0" tint="-0.499984740745262"/>
        <bgColor indexed="64"/>
      </patternFill>
    </fill>
    <fill>
      <patternFill patternType="solid">
        <fgColor rgb="FF00B0F0"/>
        <bgColor indexed="64"/>
      </patternFill>
    </fill>
    <fill>
      <patternFill patternType="solid">
        <fgColor theme="7" tint="0.39997558519241921"/>
        <bgColor indexed="64"/>
      </patternFill>
    </fill>
    <fill>
      <patternFill patternType="solid">
        <fgColor rgb="FF00B050"/>
        <bgColor indexed="64"/>
      </patternFill>
    </fill>
    <fill>
      <patternFill patternType="solid">
        <fgColor theme="4" tint="0.39994506668294322"/>
        <bgColor indexed="64"/>
      </patternFill>
    </fill>
    <fill>
      <patternFill patternType="solid">
        <fgColor rgb="FFC00000"/>
        <bgColor indexed="64"/>
      </patternFill>
    </fill>
    <fill>
      <patternFill patternType="solid">
        <fgColor indexed="31"/>
        <bgColor indexed="31"/>
      </patternFill>
    </fill>
    <fill>
      <patternFill patternType="solid">
        <fgColor indexed="44"/>
        <bgColor indexed="44"/>
      </patternFill>
    </fill>
    <fill>
      <patternFill patternType="solid">
        <fgColor indexed="26"/>
        <bgColor indexed="26"/>
      </patternFill>
    </fill>
    <fill>
      <patternFill patternType="solid">
        <fgColor indexed="22"/>
        <bgColor indexed="22"/>
      </patternFill>
    </fill>
    <fill>
      <patternFill patternType="solid">
        <fgColor indexed="55"/>
        <bgColor indexed="55"/>
      </patternFill>
    </fill>
    <fill>
      <patternFill patternType="solid">
        <fgColor indexed="42"/>
        <bgColor indexed="42"/>
      </patternFill>
    </fill>
    <fill>
      <patternFill patternType="solid">
        <fgColor indexed="27"/>
        <bgColor indexed="27"/>
      </patternFill>
    </fill>
    <fill>
      <patternFill patternType="solid">
        <fgColor indexed="47"/>
        <bgColor indexed="47"/>
      </patternFill>
    </fill>
    <fill>
      <patternFill patternType="lightUp">
        <fgColor indexed="9"/>
        <bgColor indexed="55"/>
      </patternFill>
    </fill>
    <fill>
      <patternFill patternType="lightUp">
        <fgColor indexed="9"/>
        <bgColor indexed="29"/>
      </patternFill>
    </fill>
    <fill>
      <patternFill patternType="lightUp">
        <fgColor indexed="9"/>
        <bgColor indexed="22"/>
      </patternFill>
    </fill>
    <fill>
      <patternFill patternType="solid">
        <fgColor rgb="FFDE0000"/>
        <bgColor indexed="64"/>
      </patternFill>
    </fill>
    <fill>
      <patternFill patternType="solid">
        <fgColor theme="1" tint="0.249977111117893"/>
        <bgColor indexed="64"/>
      </patternFill>
    </fill>
    <fill>
      <patternFill patternType="solid">
        <fgColor rgb="FFAAAAAA"/>
        <bgColor indexed="64"/>
      </patternFill>
    </fill>
    <fill>
      <patternFill patternType="solid">
        <fgColor theme="0"/>
        <bgColor indexed="64"/>
      </patternFill>
    </fill>
    <fill>
      <patternFill patternType="solid">
        <fgColor theme="4" tint="0.59999389629810485"/>
        <bgColor indexed="64"/>
      </patternFill>
    </fill>
  </fills>
  <borders count="65">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right/>
      <top style="medium">
        <color indexed="64"/>
      </top>
      <bottom/>
      <diagonal/>
    </border>
    <border>
      <left/>
      <right style="medium">
        <color indexed="64"/>
      </right>
      <top style="medium">
        <color indexed="64"/>
      </top>
      <bottom/>
      <diagonal/>
    </border>
    <border>
      <left style="medium">
        <color indexed="64"/>
      </left>
      <right style="thin">
        <color indexed="64"/>
      </right>
      <top style="thin">
        <color indexed="64"/>
      </top>
      <bottom style="medium">
        <color indexed="64"/>
      </bottom>
      <diagonal/>
    </border>
    <border>
      <left style="medium">
        <color indexed="64"/>
      </left>
      <right style="medium">
        <color indexed="64"/>
      </right>
      <top style="medium">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top/>
      <bottom/>
      <diagonal/>
    </border>
    <border>
      <left style="medium">
        <color indexed="64"/>
      </left>
      <right/>
      <top style="medium">
        <color indexed="64"/>
      </top>
      <bottom style="medium">
        <color indexed="64"/>
      </bottom>
      <diagonal/>
    </border>
    <border>
      <left style="medium">
        <color indexed="64"/>
      </left>
      <right style="medium">
        <color indexed="64"/>
      </right>
      <top/>
      <bottom style="thin">
        <color theme="0"/>
      </bottom>
      <diagonal/>
    </border>
    <border>
      <left style="medium">
        <color indexed="64"/>
      </left>
      <right style="medium">
        <color indexed="64"/>
      </right>
      <top style="thin">
        <color theme="0"/>
      </top>
      <bottom style="thin">
        <color theme="0"/>
      </bottom>
      <diagonal/>
    </border>
    <border>
      <left style="medium">
        <color indexed="64"/>
      </left>
      <right/>
      <top style="thin">
        <color theme="0"/>
      </top>
      <bottom style="thin">
        <color theme="0"/>
      </bottom>
      <diagonal/>
    </border>
    <border>
      <left style="medium">
        <color indexed="64"/>
      </left>
      <right style="medium">
        <color indexed="64"/>
      </right>
      <top style="thin">
        <color theme="0"/>
      </top>
      <bottom style="medium">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style="medium">
        <color indexed="64"/>
      </top>
      <bottom/>
      <diagonal/>
    </border>
    <border>
      <left style="medium">
        <color indexed="64"/>
      </left>
      <right/>
      <top/>
      <bottom style="medium">
        <color indexed="64"/>
      </bottom>
      <diagonal/>
    </border>
    <border>
      <left/>
      <right/>
      <top/>
      <bottom style="medium">
        <color indexed="64"/>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medium">
        <color indexed="64"/>
      </right>
      <top/>
      <bottom style="medium">
        <color indexed="64"/>
      </bottom>
      <diagonal/>
    </border>
    <border>
      <left/>
      <right style="medium">
        <color indexed="64"/>
      </right>
      <top/>
      <bottom/>
      <diagonal/>
    </border>
    <border>
      <left style="thin">
        <color indexed="64"/>
      </left>
      <right style="medium">
        <color indexed="64"/>
      </right>
      <top style="medium">
        <color indexed="64"/>
      </top>
      <bottom style="medium">
        <color indexed="64"/>
      </bottom>
      <diagonal/>
    </border>
    <border>
      <left/>
      <right style="medium">
        <color indexed="64"/>
      </right>
      <top style="medium">
        <color indexed="64"/>
      </top>
      <bottom style="medium">
        <color indexed="64"/>
      </bottom>
      <diagonal/>
    </border>
    <border>
      <left/>
      <right style="medium">
        <color indexed="64"/>
      </right>
      <top style="thin">
        <color theme="0"/>
      </top>
      <bottom style="thin">
        <color theme="0"/>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style="thin">
        <color indexed="64"/>
      </right>
      <top/>
      <bottom style="thin">
        <color indexed="64"/>
      </bottom>
      <diagonal/>
    </border>
    <border>
      <left/>
      <right/>
      <top style="thin">
        <color indexed="64"/>
      </top>
      <bottom style="medium">
        <color indexed="64"/>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style="thin">
        <color indexed="64"/>
      </right>
      <top style="medium">
        <color indexed="64"/>
      </top>
      <bottom style="medium">
        <color indexed="64"/>
      </bottom>
      <diagonal/>
    </border>
    <border>
      <left/>
      <right style="thin">
        <color indexed="64"/>
      </right>
      <top style="thin">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style="thin">
        <color theme="0"/>
      </top>
      <bottom/>
      <diagonal/>
    </border>
    <border>
      <left style="thick">
        <color indexed="64"/>
      </left>
      <right/>
      <top style="thick">
        <color indexed="64"/>
      </top>
      <bottom/>
      <diagonal/>
    </border>
    <border>
      <left/>
      <right/>
      <top style="thick">
        <color indexed="64"/>
      </top>
      <bottom/>
      <diagonal/>
    </border>
    <border>
      <left/>
      <right style="medium">
        <color indexed="64"/>
      </right>
      <top style="thick">
        <color indexed="64"/>
      </top>
      <bottom/>
      <diagonal/>
    </border>
    <border>
      <left/>
      <right style="thick">
        <color indexed="64"/>
      </right>
      <top style="thick">
        <color indexed="64"/>
      </top>
      <bottom/>
      <diagonal/>
    </border>
    <border>
      <left style="thick">
        <color indexed="64"/>
      </left>
      <right/>
      <top style="medium">
        <color indexed="64"/>
      </top>
      <bottom/>
      <diagonal/>
    </border>
    <border>
      <left/>
      <right style="thick">
        <color indexed="64"/>
      </right>
      <top style="medium">
        <color indexed="64"/>
      </top>
      <bottom/>
      <diagonal/>
    </border>
    <border>
      <left style="thick">
        <color indexed="64"/>
      </left>
      <right/>
      <top/>
      <bottom style="medium">
        <color indexed="64"/>
      </bottom>
      <diagonal/>
    </border>
    <border>
      <left/>
      <right style="thick">
        <color indexed="64"/>
      </right>
      <top/>
      <bottom/>
      <diagonal/>
    </border>
    <border>
      <left/>
      <right style="thick">
        <color indexed="64"/>
      </right>
      <top/>
      <bottom style="medium">
        <color indexed="64"/>
      </bottom>
      <diagonal/>
    </border>
    <border>
      <left style="thick">
        <color indexed="64"/>
      </left>
      <right/>
      <top/>
      <bottom/>
      <diagonal/>
    </border>
    <border>
      <left style="medium">
        <color indexed="64"/>
      </left>
      <right style="thick">
        <color indexed="64"/>
      </right>
      <top/>
      <bottom/>
      <diagonal/>
    </border>
    <border>
      <left style="medium">
        <color indexed="64"/>
      </left>
      <right style="thick">
        <color indexed="64"/>
      </right>
      <top style="medium">
        <color indexed="64"/>
      </top>
      <bottom/>
      <diagonal/>
    </border>
    <border>
      <left style="thick">
        <color indexed="64"/>
      </left>
      <right/>
      <top/>
      <bottom style="thick">
        <color indexed="64"/>
      </bottom>
      <diagonal/>
    </border>
    <border>
      <left/>
      <right/>
      <top/>
      <bottom style="thick">
        <color indexed="64"/>
      </bottom>
      <diagonal/>
    </border>
    <border>
      <left style="medium">
        <color indexed="64"/>
      </left>
      <right style="medium">
        <color indexed="64"/>
      </right>
      <top/>
      <bottom style="thick">
        <color indexed="64"/>
      </bottom>
      <diagonal/>
    </border>
    <border>
      <left style="medium">
        <color indexed="64"/>
      </left>
      <right style="thick">
        <color indexed="64"/>
      </right>
      <top/>
      <bottom style="thick">
        <color indexed="64"/>
      </bottom>
      <diagonal/>
    </border>
    <border>
      <left/>
      <right/>
      <top style="thin">
        <color indexed="64"/>
      </top>
      <bottom style="thin">
        <color indexed="64"/>
      </bottom>
      <diagonal/>
    </border>
    <border>
      <left style="thin">
        <color indexed="64"/>
      </left>
      <right/>
      <top/>
      <bottom style="thin">
        <color indexed="64"/>
      </bottom>
      <diagonal/>
    </border>
    <border>
      <left/>
      <right/>
      <top/>
      <bottom style="thin">
        <color indexed="64"/>
      </bottom>
      <diagonal/>
    </border>
    <border>
      <left/>
      <right/>
      <top style="thin">
        <color indexed="64"/>
      </top>
      <bottom/>
      <diagonal/>
    </border>
  </borders>
  <cellStyleXfs count="252">
    <xf numFmtId="0" fontId="0" fillId="0" borderId="0"/>
    <xf numFmtId="0" fontId="11" fillId="0" borderId="0" applyNumberFormat="0" applyFill="0" applyBorder="0" applyAlignment="0" applyProtection="0"/>
    <xf numFmtId="0" fontId="12" fillId="0" borderId="1" applyNumberFormat="0" applyFill="0" applyAlignment="0" applyProtection="0"/>
    <xf numFmtId="0" fontId="13" fillId="0" borderId="2" applyNumberFormat="0" applyFill="0" applyAlignment="0" applyProtection="0"/>
    <xf numFmtId="0" fontId="14" fillId="0" borderId="3" applyNumberFormat="0" applyFill="0" applyAlignment="0" applyProtection="0"/>
    <xf numFmtId="0" fontId="14" fillId="0" borderId="0" applyNumberFormat="0" applyFill="0" applyBorder="0" applyAlignment="0" applyProtection="0"/>
    <xf numFmtId="0" fontId="15" fillId="2" borderId="0" applyNumberFormat="0" applyBorder="0" applyAlignment="0" applyProtection="0"/>
    <xf numFmtId="0" fontId="16" fillId="3" borderId="0" applyNumberFormat="0" applyBorder="0" applyAlignment="0" applyProtection="0"/>
    <xf numFmtId="0" fontId="17" fillId="4" borderId="0" applyNumberFormat="0" applyBorder="0" applyAlignment="0" applyProtection="0"/>
    <xf numFmtId="0" fontId="18" fillId="5" borderId="4" applyNumberFormat="0" applyAlignment="0" applyProtection="0"/>
    <xf numFmtId="0" fontId="19" fillId="6" borderId="5" applyNumberFormat="0" applyAlignment="0" applyProtection="0"/>
    <xf numFmtId="0" fontId="20" fillId="6" borderId="4" applyNumberFormat="0" applyAlignment="0" applyProtection="0"/>
    <xf numFmtId="0" fontId="21" fillId="0" borderId="6" applyNumberFormat="0" applyFill="0" applyAlignment="0" applyProtection="0"/>
    <xf numFmtId="0" fontId="22" fillId="7" borderId="7" applyNumberFormat="0" applyAlignment="0" applyProtection="0"/>
    <xf numFmtId="0" fontId="23" fillId="0" borderId="0" applyNumberFormat="0" applyFill="0" applyBorder="0" applyAlignment="0" applyProtection="0"/>
    <xf numFmtId="0" fontId="10" fillId="8" borderId="8" applyNumberFormat="0" applyFont="0" applyAlignment="0" applyProtection="0"/>
    <xf numFmtId="0" fontId="24" fillId="0" borderId="0" applyNumberFormat="0" applyFill="0" applyBorder="0" applyAlignment="0" applyProtection="0"/>
    <xf numFmtId="0" fontId="25" fillId="0" borderId="9" applyNumberFormat="0" applyFill="0" applyAlignment="0" applyProtection="0"/>
    <xf numFmtId="0" fontId="26" fillId="9" borderId="0" applyNumberFormat="0" applyBorder="0" applyAlignment="0" applyProtection="0"/>
    <xf numFmtId="0" fontId="10" fillId="10" borderId="0" applyNumberFormat="0" applyBorder="0" applyAlignment="0" applyProtection="0"/>
    <xf numFmtId="0" fontId="10" fillId="11" borderId="0" applyNumberFormat="0" applyBorder="0" applyAlignment="0" applyProtection="0"/>
    <xf numFmtId="0" fontId="26" fillId="12" borderId="0" applyNumberFormat="0" applyBorder="0" applyAlignment="0" applyProtection="0"/>
    <xf numFmtId="0" fontId="26" fillId="13" borderId="0" applyNumberFormat="0" applyBorder="0" applyAlignment="0" applyProtection="0"/>
    <xf numFmtId="0" fontId="10" fillId="14" borderId="0" applyNumberFormat="0" applyBorder="0" applyAlignment="0" applyProtection="0"/>
    <xf numFmtId="0" fontId="10" fillId="15" borderId="0" applyNumberFormat="0" applyBorder="0" applyAlignment="0" applyProtection="0"/>
    <xf numFmtId="0" fontId="26" fillId="16" borderId="0" applyNumberFormat="0" applyBorder="0" applyAlignment="0" applyProtection="0"/>
    <xf numFmtId="0" fontId="26" fillId="17" borderId="0" applyNumberFormat="0" applyBorder="0" applyAlignment="0" applyProtection="0"/>
    <xf numFmtId="0" fontId="10" fillId="18" borderId="0" applyNumberFormat="0" applyBorder="0" applyAlignment="0" applyProtection="0"/>
    <xf numFmtId="0" fontId="10" fillId="19" borderId="0" applyNumberFormat="0" applyBorder="0" applyAlignment="0" applyProtection="0"/>
    <xf numFmtId="0" fontId="26" fillId="20" borderId="0" applyNumberFormat="0" applyBorder="0" applyAlignment="0" applyProtection="0"/>
    <xf numFmtId="0" fontId="26" fillId="21" borderId="0" applyNumberFormat="0" applyBorder="0" applyAlignment="0" applyProtection="0"/>
    <xf numFmtId="0" fontId="10" fillId="22" borderId="0" applyNumberFormat="0" applyBorder="0" applyAlignment="0" applyProtection="0"/>
    <xf numFmtId="0" fontId="10" fillId="23" borderId="0" applyNumberFormat="0" applyBorder="0" applyAlignment="0" applyProtection="0"/>
    <xf numFmtId="0" fontId="26" fillId="24" borderId="0" applyNumberFormat="0" applyBorder="0" applyAlignment="0" applyProtection="0"/>
    <xf numFmtId="0" fontId="26" fillId="25" borderId="0" applyNumberFormat="0" applyBorder="0" applyAlignment="0" applyProtection="0"/>
    <xf numFmtId="0" fontId="10" fillId="26" borderId="0" applyNumberFormat="0" applyBorder="0" applyAlignment="0" applyProtection="0"/>
    <xf numFmtId="0" fontId="10" fillId="27" borderId="0" applyNumberFormat="0" applyBorder="0" applyAlignment="0" applyProtection="0"/>
    <xf numFmtId="0" fontId="26" fillId="28" borderId="0" applyNumberFormat="0" applyBorder="0" applyAlignment="0" applyProtection="0"/>
    <xf numFmtId="0" fontId="26" fillId="29" borderId="0" applyNumberFormat="0" applyBorder="0" applyAlignment="0" applyProtection="0"/>
    <xf numFmtId="0" fontId="10" fillId="30" borderId="0" applyNumberFormat="0" applyBorder="0" applyAlignment="0" applyProtection="0"/>
    <xf numFmtId="0" fontId="10" fillId="31" borderId="0" applyNumberFormat="0" applyBorder="0" applyAlignment="0" applyProtection="0"/>
    <xf numFmtId="0" fontId="26" fillId="32" borderId="0" applyNumberFormat="0" applyBorder="0" applyAlignment="0" applyProtection="0"/>
    <xf numFmtId="9" fontId="10" fillId="0" borderId="0" applyFont="0" applyFill="0" applyBorder="0" applyAlignment="0" applyProtection="0"/>
    <xf numFmtId="0" fontId="35" fillId="0" borderId="0" applyNumberFormat="0" applyFill="0" applyBorder="0" applyAlignment="0" applyProtection="0"/>
    <xf numFmtId="0" fontId="9" fillId="0" borderId="0"/>
    <xf numFmtId="0" fontId="9" fillId="0" borderId="0"/>
    <xf numFmtId="9" fontId="9" fillId="0" borderId="0" applyFont="0" applyFill="0" applyBorder="0" applyAlignment="0" applyProtection="0"/>
    <xf numFmtId="0" fontId="16" fillId="3" borderId="0" applyNumberFormat="0" applyBorder="0" applyAlignment="0" applyProtection="0"/>
    <xf numFmtId="0" fontId="38" fillId="41" borderId="36" applyNumberFormat="0" applyFont="0" applyBorder="0" applyAlignment="0" applyProtection="0">
      <alignment horizontal="center" wrapText="1"/>
    </xf>
    <xf numFmtId="0" fontId="15" fillId="2" borderId="0" applyNumberFormat="0" applyBorder="0" applyAlignment="0" applyProtection="0"/>
    <xf numFmtId="0" fontId="39" fillId="42" borderId="0" applyBorder="0" applyAlignment="0" applyProtection="0"/>
    <xf numFmtId="0" fontId="39" fillId="36" borderId="0" applyBorder="0" applyAlignment="0" applyProtection="0"/>
    <xf numFmtId="0" fontId="17" fillId="4" borderId="0" applyNumberFormat="0" applyBorder="0" applyAlignment="0" applyProtection="0"/>
    <xf numFmtId="0" fontId="40" fillId="0" borderId="0"/>
    <xf numFmtId="0" fontId="41" fillId="0" borderId="0"/>
    <xf numFmtId="0" fontId="9" fillId="0" borderId="0"/>
    <xf numFmtId="0" fontId="38" fillId="43" borderId="36" applyNumberFormat="0" applyFont="0" applyBorder="0" applyAlignment="0" applyProtection="0">
      <alignment horizontal="center"/>
    </xf>
    <xf numFmtId="0" fontId="42" fillId="44" borderId="0" applyBorder="0" applyAlignment="0" applyProtection="0"/>
    <xf numFmtId="9" fontId="9" fillId="0" borderId="0" applyFont="0" applyFill="0" applyBorder="0" applyAlignment="0" applyProtection="0"/>
    <xf numFmtId="164" fontId="9" fillId="0" borderId="0" applyFont="0" applyFill="0" applyBorder="0" applyAlignment="0" applyProtection="0"/>
    <xf numFmtId="0" fontId="10" fillId="0" borderId="0"/>
    <xf numFmtId="0" fontId="43" fillId="45" borderId="0" applyNumberFormat="0" applyBorder="0" applyAlignment="0" applyProtection="0"/>
    <xf numFmtId="0" fontId="43" fillId="45" borderId="0" applyNumberFormat="0" applyBorder="0" applyAlignment="0" applyProtection="0"/>
    <xf numFmtId="0" fontId="44" fillId="46" borderId="0" applyNumberFormat="0" applyBorder="0" applyAlignment="0" applyProtection="0"/>
    <xf numFmtId="0" fontId="43" fillId="47" borderId="0" applyNumberFormat="0" applyBorder="0" applyAlignment="0" applyProtection="0"/>
    <xf numFmtId="0" fontId="43" fillId="48" borderId="0" applyNumberFormat="0" applyBorder="0" applyAlignment="0" applyProtection="0"/>
    <xf numFmtId="0" fontId="44" fillId="49" borderId="0" applyNumberFormat="0" applyBorder="0" applyAlignment="0" applyProtection="0"/>
    <xf numFmtId="0" fontId="43" fillId="47" borderId="0" applyNumberFormat="0" applyBorder="0" applyAlignment="0" applyProtection="0"/>
    <xf numFmtId="0" fontId="43" fillId="50" borderId="0" applyNumberFormat="0" applyBorder="0" applyAlignment="0" applyProtection="0"/>
    <xf numFmtId="0" fontId="44" fillId="48" borderId="0" applyNumberFormat="0" applyBorder="0" applyAlignment="0" applyProtection="0"/>
    <xf numFmtId="0" fontId="43" fillId="45" borderId="0" applyNumberFormat="0" applyBorder="0" applyAlignment="0" applyProtection="0"/>
    <xf numFmtId="0" fontId="43" fillId="48" borderId="0" applyNumberFormat="0" applyBorder="0" applyAlignment="0" applyProtection="0"/>
    <xf numFmtId="0" fontId="44" fillId="48" borderId="0" applyNumberFormat="0" applyBorder="0" applyAlignment="0" applyProtection="0"/>
    <xf numFmtId="0" fontId="43" fillId="51" borderId="0" applyNumberFormat="0" applyBorder="0" applyAlignment="0" applyProtection="0"/>
    <xf numFmtId="0" fontId="43" fillId="45" borderId="0" applyNumberFormat="0" applyBorder="0" applyAlignment="0" applyProtection="0"/>
    <xf numFmtId="0" fontId="44" fillId="46" borderId="0" applyNumberFormat="0" applyBorder="0" applyAlignment="0" applyProtection="0"/>
    <xf numFmtId="0" fontId="43" fillId="47" borderId="0" applyNumberFormat="0" applyBorder="0" applyAlignment="0" applyProtection="0"/>
    <xf numFmtId="0" fontId="43" fillId="52" borderId="0" applyNumberFormat="0" applyBorder="0" applyAlignment="0" applyProtection="0"/>
    <xf numFmtId="0" fontId="44" fillId="52" borderId="0" applyNumberFormat="0" applyBorder="0" applyAlignment="0" applyProtection="0"/>
    <xf numFmtId="164" fontId="45" fillId="0" borderId="0" applyFont="0" applyFill="0" applyBorder="0" applyAlignment="0" applyProtection="0"/>
    <xf numFmtId="0" fontId="46" fillId="53" borderId="0" applyNumberFormat="0" applyBorder="0" applyAlignment="0" applyProtection="0"/>
    <xf numFmtId="0" fontId="46" fillId="54" borderId="0" applyNumberFormat="0" applyBorder="0" applyAlignment="0" applyProtection="0"/>
    <xf numFmtId="0" fontId="46" fillId="55" borderId="0" applyNumberFormat="0" applyBorder="0" applyAlignment="0" applyProtection="0"/>
    <xf numFmtId="0" fontId="47" fillId="0" borderId="0" applyNumberFormat="0" applyFill="0" applyBorder="0" applyAlignment="0" applyProtection="0">
      <alignment vertical="top"/>
      <protection locked="0"/>
    </xf>
    <xf numFmtId="0" fontId="45" fillId="0" borderId="0"/>
    <xf numFmtId="0" fontId="45" fillId="0" borderId="0"/>
    <xf numFmtId="0" fontId="45" fillId="0" borderId="0"/>
    <xf numFmtId="0" fontId="45" fillId="0" borderId="0"/>
    <xf numFmtId="0" fontId="10" fillId="0" borderId="0"/>
    <xf numFmtId="0" fontId="10" fillId="0" borderId="0"/>
    <xf numFmtId="0" fontId="10" fillId="0" borderId="0"/>
    <xf numFmtId="0" fontId="48" fillId="0" borderId="0" applyNumberFormat="0" applyFill="0" applyBorder="0" applyAlignment="0" applyProtection="0"/>
    <xf numFmtId="0" fontId="45" fillId="0" borderId="0"/>
    <xf numFmtId="0" fontId="45" fillId="0" borderId="0"/>
    <xf numFmtId="170" fontId="45" fillId="0" borderId="0"/>
    <xf numFmtId="0" fontId="8" fillId="0" borderId="0"/>
    <xf numFmtId="0" fontId="10" fillId="0" borderId="0"/>
    <xf numFmtId="0" fontId="12" fillId="0" borderId="1" applyNumberFormat="0" applyFill="0" applyAlignment="0" applyProtection="0"/>
    <xf numFmtId="0" fontId="13" fillId="0" borderId="2" applyNumberFormat="0" applyFill="0" applyAlignment="0" applyProtection="0"/>
    <xf numFmtId="0" fontId="14" fillId="0" borderId="3" applyNumberFormat="0" applyFill="0" applyAlignment="0" applyProtection="0"/>
    <xf numFmtId="0" fontId="14" fillId="0" borderId="0" applyNumberFormat="0" applyFill="0" applyBorder="0" applyAlignment="0" applyProtection="0"/>
    <xf numFmtId="0" fontId="15" fillId="2" borderId="0" applyNumberFormat="0" applyBorder="0" applyAlignment="0" applyProtection="0"/>
    <xf numFmtId="0" fontId="16" fillId="3" borderId="0" applyNumberFormat="0" applyBorder="0" applyAlignment="0" applyProtection="0"/>
    <xf numFmtId="0" fontId="17" fillId="4" borderId="0" applyNumberFormat="0" applyBorder="0" applyAlignment="0" applyProtection="0"/>
    <xf numFmtId="0" fontId="18" fillId="5" borderId="4" applyNumberFormat="0" applyAlignment="0" applyProtection="0"/>
    <xf numFmtId="0" fontId="19" fillId="6" borderId="5" applyNumberFormat="0" applyAlignment="0" applyProtection="0"/>
    <xf numFmtId="0" fontId="20" fillId="6" borderId="4" applyNumberFormat="0" applyAlignment="0" applyProtection="0"/>
    <xf numFmtId="0" fontId="21" fillId="0" borderId="6" applyNumberFormat="0" applyFill="0" applyAlignment="0" applyProtection="0"/>
    <xf numFmtId="0" fontId="22" fillId="7" borderId="7" applyNumberFormat="0" applyAlignment="0" applyProtection="0"/>
    <xf numFmtId="0" fontId="23" fillId="0" borderId="0" applyNumberFormat="0" applyFill="0" applyBorder="0" applyAlignment="0" applyProtection="0"/>
    <xf numFmtId="0" fontId="10" fillId="8" borderId="8" applyNumberFormat="0" applyFont="0" applyAlignment="0" applyProtection="0"/>
    <xf numFmtId="0" fontId="24" fillId="0" borderId="0" applyNumberFormat="0" applyFill="0" applyBorder="0" applyAlignment="0" applyProtection="0"/>
    <xf numFmtId="0" fontId="25" fillId="0" borderId="9" applyNumberFormat="0" applyFill="0" applyAlignment="0" applyProtection="0"/>
    <xf numFmtId="0" fontId="26" fillId="9" borderId="0" applyNumberFormat="0" applyBorder="0" applyAlignment="0" applyProtection="0"/>
    <xf numFmtId="0" fontId="10" fillId="10" borderId="0" applyNumberFormat="0" applyBorder="0" applyAlignment="0" applyProtection="0"/>
    <xf numFmtId="0" fontId="10" fillId="11" borderId="0" applyNumberFormat="0" applyBorder="0" applyAlignment="0" applyProtection="0"/>
    <xf numFmtId="0" fontId="26" fillId="12" borderId="0" applyNumberFormat="0" applyBorder="0" applyAlignment="0" applyProtection="0"/>
    <xf numFmtId="0" fontId="26" fillId="13" borderId="0" applyNumberFormat="0" applyBorder="0" applyAlignment="0" applyProtection="0"/>
    <xf numFmtId="0" fontId="10" fillId="14" borderId="0" applyNumberFormat="0" applyBorder="0" applyAlignment="0" applyProtection="0"/>
    <xf numFmtId="0" fontId="10" fillId="15" borderId="0" applyNumberFormat="0" applyBorder="0" applyAlignment="0" applyProtection="0"/>
    <xf numFmtId="0" fontId="26" fillId="16" borderId="0" applyNumberFormat="0" applyBorder="0" applyAlignment="0" applyProtection="0"/>
    <xf numFmtId="0" fontId="26" fillId="17" borderId="0" applyNumberFormat="0" applyBorder="0" applyAlignment="0" applyProtection="0"/>
    <xf numFmtId="0" fontId="10" fillId="18" borderId="0" applyNumberFormat="0" applyBorder="0" applyAlignment="0" applyProtection="0"/>
    <xf numFmtId="0" fontId="10" fillId="19" borderId="0" applyNumberFormat="0" applyBorder="0" applyAlignment="0" applyProtection="0"/>
    <xf numFmtId="0" fontId="26" fillId="20" borderId="0" applyNumberFormat="0" applyBorder="0" applyAlignment="0" applyProtection="0"/>
    <xf numFmtId="0" fontId="26" fillId="21" borderId="0" applyNumberFormat="0" applyBorder="0" applyAlignment="0" applyProtection="0"/>
    <xf numFmtId="0" fontId="10" fillId="22" borderId="0" applyNumberFormat="0" applyBorder="0" applyAlignment="0" applyProtection="0"/>
    <xf numFmtId="0" fontId="10" fillId="23" borderId="0" applyNumberFormat="0" applyBorder="0" applyAlignment="0" applyProtection="0"/>
    <xf numFmtId="0" fontId="26" fillId="24" borderId="0" applyNumberFormat="0" applyBorder="0" applyAlignment="0" applyProtection="0"/>
    <xf numFmtId="0" fontId="26" fillId="25" borderId="0" applyNumberFormat="0" applyBorder="0" applyAlignment="0" applyProtection="0"/>
    <xf numFmtId="0" fontId="10" fillId="26" borderId="0" applyNumberFormat="0" applyBorder="0" applyAlignment="0" applyProtection="0"/>
    <xf numFmtId="0" fontId="10" fillId="27" borderId="0" applyNumberFormat="0" applyBorder="0" applyAlignment="0" applyProtection="0"/>
    <xf numFmtId="0" fontId="26" fillId="28" borderId="0" applyNumberFormat="0" applyBorder="0" applyAlignment="0" applyProtection="0"/>
    <xf numFmtId="0" fontId="26" fillId="29" borderId="0" applyNumberFormat="0" applyBorder="0" applyAlignment="0" applyProtection="0"/>
    <xf numFmtId="0" fontId="10" fillId="30" borderId="0" applyNumberFormat="0" applyBorder="0" applyAlignment="0" applyProtection="0"/>
    <xf numFmtId="0" fontId="10" fillId="31" borderId="0" applyNumberFormat="0" applyBorder="0" applyAlignment="0" applyProtection="0"/>
    <xf numFmtId="0" fontId="26" fillId="32" borderId="0" applyNumberFormat="0" applyBorder="0" applyAlignment="0" applyProtection="0"/>
    <xf numFmtId="9" fontId="10" fillId="0" borderId="0" applyFont="0" applyFill="0" applyBorder="0" applyAlignment="0" applyProtection="0"/>
    <xf numFmtId="165" fontId="10" fillId="0" borderId="0" applyFont="0" applyFill="0" applyBorder="0" applyAlignment="0" applyProtection="0"/>
    <xf numFmtId="164" fontId="10" fillId="0" borderId="0" applyFont="0" applyFill="0" applyBorder="0" applyAlignment="0" applyProtection="0"/>
    <xf numFmtId="0" fontId="8" fillId="0" borderId="0"/>
    <xf numFmtId="0" fontId="8" fillId="0" borderId="0"/>
    <xf numFmtId="9" fontId="8" fillId="0" borderId="0" applyFont="0" applyFill="0" applyBorder="0" applyAlignment="0" applyProtection="0"/>
    <xf numFmtId="0" fontId="8" fillId="0" borderId="0"/>
    <xf numFmtId="9" fontId="8" fillId="0" borderId="0" applyFont="0" applyFill="0" applyBorder="0" applyAlignment="0" applyProtection="0"/>
    <xf numFmtId="164" fontId="8" fillId="0" borderId="0" applyFont="0" applyFill="0" applyBorder="0" applyAlignment="0" applyProtection="0"/>
    <xf numFmtId="0" fontId="26" fillId="9" borderId="0" applyNumberFormat="0" applyBorder="0" applyAlignment="0" applyProtection="0"/>
    <xf numFmtId="0" fontId="26" fillId="13" borderId="0" applyNumberFormat="0" applyBorder="0" applyAlignment="0" applyProtection="0"/>
    <xf numFmtId="0" fontId="26" fillId="17" borderId="0" applyNumberFormat="0" applyBorder="0" applyAlignment="0" applyProtection="0"/>
    <xf numFmtId="0" fontId="26" fillId="21" borderId="0" applyNumberFormat="0" applyBorder="0" applyAlignment="0" applyProtection="0"/>
    <xf numFmtId="0" fontId="26" fillId="25" borderId="0" applyNumberFormat="0" applyBorder="0" applyAlignment="0" applyProtection="0"/>
    <xf numFmtId="0" fontId="26" fillId="29" borderId="0" applyNumberFormat="0" applyBorder="0" applyAlignment="0" applyProtection="0"/>
    <xf numFmtId="0" fontId="7" fillId="0" borderId="0"/>
    <xf numFmtId="0" fontId="7" fillId="0" borderId="0"/>
    <xf numFmtId="0" fontId="7" fillId="0" borderId="0"/>
    <xf numFmtId="9" fontId="7" fillId="0" borderId="0" applyFont="0" applyFill="0" applyBorder="0" applyAlignment="0" applyProtection="0"/>
    <xf numFmtId="0" fontId="7" fillId="0" borderId="0"/>
    <xf numFmtId="9" fontId="7" fillId="0" borderId="0" applyFont="0" applyFill="0" applyBorder="0" applyAlignment="0" applyProtection="0"/>
    <xf numFmtId="164" fontId="7" fillId="0" borderId="0" applyFont="0" applyFill="0" applyBorder="0" applyAlignment="0" applyProtection="0"/>
    <xf numFmtId="0" fontId="26" fillId="29" borderId="0" applyNumberFormat="0" applyBorder="0" applyAlignment="0" applyProtection="0"/>
    <xf numFmtId="0" fontId="26" fillId="21" borderId="0" applyNumberFormat="0" applyBorder="0" applyAlignment="0" applyProtection="0"/>
    <xf numFmtId="0" fontId="26" fillId="29" borderId="0" applyNumberFormat="0" applyBorder="0" applyAlignment="0" applyProtection="0"/>
    <xf numFmtId="0" fontId="26" fillId="17" borderId="0" applyNumberFormat="0" applyBorder="0" applyAlignment="0" applyProtection="0"/>
    <xf numFmtId="0" fontId="26" fillId="25" borderId="0" applyNumberFormat="0" applyBorder="0" applyAlignment="0" applyProtection="0"/>
    <xf numFmtId="0" fontId="26" fillId="9" borderId="0" applyNumberFormat="0" applyBorder="0" applyAlignment="0" applyProtection="0"/>
    <xf numFmtId="0" fontId="26" fillId="13" borderId="0" applyNumberFormat="0" applyBorder="0" applyAlignment="0" applyProtection="0"/>
    <xf numFmtId="0" fontId="26" fillId="17" borderId="0" applyNumberFormat="0" applyBorder="0" applyAlignment="0" applyProtection="0"/>
    <xf numFmtId="0" fontId="26" fillId="13" borderId="0" applyNumberFormat="0" applyBorder="0" applyAlignment="0" applyProtection="0"/>
    <xf numFmtId="0" fontId="26" fillId="9" borderId="0" applyNumberFormat="0" applyBorder="0" applyAlignment="0" applyProtection="0"/>
    <xf numFmtId="0" fontId="7" fillId="0" borderId="0"/>
    <xf numFmtId="0" fontId="26" fillId="21" borderId="0" applyNumberFormat="0" applyBorder="0" applyAlignment="0" applyProtection="0"/>
    <xf numFmtId="0" fontId="26" fillId="25" borderId="0" applyNumberFormat="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9" fontId="7" fillId="0" borderId="0" applyFont="0" applyFill="0" applyBorder="0" applyAlignment="0" applyProtection="0"/>
    <xf numFmtId="164" fontId="7" fillId="0" borderId="0" applyFont="0" applyFill="0" applyBorder="0" applyAlignment="0" applyProtection="0"/>
    <xf numFmtId="0" fontId="52" fillId="0" borderId="0"/>
    <xf numFmtId="0" fontId="53" fillId="0" borderId="0"/>
    <xf numFmtId="0" fontId="10" fillId="0" borderId="0"/>
    <xf numFmtId="0" fontId="45" fillId="0" borderId="0"/>
    <xf numFmtId="0" fontId="10" fillId="0" borderId="0"/>
    <xf numFmtId="0" fontId="10" fillId="8" borderId="8" applyNumberFormat="0" applyFont="0" applyAlignment="0" applyProtection="0"/>
    <xf numFmtId="0" fontId="45" fillId="0" borderId="0"/>
    <xf numFmtId="0" fontId="10" fillId="10" borderId="0" applyNumberFormat="0" applyBorder="0" applyAlignment="0" applyProtection="0"/>
    <xf numFmtId="0" fontId="10" fillId="11" borderId="0" applyNumberFormat="0" applyBorder="0" applyAlignment="0" applyProtection="0"/>
    <xf numFmtId="0" fontId="10" fillId="14" borderId="0" applyNumberFormat="0" applyBorder="0" applyAlignment="0" applyProtection="0"/>
    <xf numFmtId="0" fontId="10" fillId="15" borderId="0" applyNumberFormat="0" applyBorder="0" applyAlignment="0" applyProtection="0"/>
    <xf numFmtId="0" fontId="10" fillId="18" borderId="0" applyNumberFormat="0" applyBorder="0" applyAlignment="0" applyProtection="0"/>
    <xf numFmtId="0" fontId="10" fillId="19" borderId="0" applyNumberFormat="0" applyBorder="0" applyAlignment="0" applyProtection="0"/>
    <xf numFmtId="0" fontId="10" fillId="22" borderId="0" applyNumberFormat="0" applyBorder="0" applyAlignment="0" applyProtection="0"/>
    <xf numFmtId="0" fontId="10" fillId="23" borderId="0" applyNumberFormat="0" applyBorder="0" applyAlignment="0" applyProtection="0"/>
    <xf numFmtId="0" fontId="10" fillId="26" borderId="0" applyNumberFormat="0" applyBorder="0" applyAlignment="0" applyProtection="0"/>
    <xf numFmtId="0" fontId="10" fillId="27" borderId="0" applyNumberFormat="0" applyBorder="0" applyAlignment="0" applyProtection="0"/>
    <xf numFmtId="0" fontId="10" fillId="30" borderId="0" applyNumberFormat="0" applyBorder="0" applyAlignment="0" applyProtection="0"/>
    <xf numFmtId="0" fontId="10" fillId="31" borderId="0" applyNumberFormat="0" applyBorder="0" applyAlignment="0" applyProtection="0"/>
    <xf numFmtId="0" fontId="10" fillId="0" borderId="0"/>
    <xf numFmtId="0" fontId="10" fillId="8" borderId="8" applyNumberFormat="0" applyFont="0" applyAlignment="0" applyProtection="0"/>
    <xf numFmtId="9" fontId="10" fillId="0" borderId="0" applyFont="0" applyFill="0" applyBorder="0" applyAlignment="0" applyProtection="0"/>
    <xf numFmtId="165" fontId="10" fillId="0" borderId="0" applyFont="0" applyFill="0" applyBorder="0" applyAlignment="0" applyProtection="0"/>
    <xf numFmtId="164" fontId="10"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40" fillId="0" borderId="0"/>
    <xf numFmtId="0" fontId="41" fillId="0" borderId="0"/>
    <xf numFmtId="0" fontId="6" fillId="0" borderId="0"/>
    <xf numFmtId="9" fontId="6" fillId="0" borderId="0" applyFont="0" applyFill="0" applyBorder="0" applyAlignment="0" applyProtection="0"/>
    <xf numFmtId="164" fontId="6" fillId="0" borderId="0" applyFont="0" applyFill="0" applyBorder="0" applyAlignment="0" applyProtection="0"/>
    <xf numFmtId="0" fontId="45" fillId="0" borderId="0"/>
    <xf numFmtId="0" fontId="6" fillId="0" borderId="0"/>
    <xf numFmtId="0" fontId="10" fillId="10" borderId="0" applyNumberFormat="0" applyBorder="0" applyAlignment="0" applyProtection="0"/>
    <xf numFmtId="0" fontId="10" fillId="11" borderId="0" applyNumberFormat="0" applyBorder="0" applyAlignment="0" applyProtection="0"/>
    <xf numFmtId="0" fontId="10" fillId="14" borderId="0" applyNumberFormat="0" applyBorder="0" applyAlignment="0" applyProtection="0"/>
    <xf numFmtId="0" fontId="10" fillId="15" borderId="0" applyNumberFormat="0" applyBorder="0" applyAlignment="0" applyProtection="0"/>
    <xf numFmtId="0" fontId="10" fillId="18" borderId="0" applyNumberFormat="0" applyBorder="0" applyAlignment="0" applyProtection="0"/>
    <xf numFmtId="0" fontId="10" fillId="19" borderId="0" applyNumberFormat="0" applyBorder="0" applyAlignment="0" applyProtection="0"/>
    <xf numFmtId="0" fontId="10" fillId="22" borderId="0" applyNumberFormat="0" applyBorder="0" applyAlignment="0" applyProtection="0"/>
    <xf numFmtId="0" fontId="10" fillId="23" borderId="0" applyNumberFormat="0" applyBorder="0" applyAlignment="0" applyProtection="0"/>
    <xf numFmtId="0" fontId="10" fillId="26" borderId="0" applyNumberFormat="0" applyBorder="0" applyAlignment="0" applyProtection="0"/>
    <xf numFmtId="0" fontId="10" fillId="27" borderId="0" applyNumberFormat="0" applyBorder="0" applyAlignment="0" applyProtection="0"/>
    <xf numFmtId="0" fontId="10" fillId="30" borderId="0" applyNumberFormat="0" applyBorder="0" applyAlignment="0" applyProtection="0"/>
    <xf numFmtId="0" fontId="10" fillId="31" borderId="0" applyNumberFormat="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9" fontId="6" fillId="0" borderId="0" applyFont="0" applyFill="0" applyBorder="0" applyAlignment="0" applyProtection="0"/>
    <xf numFmtId="164" fontId="6" fillId="0" borderId="0" applyFont="0" applyFill="0" applyBorder="0" applyAlignment="0" applyProtection="0"/>
    <xf numFmtId="0" fontId="6" fillId="0" borderId="0"/>
    <xf numFmtId="0" fontId="6" fillId="0" borderId="0"/>
    <xf numFmtId="0" fontId="6" fillId="0" borderId="0"/>
    <xf numFmtId="9" fontId="6" fillId="0" borderId="0" applyFont="0" applyFill="0" applyBorder="0" applyAlignment="0" applyProtection="0"/>
    <xf numFmtId="0" fontId="6" fillId="0" borderId="0"/>
    <xf numFmtId="9" fontId="6" fillId="0" borderId="0" applyFont="0" applyFill="0" applyBorder="0" applyAlignment="0" applyProtection="0"/>
    <xf numFmtId="164" fontId="6" fillId="0" borderId="0" applyFont="0" applyFill="0" applyBorder="0" applyAlignment="0" applyProtection="0"/>
    <xf numFmtId="0" fontId="6" fillId="0" borderId="0"/>
    <xf numFmtId="0" fontId="6" fillId="0" borderId="0"/>
    <xf numFmtId="0" fontId="6" fillId="0" borderId="0"/>
    <xf numFmtId="9" fontId="6" fillId="0" borderId="0" applyFont="0" applyFill="0" applyBorder="0" applyAlignment="0" applyProtection="0"/>
    <xf numFmtId="0" fontId="6" fillId="0" borderId="0"/>
    <xf numFmtId="9" fontId="6" fillId="0" borderId="0" applyFont="0" applyFill="0" applyBorder="0" applyAlignment="0" applyProtection="0"/>
    <xf numFmtId="164" fontId="6" fillId="0" borderId="0" applyFont="0" applyFill="0" applyBorder="0" applyAlignment="0" applyProtection="0"/>
    <xf numFmtId="0" fontId="45" fillId="0" borderId="0"/>
    <xf numFmtId="0" fontId="10" fillId="8" borderId="8" applyNumberFormat="0" applyFont="0" applyAlignment="0" applyProtection="0"/>
    <xf numFmtId="0" fontId="26" fillId="9" borderId="0" applyNumberFormat="0" applyBorder="0" applyAlignment="0" applyProtection="0"/>
    <xf numFmtId="0" fontId="26" fillId="13" borderId="0" applyNumberFormat="0" applyBorder="0" applyAlignment="0" applyProtection="0"/>
    <xf numFmtId="0" fontId="26" fillId="17" borderId="0" applyNumberFormat="0" applyBorder="0" applyAlignment="0" applyProtection="0"/>
    <xf numFmtId="0" fontId="26" fillId="21" borderId="0" applyNumberFormat="0" applyBorder="0" applyAlignment="0" applyProtection="0"/>
    <xf numFmtId="0" fontId="26" fillId="25" borderId="0" applyNumberFormat="0" applyBorder="0" applyAlignment="0" applyProtection="0"/>
    <xf numFmtId="0" fontId="26" fillId="29" borderId="0" applyNumberFormat="0" applyBorder="0" applyAlignment="0" applyProtection="0"/>
  </cellStyleXfs>
  <cellXfs count="252">
    <xf numFmtId="0" fontId="0" fillId="0" borderId="0" xfId="0"/>
    <xf numFmtId="0" fontId="28" fillId="0" borderId="24" xfId="0" applyFont="1" applyBorder="1" applyAlignment="1">
      <alignment horizontal="center"/>
    </xf>
    <xf numFmtId="0" fontId="28" fillId="0" borderId="25" xfId="0" applyFont="1" applyBorder="1" applyAlignment="1">
      <alignment horizontal="center"/>
    </xf>
    <xf numFmtId="167" fontId="30" fillId="0" borderId="0" xfId="0" applyNumberFormat="1" applyFont="1" applyAlignment="1">
      <alignment horizontal="center"/>
    </xf>
    <xf numFmtId="0" fontId="30" fillId="0" borderId="0" xfId="0" applyFont="1"/>
    <xf numFmtId="0" fontId="30" fillId="35" borderId="17" xfId="0" applyFont="1" applyFill="1" applyBorder="1" applyAlignment="1">
      <alignment vertical="center"/>
    </xf>
    <xf numFmtId="0" fontId="30" fillId="35" borderId="17" xfId="0" applyFont="1" applyFill="1" applyBorder="1" applyAlignment="1">
      <alignment horizontal="center" vertical="center"/>
    </xf>
    <xf numFmtId="0" fontId="30" fillId="35" borderId="18" xfId="0" applyFont="1" applyFill="1" applyBorder="1" applyAlignment="1">
      <alignment vertical="center"/>
    </xf>
    <xf numFmtId="0" fontId="30" fillId="35" borderId="18" xfId="0" applyFont="1" applyFill="1" applyBorder="1" applyAlignment="1">
      <alignment horizontal="center" vertical="center"/>
    </xf>
    <xf numFmtId="10" fontId="30" fillId="35" borderId="18" xfId="42" applyNumberFormat="1" applyFont="1" applyFill="1" applyBorder="1" applyAlignment="1" applyProtection="1">
      <alignment horizontal="center" vertical="center"/>
    </xf>
    <xf numFmtId="0" fontId="30" fillId="35" borderId="18" xfId="0" applyFont="1" applyFill="1" applyBorder="1" applyAlignment="1">
      <alignment horizontal="left" vertical="center" indent="3"/>
    </xf>
    <xf numFmtId="0" fontId="50" fillId="35" borderId="18" xfId="0" applyFont="1" applyFill="1" applyBorder="1" applyAlignment="1">
      <alignment horizontal="center" vertical="center"/>
    </xf>
    <xf numFmtId="0" fontId="30" fillId="35" borderId="18" xfId="0" applyFont="1" applyFill="1" applyBorder="1" applyAlignment="1">
      <alignment horizontal="center" vertical="center" wrapText="1"/>
    </xf>
    <xf numFmtId="0" fontId="30" fillId="35" borderId="20" xfId="0" applyFont="1" applyFill="1" applyBorder="1" applyAlignment="1">
      <alignment vertical="center"/>
    </xf>
    <xf numFmtId="0" fontId="30" fillId="0" borderId="0" xfId="0" applyFont="1" applyProtection="1">
      <protection locked="0"/>
    </xf>
    <xf numFmtId="0" fontId="51" fillId="0" borderId="0" xfId="0" applyFont="1" applyAlignment="1">
      <alignment vertical="center" wrapText="1"/>
    </xf>
    <xf numFmtId="0" fontId="30" fillId="0" borderId="0" xfId="0" applyFont="1" applyAlignment="1">
      <alignment horizontal="center"/>
    </xf>
    <xf numFmtId="0" fontId="30" fillId="0" borderId="29" xfId="0" applyFont="1" applyBorder="1"/>
    <xf numFmtId="0" fontId="30" fillId="0" borderId="10" xfId="0" applyFont="1" applyBorder="1" applyAlignment="1">
      <alignment horizontal="center"/>
    </xf>
    <xf numFmtId="0" fontId="30" fillId="0" borderId="0" xfId="0" applyFont="1" applyAlignment="1">
      <alignment horizontal="center" vertical="center" wrapText="1"/>
    </xf>
    <xf numFmtId="0" fontId="31" fillId="37" borderId="32" xfId="0" applyFont="1" applyFill="1" applyBorder="1" applyAlignment="1">
      <alignment vertical="center"/>
    </xf>
    <xf numFmtId="167" fontId="30" fillId="40" borderId="25" xfId="0" applyNumberFormat="1" applyFont="1" applyFill="1" applyBorder="1" applyAlignment="1">
      <alignment horizontal="center"/>
    </xf>
    <xf numFmtId="0" fontId="30" fillId="40" borderId="0" xfId="0" applyFont="1" applyFill="1"/>
    <xf numFmtId="1" fontId="30" fillId="35" borderId="18" xfId="0" applyNumberFormat="1" applyFont="1" applyFill="1" applyBorder="1" applyAlignment="1">
      <alignment horizontal="center" vertical="center"/>
    </xf>
    <xf numFmtId="0" fontId="30" fillId="0" borderId="0" xfId="0" applyFont="1" applyAlignment="1">
      <alignment horizontal="right"/>
    </xf>
    <xf numFmtId="0" fontId="30" fillId="0" borderId="0" xfId="0" applyFont="1" applyAlignment="1">
      <alignment horizontal="center" vertical="center"/>
    </xf>
    <xf numFmtId="0" fontId="30" fillId="0" borderId="0" xfId="0" applyFont="1" applyAlignment="1">
      <alignment horizontal="left" vertical="center"/>
    </xf>
    <xf numFmtId="166" fontId="30" fillId="0" borderId="0" xfId="0" applyNumberFormat="1" applyFont="1" applyAlignment="1">
      <alignment horizontal="center" vertical="center"/>
    </xf>
    <xf numFmtId="168" fontId="30" fillId="0" borderId="0" xfId="0" applyNumberFormat="1" applyFont="1" applyAlignment="1">
      <alignment horizontal="center" vertical="center"/>
    </xf>
    <xf numFmtId="169" fontId="30" fillId="0" borderId="0" xfId="0" applyNumberFormat="1" applyFont="1" applyAlignment="1">
      <alignment horizontal="center" vertical="center"/>
    </xf>
    <xf numFmtId="0" fontId="28" fillId="39" borderId="35" xfId="0" applyFont="1" applyFill="1" applyBorder="1" applyAlignment="1">
      <alignment horizontal="center" vertical="center" wrapText="1"/>
    </xf>
    <xf numFmtId="0" fontId="30" fillId="0" borderId="34" xfId="0" applyFont="1" applyBorder="1" applyAlignment="1">
      <alignment horizontal="center" vertical="center"/>
    </xf>
    <xf numFmtId="0" fontId="30" fillId="0" borderId="40" xfId="0" applyFont="1" applyBorder="1" applyAlignment="1">
      <alignment horizontal="center" vertical="center"/>
    </xf>
    <xf numFmtId="0" fontId="49" fillId="0" borderId="0" xfId="43" applyFont="1" applyFill="1" applyBorder="1" applyAlignment="1" applyProtection="1">
      <alignment horizontal="left" vertical="center"/>
    </xf>
    <xf numFmtId="0" fontId="32" fillId="0" borderId="0" xfId="0" applyFont="1" applyAlignment="1">
      <alignment horizontal="center" vertical="center"/>
    </xf>
    <xf numFmtId="1" fontId="32" fillId="0" borderId="0" xfId="0" applyNumberFormat="1" applyFont="1" applyAlignment="1">
      <alignment horizontal="center" vertical="center"/>
    </xf>
    <xf numFmtId="10" fontId="32" fillId="0" borderId="0" xfId="42" applyNumberFormat="1" applyFont="1" applyFill="1" applyBorder="1" applyAlignment="1" applyProtection="1">
      <alignment horizontal="center" vertical="center"/>
    </xf>
    <xf numFmtId="0" fontId="32" fillId="0" borderId="0" xfId="0" applyFont="1" applyAlignment="1">
      <alignment horizontal="center" vertical="center" wrapText="1"/>
    </xf>
    <xf numFmtId="169" fontId="32" fillId="0" borderId="0" xfId="0" applyNumberFormat="1" applyFont="1" applyAlignment="1">
      <alignment horizontal="center" vertical="center"/>
    </xf>
    <xf numFmtId="0" fontId="32" fillId="0" borderId="0" xfId="0" quotePrefix="1" applyFont="1" applyAlignment="1">
      <alignment horizontal="center" vertical="center"/>
    </xf>
    <xf numFmtId="0" fontId="30" fillId="0" borderId="0" xfId="0" applyFont="1" applyAlignment="1">
      <alignment vertical="center" wrapText="1"/>
    </xf>
    <xf numFmtId="1" fontId="30" fillId="0" borderId="0" xfId="0" applyNumberFormat="1" applyFont="1" applyAlignment="1">
      <alignment horizontal="center" vertical="center"/>
    </xf>
    <xf numFmtId="0" fontId="31" fillId="37" borderId="18" xfId="0" applyFont="1" applyFill="1" applyBorder="1" applyAlignment="1">
      <alignment vertical="center"/>
    </xf>
    <xf numFmtId="172" fontId="30" fillId="0" borderId="10" xfId="0" applyNumberFormat="1" applyFont="1" applyBorder="1" applyAlignment="1">
      <alignment horizontal="center"/>
    </xf>
    <xf numFmtId="0" fontId="36" fillId="34" borderId="16" xfId="0" applyFont="1" applyFill="1" applyBorder="1"/>
    <xf numFmtId="0" fontId="34" fillId="0" borderId="0" xfId="0" applyFont="1" applyAlignment="1">
      <alignment vertical="center" wrapText="1"/>
    </xf>
    <xf numFmtId="0" fontId="30" fillId="0" borderId="11" xfId="0" applyFont="1" applyBorder="1" applyAlignment="1">
      <alignment horizontal="center"/>
    </xf>
    <xf numFmtId="0" fontId="30" fillId="35" borderId="44" xfId="0" applyFont="1" applyFill="1" applyBorder="1" applyAlignment="1">
      <alignment vertical="center"/>
    </xf>
    <xf numFmtId="168" fontId="30" fillId="35" borderId="18" xfId="0" applyNumberFormat="1" applyFont="1" applyFill="1" applyBorder="1" applyAlignment="1">
      <alignment horizontal="center" vertical="center" wrapText="1"/>
    </xf>
    <xf numFmtId="167" fontId="30" fillId="0" borderId="0" xfId="42" applyNumberFormat="1" applyFont="1" applyBorder="1" applyAlignment="1" applyProtection="1">
      <alignment horizontal="center"/>
    </xf>
    <xf numFmtId="10" fontId="28" fillId="33" borderId="41" xfId="42" applyNumberFormat="1" applyFont="1" applyFill="1" applyBorder="1" applyAlignment="1" applyProtection="1">
      <alignment horizontal="center"/>
    </xf>
    <xf numFmtId="0" fontId="30" fillId="40" borderId="0" xfId="0" applyFont="1" applyFill="1" applyAlignment="1">
      <alignment horizontal="left"/>
    </xf>
    <xf numFmtId="0" fontId="30" fillId="39" borderId="0" xfId="0" applyFont="1" applyFill="1"/>
    <xf numFmtId="0" fontId="30" fillId="39" borderId="0" xfId="0" applyFont="1" applyFill="1" applyAlignment="1">
      <alignment horizontal="center"/>
    </xf>
    <xf numFmtId="167" fontId="30" fillId="40" borderId="0" xfId="0" applyNumberFormat="1" applyFont="1" applyFill="1" applyAlignment="1">
      <alignment horizontal="center"/>
    </xf>
    <xf numFmtId="167" fontId="30" fillId="40" borderId="0" xfId="42" applyNumberFormat="1" applyFont="1" applyFill="1" applyBorder="1" applyAlignment="1" applyProtection="1">
      <alignment horizontal="center"/>
    </xf>
    <xf numFmtId="10" fontId="28" fillId="40" borderId="41" xfId="42" applyNumberFormat="1" applyFont="1" applyFill="1" applyBorder="1" applyAlignment="1" applyProtection="1">
      <alignment horizontal="center"/>
    </xf>
    <xf numFmtId="0" fontId="28" fillId="40" borderId="0" xfId="0" applyFont="1" applyFill="1" applyAlignment="1">
      <alignment horizontal="right"/>
    </xf>
    <xf numFmtId="0" fontId="30" fillId="40" borderId="0" xfId="0" applyFont="1" applyFill="1" applyAlignment="1">
      <alignment horizontal="right"/>
    </xf>
    <xf numFmtId="0" fontId="30" fillId="0" borderId="0" xfId="0" applyFont="1" applyAlignment="1">
      <alignment horizontal="center" wrapText="1"/>
    </xf>
    <xf numFmtId="0" fontId="30" fillId="36" borderId="27" xfId="0" applyFont="1" applyFill="1" applyBorder="1" applyAlignment="1" applyProtection="1">
      <alignment horizontal="center" vertical="center"/>
      <protection locked="0"/>
    </xf>
    <xf numFmtId="0" fontId="30" fillId="36" borderId="14" xfId="0" applyFont="1" applyFill="1" applyBorder="1" applyAlignment="1" applyProtection="1">
      <alignment horizontal="center" vertical="center"/>
      <protection locked="0"/>
    </xf>
    <xf numFmtId="0" fontId="30" fillId="0" borderId="21" xfId="0" applyFont="1" applyBorder="1" applyAlignment="1">
      <alignment horizontal="left" vertical="center"/>
    </xf>
    <xf numFmtId="0" fontId="30" fillId="36" borderId="22" xfId="0" applyFont="1" applyFill="1" applyBorder="1" applyAlignment="1" applyProtection="1">
      <alignment horizontal="center" vertical="center"/>
      <protection locked="0"/>
    </xf>
    <xf numFmtId="0" fontId="28" fillId="0" borderId="0" xfId="0" applyFont="1" applyAlignment="1">
      <alignment horizontal="center" vertical="center"/>
    </xf>
    <xf numFmtId="10" fontId="30" fillId="36" borderId="22" xfId="0" applyNumberFormat="1" applyFont="1" applyFill="1" applyBorder="1" applyAlignment="1" applyProtection="1">
      <alignment horizontal="center" vertical="center"/>
      <protection locked="0"/>
    </xf>
    <xf numFmtId="0" fontId="30" fillId="0" borderId="26" xfId="0" applyFont="1" applyBorder="1" applyAlignment="1">
      <alignment horizontal="left" vertical="center"/>
    </xf>
    <xf numFmtId="0" fontId="30" fillId="0" borderId="12" xfId="0" applyFont="1" applyBorder="1" applyAlignment="1">
      <alignment horizontal="left" vertical="center"/>
    </xf>
    <xf numFmtId="168" fontId="30" fillId="36" borderId="14" xfId="0" applyNumberFormat="1" applyFont="1" applyFill="1" applyBorder="1" applyAlignment="1" applyProtection="1">
      <alignment horizontal="center" vertical="center"/>
      <protection locked="0"/>
    </xf>
    <xf numFmtId="10" fontId="30" fillId="0" borderId="0" xfId="0" applyNumberFormat="1" applyFont="1" applyAlignment="1">
      <alignment horizontal="center" vertical="center"/>
    </xf>
    <xf numFmtId="167" fontId="30" fillId="40" borderId="10" xfId="42" applyNumberFormat="1" applyFont="1" applyFill="1" applyBorder="1" applyAlignment="1" applyProtection="1">
      <alignment horizontal="center"/>
    </xf>
    <xf numFmtId="167" fontId="30" fillId="40" borderId="10" xfId="0" applyNumberFormat="1" applyFont="1" applyFill="1" applyBorder="1" applyAlignment="1">
      <alignment horizontal="center"/>
    </xf>
    <xf numFmtId="167" fontId="30" fillId="40" borderId="25" xfId="42" applyNumberFormat="1" applyFont="1" applyFill="1" applyBorder="1" applyAlignment="1" applyProtection="1">
      <alignment horizontal="center"/>
    </xf>
    <xf numFmtId="10" fontId="28" fillId="40" borderId="43" xfId="42" applyNumberFormat="1" applyFont="1" applyFill="1" applyBorder="1" applyAlignment="1" applyProtection="1">
      <alignment horizontal="center"/>
    </xf>
    <xf numFmtId="10" fontId="28" fillId="40" borderId="42" xfId="42" applyNumberFormat="1" applyFont="1" applyFill="1" applyBorder="1" applyAlignment="1" applyProtection="1">
      <alignment horizontal="center"/>
    </xf>
    <xf numFmtId="10" fontId="30" fillId="35" borderId="18" xfId="42" applyNumberFormat="1" applyFont="1" applyFill="1" applyBorder="1" applyAlignment="1" applyProtection="1">
      <alignment horizontal="center" vertical="center" wrapText="1"/>
    </xf>
    <xf numFmtId="0" fontId="56" fillId="0" borderId="34" xfId="0" applyFont="1" applyBorder="1" applyAlignment="1">
      <alignment horizontal="center" vertical="center"/>
    </xf>
    <xf numFmtId="0" fontId="0" fillId="0" borderId="0" xfId="0" applyAlignment="1">
      <alignment horizontal="center"/>
    </xf>
    <xf numFmtId="0" fontId="51" fillId="0" borderId="0" xfId="0" applyFont="1" applyAlignment="1">
      <alignment horizontal="right" vertical="center"/>
    </xf>
    <xf numFmtId="0" fontId="51" fillId="0" borderId="0" xfId="0" applyFont="1" applyAlignment="1">
      <alignment horizontal="center" vertical="center"/>
    </xf>
    <xf numFmtId="0" fontId="30" fillId="0" borderId="37" xfId="0" applyFont="1" applyBorder="1" applyAlignment="1">
      <alignment horizontal="left" vertical="center"/>
    </xf>
    <xf numFmtId="0" fontId="30" fillId="36" borderId="38" xfId="0" applyFont="1" applyFill="1" applyBorder="1" applyAlignment="1" applyProtection="1">
      <alignment horizontal="center" vertical="center"/>
      <protection locked="0"/>
    </xf>
    <xf numFmtId="0" fontId="54" fillId="0" borderId="0" xfId="0" applyFont="1" applyAlignment="1">
      <alignment horizontal="center" vertical="center"/>
    </xf>
    <xf numFmtId="168" fontId="0" fillId="0" borderId="0" xfId="0" applyNumberFormat="1" applyAlignment="1">
      <alignment horizontal="left"/>
    </xf>
    <xf numFmtId="0" fontId="26" fillId="38" borderId="0" xfId="0" applyFont="1" applyFill="1" applyAlignment="1">
      <alignment horizontal="center"/>
    </xf>
    <xf numFmtId="0" fontId="26" fillId="38" borderId="0" xfId="0" applyFont="1" applyFill="1" applyAlignment="1">
      <alignment horizontal="left"/>
    </xf>
    <xf numFmtId="168" fontId="0" fillId="0" borderId="0" xfId="0" applyNumberFormat="1" applyAlignment="1">
      <alignment horizontal="center"/>
    </xf>
    <xf numFmtId="0" fontId="0" fillId="0" borderId="0" xfId="0" applyAlignment="1">
      <alignment horizontal="left"/>
    </xf>
    <xf numFmtId="0" fontId="59" fillId="0" borderId="0" xfId="0" applyFont="1"/>
    <xf numFmtId="0" fontId="27" fillId="57" borderId="0" xfId="0" applyFont="1" applyFill="1"/>
    <xf numFmtId="0" fontId="60" fillId="58" borderId="0" xfId="0" applyFont="1" applyFill="1"/>
    <xf numFmtId="0" fontId="57" fillId="58" borderId="0" xfId="0" applyFont="1" applyFill="1"/>
    <xf numFmtId="0" fontId="5" fillId="0" borderId="0" xfId="0" applyFont="1"/>
    <xf numFmtId="0" fontId="5" fillId="0" borderId="0" xfId="0" applyFont="1" applyAlignment="1">
      <alignment vertical="top" wrapText="1"/>
    </xf>
    <xf numFmtId="0" fontId="62" fillId="0" borderId="0" xfId="0" applyFont="1"/>
    <xf numFmtId="0" fontId="63" fillId="0" borderId="0" xfId="0" applyFont="1"/>
    <xf numFmtId="0" fontId="64" fillId="0" borderId="0" xfId="43" applyFont="1" applyAlignment="1" applyProtection="1">
      <protection locked="0"/>
    </xf>
    <xf numFmtId="0" fontId="65" fillId="0" borderId="0" xfId="0" applyFont="1"/>
    <xf numFmtId="0" fontId="5" fillId="0" borderId="0" xfId="0" applyFont="1" applyAlignment="1">
      <alignment vertical="center"/>
    </xf>
    <xf numFmtId="0" fontId="36" fillId="34" borderId="23" xfId="0" applyFont="1" applyFill="1" applyBorder="1" applyAlignment="1">
      <alignment horizontal="center"/>
    </xf>
    <xf numFmtId="0" fontId="36" fillId="34" borderId="10" xfId="0" applyFont="1" applyFill="1" applyBorder="1" applyAlignment="1">
      <alignment horizontal="center"/>
    </xf>
    <xf numFmtId="0" fontId="59" fillId="0" borderId="0" xfId="0" applyFont="1" applyAlignment="1">
      <alignment vertical="top" wrapText="1"/>
    </xf>
    <xf numFmtId="0" fontId="30" fillId="0" borderId="0" xfId="0" applyFont="1" applyAlignment="1">
      <alignment horizontal="left"/>
    </xf>
    <xf numFmtId="0" fontId="66" fillId="0" borderId="0" xfId="0" applyFont="1" applyAlignment="1">
      <alignment vertical="center" wrapText="1"/>
    </xf>
    <xf numFmtId="0" fontId="67" fillId="36" borderId="13" xfId="0" applyFont="1" applyFill="1" applyBorder="1" applyAlignment="1" applyProtection="1">
      <alignment horizontal="center" vertical="center"/>
      <protection locked="0"/>
    </xf>
    <xf numFmtId="0" fontId="30" fillId="0" borderId="25" xfId="0" applyFont="1" applyBorder="1" applyAlignment="1">
      <alignment horizontal="center"/>
    </xf>
    <xf numFmtId="0" fontId="51" fillId="0" borderId="0" xfId="0" applyFont="1" applyAlignment="1">
      <alignment horizontal="center" vertical="center" wrapText="1"/>
    </xf>
    <xf numFmtId="0" fontId="36" fillId="34" borderId="10" xfId="0" applyFont="1" applyFill="1" applyBorder="1"/>
    <xf numFmtId="0" fontId="36" fillId="34" borderId="11" xfId="0" applyFont="1" applyFill="1" applyBorder="1"/>
    <xf numFmtId="172" fontId="30" fillId="0" borderId="23" xfId="0" applyNumberFormat="1" applyFont="1" applyBorder="1" applyAlignment="1">
      <alignment horizontal="center"/>
    </xf>
    <xf numFmtId="0" fontId="30" fillId="0" borderId="24" xfId="0" applyFont="1" applyBorder="1" applyAlignment="1">
      <alignment horizontal="center"/>
    </xf>
    <xf numFmtId="0" fontId="30" fillId="0" borderId="25" xfId="0" applyFont="1" applyBorder="1"/>
    <xf numFmtId="0" fontId="30" fillId="0" borderId="28" xfId="0" applyFont="1" applyBorder="1"/>
    <xf numFmtId="0" fontId="30" fillId="33" borderId="28" xfId="0" applyFont="1" applyFill="1" applyBorder="1" applyAlignment="1">
      <alignment horizontal="center"/>
    </xf>
    <xf numFmtId="0" fontId="30" fillId="0" borderId="23" xfId="0" applyFont="1" applyBorder="1" applyAlignment="1">
      <alignment horizontal="left"/>
    </xf>
    <xf numFmtId="0" fontId="28" fillId="0" borderId="24" xfId="0" applyFont="1" applyBorder="1" applyAlignment="1">
      <alignment horizontal="left"/>
    </xf>
    <xf numFmtId="0" fontId="30" fillId="0" borderId="15" xfId="0" applyFont="1" applyBorder="1" applyAlignment="1">
      <alignment horizontal="left"/>
    </xf>
    <xf numFmtId="0" fontId="30" fillId="40" borderId="23" xfId="0" applyFont="1" applyFill="1" applyBorder="1" applyAlignment="1">
      <alignment horizontal="left"/>
    </xf>
    <xf numFmtId="0" fontId="30" fillId="40" borderId="15" xfId="0" applyFont="1" applyFill="1" applyBorder="1" applyAlignment="1">
      <alignment horizontal="left"/>
    </xf>
    <xf numFmtId="0" fontId="30" fillId="40" borderId="24" xfId="0" applyFont="1" applyFill="1" applyBorder="1" applyAlignment="1">
      <alignment horizontal="left"/>
    </xf>
    <xf numFmtId="0" fontId="30" fillId="40" borderId="10" xfId="0" applyFont="1" applyFill="1" applyBorder="1" applyAlignment="1">
      <alignment horizontal="center"/>
    </xf>
    <xf numFmtId="0" fontId="30" fillId="40" borderId="0" xfId="0" applyFont="1" applyFill="1" applyAlignment="1">
      <alignment horizontal="center"/>
    </xf>
    <xf numFmtId="0" fontId="30" fillId="40" borderId="25" xfId="0" applyFont="1" applyFill="1" applyBorder="1" applyAlignment="1">
      <alignment horizontal="center"/>
    </xf>
    <xf numFmtId="171" fontId="30" fillId="35" borderId="18" xfId="0" applyNumberFormat="1" applyFont="1" applyFill="1" applyBorder="1" applyAlignment="1">
      <alignment horizontal="center" vertical="center" wrapText="1"/>
    </xf>
    <xf numFmtId="0" fontId="30" fillId="35" borderId="18" xfId="0" applyFont="1" applyFill="1" applyBorder="1" applyAlignment="1">
      <alignment horizontal="left" vertical="center" indent="2"/>
    </xf>
    <xf numFmtId="0" fontId="30" fillId="35" borderId="44" xfId="0" applyFont="1" applyFill="1" applyBorder="1" applyAlignment="1">
      <alignment horizontal="center" vertical="center" wrapText="1"/>
    </xf>
    <xf numFmtId="0" fontId="36" fillId="34" borderId="45" xfId="0" applyFont="1" applyFill="1" applyBorder="1" applyAlignment="1">
      <alignment horizontal="center"/>
    </xf>
    <xf numFmtId="0" fontId="36" fillId="34" borderId="46" xfId="0" applyFont="1" applyFill="1" applyBorder="1"/>
    <xf numFmtId="0" fontId="36" fillId="34" borderId="47" xfId="0" applyFont="1" applyFill="1" applyBorder="1"/>
    <xf numFmtId="0" fontId="36" fillId="34" borderId="48" xfId="0" applyFont="1" applyFill="1" applyBorder="1"/>
    <xf numFmtId="172" fontId="30" fillId="0" borderId="49" xfId="0" applyNumberFormat="1" applyFont="1" applyBorder="1" applyAlignment="1">
      <alignment horizontal="center"/>
    </xf>
    <xf numFmtId="0" fontId="30" fillId="0" borderId="50" xfId="0" applyFont="1" applyBorder="1" applyAlignment="1">
      <alignment horizontal="center"/>
    </xf>
    <xf numFmtId="0" fontId="30" fillId="0" borderId="51" xfId="0" applyFont="1" applyBorder="1" applyAlignment="1">
      <alignment horizontal="center"/>
    </xf>
    <xf numFmtId="0" fontId="30" fillId="0" borderId="52" xfId="0" applyFont="1" applyBorder="1"/>
    <xf numFmtId="0" fontId="30" fillId="33" borderId="53" xfId="0" applyFont="1" applyFill="1" applyBorder="1" applyAlignment="1">
      <alignment horizontal="center"/>
    </xf>
    <xf numFmtId="0" fontId="30" fillId="0" borderId="54" xfId="0" applyFont="1" applyBorder="1" applyAlignment="1">
      <alignment horizontal="center"/>
    </xf>
    <xf numFmtId="10" fontId="28" fillId="33" borderId="55" xfId="42" applyNumberFormat="1" applyFont="1" applyFill="1" applyBorder="1" applyAlignment="1" applyProtection="1">
      <alignment horizontal="center"/>
    </xf>
    <xf numFmtId="0" fontId="30" fillId="40" borderId="49" xfId="0" applyFont="1" applyFill="1" applyBorder="1" applyAlignment="1">
      <alignment horizontal="center"/>
    </xf>
    <xf numFmtId="10" fontId="28" fillId="40" borderId="56" xfId="42" applyNumberFormat="1" applyFont="1" applyFill="1" applyBorder="1" applyAlignment="1" applyProtection="1">
      <alignment horizontal="center"/>
    </xf>
    <xf numFmtId="0" fontId="30" fillId="40" borderId="54" xfId="0" applyFont="1" applyFill="1" applyBorder="1" applyAlignment="1">
      <alignment horizontal="center"/>
    </xf>
    <xf numFmtId="10" fontId="28" fillId="40" borderId="55" xfId="42" applyNumberFormat="1" applyFont="1" applyFill="1" applyBorder="1" applyAlignment="1" applyProtection="1">
      <alignment horizontal="center"/>
    </xf>
    <xf numFmtId="0" fontId="30" fillId="40" borderId="57" xfId="0" applyFont="1" applyFill="1" applyBorder="1" applyAlignment="1">
      <alignment horizontal="center"/>
    </xf>
    <xf numFmtId="167" fontId="30" fillId="40" borderId="58" xfId="42" applyNumberFormat="1" applyFont="1" applyFill="1" applyBorder="1" applyAlignment="1" applyProtection="1">
      <alignment horizontal="center"/>
    </xf>
    <xf numFmtId="167" fontId="30" fillId="40" borderId="58" xfId="0" applyNumberFormat="1" applyFont="1" applyFill="1" applyBorder="1" applyAlignment="1">
      <alignment horizontal="center"/>
    </xf>
    <xf numFmtId="10" fontId="28" fillId="40" borderId="59" xfId="42" applyNumberFormat="1" applyFont="1" applyFill="1" applyBorder="1" applyAlignment="1" applyProtection="1">
      <alignment horizontal="center"/>
    </xf>
    <xf numFmtId="10" fontId="28" fillId="40" borderId="60" xfId="42" applyNumberFormat="1" applyFont="1" applyFill="1" applyBorder="1" applyAlignment="1" applyProtection="1">
      <alignment horizontal="center"/>
    </xf>
    <xf numFmtId="0" fontId="51" fillId="37" borderId="19" xfId="0" applyFont="1" applyFill="1" applyBorder="1" applyAlignment="1">
      <alignment vertical="center"/>
    </xf>
    <xf numFmtId="0" fontId="59" fillId="0" borderId="0" xfId="0" applyFont="1" applyAlignment="1">
      <alignment wrapText="1"/>
    </xf>
    <xf numFmtId="0" fontId="59" fillId="0" borderId="0" xfId="0" applyFont="1" applyAlignment="1">
      <alignment vertical="top"/>
    </xf>
    <xf numFmtId="0" fontId="3" fillId="0" borderId="0" xfId="0" applyFont="1" applyAlignment="1">
      <alignment vertical="center"/>
    </xf>
    <xf numFmtId="0" fontId="59" fillId="36" borderId="13" xfId="0" applyFont="1" applyFill="1" applyBorder="1" applyAlignment="1" applyProtection="1">
      <alignment horizontal="center" vertical="top" wrapText="1"/>
      <protection locked="0"/>
    </xf>
    <xf numFmtId="0" fontId="30" fillId="35" borderId="20" xfId="0" applyFont="1" applyFill="1" applyBorder="1" applyAlignment="1">
      <alignment horizontal="center" vertical="center" wrapText="1"/>
    </xf>
    <xf numFmtId="0" fontId="2" fillId="0" borderId="0" xfId="0" applyFont="1" applyAlignment="1">
      <alignment vertical="center"/>
    </xf>
    <xf numFmtId="0" fontId="5" fillId="59" borderId="0" xfId="0" applyFont="1" applyFill="1" applyAlignment="1">
      <alignment horizontal="center"/>
    </xf>
    <xf numFmtId="11" fontId="32" fillId="0" borderId="0" xfId="0" applyNumberFormat="1" applyFont="1" applyAlignment="1">
      <alignment horizontal="center" vertical="center"/>
    </xf>
    <xf numFmtId="0" fontId="51" fillId="0" borderId="0" xfId="0" applyFont="1" applyAlignment="1" applyProtection="1">
      <alignment horizontal="center" vertical="center" wrapText="1"/>
      <protection locked="0"/>
    </xf>
    <xf numFmtId="0" fontId="1" fillId="0" borderId="0" xfId="0" applyFont="1"/>
    <xf numFmtId="0" fontId="71" fillId="0" borderId="61" xfId="0" applyFont="1" applyBorder="1" applyAlignment="1">
      <alignment horizontal="center" vertical="center" wrapText="1"/>
    </xf>
    <xf numFmtId="0" fontId="71" fillId="0" borderId="61" xfId="0" applyFont="1" applyBorder="1" applyAlignment="1">
      <alignment horizontal="center" vertical="center"/>
    </xf>
    <xf numFmtId="0" fontId="28" fillId="39" borderId="62" xfId="0" applyFont="1" applyFill="1" applyBorder="1" applyAlignment="1">
      <alignment horizontal="left" vertical="center" wrapText="1"/>
    </xf>
    <xf numFmtId="0" fontId="28" fillId="39" borderId="61" xfId="0" applyFont="1" applyFill="1" applyBorder="1" applyAlignment="1">
      <alignment horizontal="center" vertical="center" wrapText="1"/>
    </xf>
    <xf numFmtId="10" fontId="28" fillId="39" borderId="61" xfId="0" applyNumberFormat="1" applyFont="1" applyFill="1" applyBorder="1" applyAlignment="1">
      <alignment horizontal="center" vertical="center" wrapText="1"/>
    </xf>
    <xf numFmtId="1" fontId="28" fillId="39" borderId="61" xfId="0" applyNumberFormat="1" applyFont="1" applyFill="1" applyBorder="1" applyAlignment="1">
      <alignment horizontal="center" vertical="center" wrapText="1"/>
    </xf>
    <xf numFmtId="0" fontId="28" fillId="39" borderId="63" xfId="0" applyFont="1" applyFill="1" applyBorder="1" applyAlignment="1">
      <alignment horizontal="center" vertical="center" wrapText="1"/>
    </xf>
    <xf numFmtId="0" fontId="28" fillId="39" borderId="35" xfId="0" applyFont="1" applyFill="1" applyBorder="1" applyAlignment="1">
      <alignment horizontal="center" vertical="center"/>
    </xf>
    <xf numFmtId="0" fontId="30" fillId="0" borderId="33" xfId="0" applyFont="1" applyBorder="1" applyAlignment="1">
      <alignment horizontal="left" vertical="center"/>
    </xf>
    <xf numFmtId="0" fontId="32" fillId="0" borderId="61" xfId="0" applyFont="1" applyBorder="1" applyAlignment="1">
      <alignment horizontal="center" vertical="center"/>
    </xf>
    <xf numFmtId="1" fontId="32" fillId="0" borderId="61" xfId="0" applyNumberFormat="1" applyFont="1" applyBorder="1" applyAlignment="1">
      <alignment horizontal="center" vertical="center"/>
    </xf>
    <xf numFmtId="10" fontId="32" fillId="0" borderId="61" xfId="42" applyNumberFormat="1" applyFont="1" applyFill="1" applyBorder="1" applyAlignment="1" applyProtection="1">
      <alignment horizontal="center" vertical="center"/>
    </xf>
    <xf numFmtId="2" fontId="32" fillId="0" borderId="61" xfId="0" applyNumberFormat="1" applyFont="1" applyBorder="1" applyAlignment="1">
      <alignment horizontal="center" vertical="center"/>
    </xf>
    <xf numFmtId="0" fontId="32" fillId="0" borderId="61" xfId="0" applyFont="1" applyBorder="1" applyAlignment="1">
      <alignment horizontal="center" vertical="center" wrapText="1"/>
    </xf>
    <xf numFmtId="0" fontId="32" fillId="0" borderId="61" xfId="0" quotePrefix="1" applyFont="1" applyBorder="1" applyAlignment="1">
      <alignment horizontal="center" vertical="center" wrapText="1"/>
    </xf>
    <xf numFmtId="0" fontId="32" fillId="0" borderId="34" xfId="0" applyFont="1" applyBorder="1" applyAlignment="1">
      <alignment horizontal="center" vertical="center"/>
    </xf>
    <xf numFmtId="0" fontId="32" fillId="0" borderId="34" xfId="0" applyFont="1" applyBorder="1" applyAlignment="1">
      <alignment horizontal="center" vertical="center" wrapText="1"/>
    </xf>
    <xf numFmtId="0" fontId="32" fillId="0" borderId="61" xfId="0" quotePrefix="1" applyFont="1" applyBorder="1" applyAlignment="1">
      <alignment horizontal="center" vertical="center"/>
    </xf>
    <xf numFmtId="168" fontId="32" fillId="0" borderId="61" xfId="0" applyNumberFormat="1" applyFont="1" applyBorder="1" applyAlignment="1">
      <alignment horizontal="center" vertical="center"/>
    </xf>
    <xf numFmtId="171" fontId="32" fillId="0" borderId="61" xfId="0" applyNumberFormat="1" applyFont="1" applyBorder="1" applyAlignment="1">
      <alignment horizontal="center" vertical="center"/>
    </xf>
    <xf numFmtId="0" fontId="32" fillId="0" borderId="61" xfId="27" applyFont="1" applyFill="1" applyBorder="1" applyAlignment="1" applyProtection="1">
      <alignment horizontal="center" vertical="center" wrapText="1"/>
    </xf>
    <xf numFmtId="0" fontId="32" fillId="0" borderId="61" xfId="27" quotePrefix="1" applyFont="1" applyFill="1" applyBorder="1" applyAlignment="1" applyProtection="1">
      <alignment horizontal="center" vertical="center" wrapText="1"/>
    </xf>
    <xf numFmtId="1" fontId="32" fillId="0" borderId="61" xfId="0" applyNumberFormat="1" applyFont="1" applyBorder="1" applyAlignment="1">
      <alignment horizontal="center" vertical="center" wrapText="1"/>
    </xf>
    <xf numFmtId="10" fontId="32" fillId="0" borderId="61" xfId="42" applyNumberFormat="1" applyFont="1" applyFill="1" applyBorder="1" applyAlignment="1" applyProtection="1">
      <alignment horizontal="center" vertical="center" wrapText="1"/>
    </xf>
    <xf numFmtId="0" fontId="55" fillId="0" borderId="61" xfId="27" applyFont="1" applyFill="1" applyBorder="1" applyAlignment="1" applyProtection="1">
      <alignment horizontal="center" vertical="center" wrapText="1"/>
    </xf>
    <xf numFmtId="0" fontId="71" fillId="0" borderId="61" xfId="27" quotePrefix="1" applyFont="1" applyFill="1" applyBorder="1" applyAlignment="1" applyProtection="1">
      <alignment horizontal="center" vertical="center" wrapText="1"/>
    </xf>
    <xf numFmtId="0" fontId="32" fillId="0" borderId="61" xfId="27" applyNumberFormat="1" applyFont="1" applyFill="1" applyBorder="1" applyAlignment="1" applyProtection="1">
      <alignment horizontal="center" vertical="center" wrapText="1"/>
    </xf>
    <xf numFmtId="1" fontId="71" fillId="0" borderId="61" xfId="0" applyNumberFormat="1" applyFont="1" applyBorder="1" applyAlignment="1">
      <alignment horizontal="center" vertical="center" wrapText="1"/>
    </xf>
    <xf numFmtId="0" fontId="55" fillId="0" borderId="61" xfId="0" applyFont="1" applyBorder="1" applyAlignment="1">
      <alignment horizontal="center" vertical="center"/>
    </xf>
    <xf numFmtId="0" fontId="55" fillId="0" borderId="61" xfId="0" applyFont="1" applyBorder="1" applyAlignment="1">
      <alignment horizontal="center" vertical="center" wrapText="1"/>
    </xf>
    <xf numFmtId="1" fontId="55" fillId="0" borderId="61" xfId="0" applyNumberFormat="1" applyFont="1" applyBorder="1" applyAlignment="1">
      <alignment horizontal="center" vertical="center"/>
    </xf>
    <xf numFmtId="10" fontId="55" fillId="0" borderId="61" xfId="42" applyNumberFormat="1" applyFont="1" applyFill="1" applyBorder="1" applyAlignment="1" applyProtection="1">
      <alignment horizontal="center" vertical="center"/>
    </xf>
    <xf numFmtId="0" fontId="32" fillId="0" borderId="64" xfId="0" applyFont="1" applyBorder="1" applyAlignment="1">
      <alignment horizontal="center" vertical="center"/>
    </xf>
    <xf numFmtId="10" fontId="32" fillId="0" borderId="64" xfId="42" applyNumberFormat="1" applyFont="1" applyFill="1" applyBorder="1" applyAlignment="1" applyProtection="1">
      <alignment horizontal="center" vertical="center"/>
    </xf>
    <xf numFmtId="1" fontId="32" fillId="0" borderId="64" xfId="0" applyNumberFormat="1" applyFont="1" applyBorder="1" applyAlignment="1">
      <alignment horizontal="center" vertical="center"/>
    </xf>
    <xf numFmtId="0" fontId="32" fillId="0" borderId="64" xfId="0" applyFont="1" applyBorder="1" applyAlignment="1">
      <alignment horizontal="center" vertical="center" wrapText="1"/>
    </xf>
    <xf numFmtId="0" fontId="32" fillId="0" borderId="64" xfId="0" quotePrefix="1" applyFont="1" applyBorder="1" applyAlignment="1">
      <alignment horizontal="center" vertical="center" wrapText="1"/>
    </xf>
    <xf numFmtId="0" fontId="55" fillId="0" borderId="34" xfId="0" applyFont="1" applyBorder="1" applyAlignment="1">
      <alignment horizontal="center" vertical="center"/>
    </xf>
    <xf numFmtId="0" fontId="30" fillId="0" borderId="25" xfId="0" applyFont="1" applyBorder="1" applyAlignment="1">
      <alignment horizontal="center" vertical="center" wrapText="1"/>
    </xf>
    <xf numFmtId="0" fontId="34" fillId="0" borderId="0" xfId="0" applyFont="1"/>
    <xf numFmtId="0" fontId="66" fillId="0" borderId="0" xfId="0" applyFont="1" applyAlignment="1">
      <alignment horizontal="center" vertical="center" wrapText="1"/>
    </xf>
    <xf numFmtId="0" fontId="30" fillId="0" borderId="0" xfId="0" applyFont="1" applyAlignment="1">
      <alignment wrapText="1"/>
    </xf>
    <xf numFmtId="0" fontId="66" fillId="0" borderId="0" xfId="0" applyFont="1" applyAlignment="1">
      <alignment horizontal="center" vertical="center"/>
    </xf>
    <xf numFmtId="0" fontId="73" fillId="0" borderId="0" xfId="0" applyFont="1"/>
    <xf numFmtId="49" fontId="32" fillId="0" borderId="61" xfId="0" applyNumberFormat="1" applyFont="1" applyBorder="1" applyAlignment="1">
      <alignment horizontal="center" vertical="center"/>
    </xf>
    <xf numFmtId="49" fontId="32" fillId="0" borderId="61" xfId="0" quotePrefix="1" applyNumberFormat="1" applyFont="1" applyBorder="1" applyAlignment="1">
      <alignment horizontal="center" vertical="center"/>
    </xf>
    <xf numFmtId="49" fontId="32" fillId="0" borderId="61" xfId="0" quotePrefix="1" applyNumberFormat="1" applyFont="1" applyBorder="1" applyAlignment="1">
      <alignment horizontal="center" vertical="center" wrapText="1"/>
    </xf>
    <xf numFmtId="49" fontId="32" fillId="0" borderId="61" xfId="0" applyNumberFormat="1" applyFont="1" applyBorder="1" applyAlignment="1">
      <alignment horizontal="center" vertical="center" wrapText="1"/>
    </xf>
    <xf numFmtId="49" fontId="71" fillId="0" borderId="61" xfId="0" applyNumberFormat="1" applyFont="1" applyBorder="1" applyAlignment="1">
      <alignment horizontal="center" vertical="center" wrapText="1"/>
    </xf>
    <xf numFmtId="49" fontId="55" fillId="0" borderId="61" xfId="0" quotePrefix="1" applyNumberFormat="1" applyFont="1" applyBorder="1" applyAlignment="1">
      <alignment horizontal="center" vertical="center"/>
    </xf>
    <xf numFmtId="2" fontId="55" fillId="0" borderId="61" xfId="0" applyNumberFormat="1" applyFont="1" applyBorder="1" applyAlignment="1">
      <alignment horizontal="center" vertical="center"/>
    </xf>
    <xf numFmtId="168" fontId="30" fillId="0" borderId="0" xfId="0" applyNumberFormat="1" applyFont="1" applyAlignment="1">
      <alignment horizontal="right"/>
    </xf>
    <xf numFmtId="167" fontId="32" fillId="0" borderId="61" xfId="42" applyNumberFormat="1" applyFont="1" applyFill="1" applyBorder="1" applyAlignment="1" applyProtection="1">
      <alignment horizontal="center" vertical="center"/>
    </xf>
    <xf numFmtId="49" fontId="32" fillId="0" borderId="64" xfId="0" quotePrefix="1" applyNumberFormat="1" applyFont="1" applyBorder="1" applyAlignment="1">
      <alignment horizontal="center" vertical="center" wrapText="1"/>
    </xf>
    <xf numFmtId="0" fontId="32" fillId="0" borderId="40" xfId="0" applyFont="1" applyBorder="1" applyAlignment="1">
      <alignment horizontal="center" vertical="center" wrapText="1"/>
    </xf>
    <xf numFmtId="0" fontId="60" fillId="58" borderId="0" xfId="0" applyFont="1" applyFill="1" applyAlignment="1">
      <alignment horizontal="left" indent="2"/>
    </xf>
    <xf numFmtId="167" fontId="55" fillId="0" borderId="61" xfId="42" applyNumberFormat="1" applyFont="1" applyFill="1" applyBorder="1" applyAlignment="1" applyProtection="1">
      <alignment horizontal="center" vertical="center"/>
    </xf>
    <xf numFmtId="10" fontId="30" fillId="0" borderId="0" xfId="0" applyNumberFormat="1" applyFont="1" applyAlignment="1">
      <alignment horizontal="center"/>
    </xf>
    <xf numFmtId="0" fontId="0" fillId="0" borderId="0" xfId="0" applyAlignment="1">
      <alignment horizontal="center"/>
    </xf>
    <xf numFmtId="0" fontId="0" fillId="56" borderId="0" xfId="0" applyFill="1" applyAlignment="1">
      <alignment horizontal="center"/>
    </xf>
    <xf numFmtId="0" fontId="30" fillId="60" borderId="0" xfId="0" applyFont="1" applyFill="1" applyAlignment="1">
      <alignment horizontal="center" vertical="center" wrapText="1"/>
    </xf>
    <xf numFmtId="0" fontId="28" fillId="0" borderId="23" xfId="0" applyFont="1" applyBorder="1" applyAlignment="1">
      <alignment horizontal="center"/>
    </xf>
    <xf numFmtId="0" fontId="28" fillId="0" borderId="10" xfId="0" applyFont="1" applyBorder="1" applyAlignment="1">
      <alignment horizontal="center"/>
    </xf>
    <xf numFmtId="0" fontId="28" fillId="0" borderId="11" xfId="0" applyFont="1" applyBorder="1" applyAlignment="1">
      <alignment horizontal="center"/>
    </xf>
    <xf numFmtId="0" fontId="28" fillId="0" borderId="39" xfId="0" applyFont="1" applyBorder="1" applyAlignment="1">
      <alignment horizontal="center" vertical="center"/>
    </xf>
    <xf numFmtId="0" fontId="28" fillId="0" borderId="30" xfId="0" applyFont="1" applyBorder="1" applyAlignment="1">
      <alignment horizontal="center" vertical="center"/>
    </xf>
    <xf numFmtId="0" fontId="72" fillId="0" borderId="0" xfId="0" applyFont="1" applyAlignment="1">
      <alignment horizontal="center" vertical="center" wrapText="1"/>
    </xf>
    <xf numFmtId="0" fontId="28" fillId="0" borderId="49" xfId="0" applyFont="1" applyBorder="1" applyAlignment="1">
      <alignment horizontal="center"/>
    </xf>
    <xf numFmtId="0" fontId="28" fillId="0" borderId="50" xfId="0" applyFont="1" applyBorder="1" applyAlignment="1">
      <alignment horizontal="center"/>
    </xf>
    <xf numFmtId="0" fontId="28" fillId="0" borderId="16" xfId="0" applyFont="1" applyBorder="1" applyAlignment="1">
      <alignment horizontal="center" vertical="center"/>
    </xf>
    <xf numFmtId="0" fontId="28" fillId="0" borderId="31" xfId="0" applyFont="1" applyBorder="1" applyAlignment="1">
      <alignment horizontal="center" vertical="center"/>
    </xf>
    <xf numFmtId="0" fontId="30" fillId="56" borderId="0" xfId="0" applyFont="1" applyFill="1" applyAlignment="1">
      <alignment horizontal="center"/>
    </xf>
    <xf numFmtId="0" fontId="30" fillId="0" borderId="0" xfId="0" applyFont="1" applyAlignment="1">
      <alignment horizontal="center"/>
    </xf>
    <xf numFmtId="0" fontId="30" fillId="0" borderId="43" xfId="0" applyFont="1" applyBorder="1" applyAlignment="1">
      <alignment horizontal="center" vertical="center" wrapText="1"/>
    </xf>
    <xf numFmtId="0" fontId="30" fillId="0" borderId="42" xfId="0" applyFont="1" applyBorder="1" applyAlignment="1">
      <alignment horizontal="center" vertical="center" wrapText="1"/>
    </xf>
    <xf numFmtId="0" fontId="4" fillId="36" borderId="43" xfId="0" applyFont="1" applyFill="1" applyBorder="1" applyAlignment="1" applyProtection="1">
      <alignment horizontal="center" vertical="center"/>
      <protection locked="0"/>
    </xf>
    <xf numFmtId="0" fontId="4" fillId="36" borderId="42" xfId="0" applyFont="1" applyFill="1" applyBorder="1" applyAlignment="1" applyProtection="1">
      <alignment horizontal="center" vertical="center"/>
      <protection locked="0"/>
    </xf>
    <xf numFmtId="0" fontId="61" fillId="0" borderId="0" xfId="43" applyFont="1" applyFill="1" applyAlignment="1">
      <alignment horizontal="left"/>
    </xf>
    <xf numFmtId="0" fontId="61" fillId="0" borderId="0" xfId="43" applyFont="1" applyAlignment="1" applyProtection="1">
      <alignment horizontal="left"/>
      <protection locked="0"/>
    </xf>
    <xf numFmtId="0" fontId="59" fillId="0" borderId="0" xfId="0" applyFont="1" applyAlignment="1">
      <alignment vertical="top"/>
    </xf>
    <xf numFmtId="0" fontId="5" fillId="0" borderId="0" xfId="0" applyFont="1" applyAlignment="1">
      <alignment horizontal="center"/>
    </xf>
    <xf numFmtId="0" fontId="5" fillId="56" borderId="0" xfId="0" applyFont="1" applyFill="1" applyAlignment="1">
      <alignment horizontal="center"/>
    </xf>
    <xf numFmtId="0" fontId="59" fillId="0" borderId="0" xfId="0" applyFont="1" applyAlignment="1">
      <alignment horizontal="left" vertical="top" wrapText="1"/>
    </xf>
    <xf numFmtId="0" fontId="59" fillId="0" borderId="0" xfId="0" applyFont="1"/>
    <xf numFmtId="0" fontId="69" fillId="0" borderId="0" xfId="43" applyFont="1" applyAlignment="1">
      <alignment horizontal="left"/>
    </xf>
    <xf numFmtId="0" fontId="59" fillId="0" borderId="0" xfId="0" applyFont="1" applyAlignment="1">
      <alignment vertical="top" wrapText="1"/>
    </xf>
    <xf numFmtId="0" fontId="5" fillId="59" borderId="23" xfId="0" applyFont="1" applyFill="1" applyBorder="1" applyAlignment="1">
      <alignment horizontal="center"/>
    </xf>
    <xf numFmtId="0" fontId="5" fillId="59" borderId="10" xfId="0" applyFont="1" applyFill="1" applyBorder="1" applyAlignment="1">
      <alignment horizontal="center"/>
    </xf>
    <xf numFmtId="0" fontId="5" fillId="59" borderId="11" xfId="0" applyFont="1" applyFill="1" applyBorder="1" applyAlignment="1">
      <alignment horizontal="center"/>
    </xf>
    <xf numFmtId="0" fontId="5" fillId="59" borderId="15" xfId="0" applyFont="1" applyFill="1" applyBorder="1" applyAlignment="1">
      <alignment horizontal="center"/>
    </xf>
    <xf numFmtId="0" fontId="5" fillId="59" borderId="0" xfId="0" applyFont="1" applyFill="1" applyAlignment="1">
      <alignment horizontal="center"/>
    </xf>
    <xf numFmtId="0" fontId="5" fillId="59" borderId="29" xfId="0" applyFont="1" applyFill="1" applyBorder="1" applyAlignment="1">
      <alignment horizontal="center"/>
    </xf>
    <xf numFmtId="0" fontId="5" fillId="59" borderId="24" xfId="0" applyFont="1" applyFill="1" applyBorder="1" applyAlignment="1">
      <alignment horizontal="center"/>
    </xf>
    <xf numFmtId="0" fontId="5" fillId="59" borderId="25" xfId="0" applyFont="1" applyFill="1" applyBorder="1" applyAlignment="1">
      <alignment horizontal="center"/>
    </xf>
    <xf numFmtId="0" fontId="5" fillId="59" borderId="28" xfId="0" applyFont="1" applyFill="1" applyBorder="1" applyAlignment="1">
      <alignment horizontal="center"/>
    </xf>
  </cellXfs>
  <cellStyles count="252">
    <cellStyle name="20 % - Akzent1" xfId="19" builtinId="30" customBuiltin="1"/>
    <cellStyle name="20 % - Akzent2" xfId="23" builtinId="34" customBuiltin="1"/>
    <cellStyle name="20 % - Akzent3" xfId="27" builtinId="38" customBuiltin="1"/>
    <cellStyle name="20 % - Akzent4" xfId="31" builtinId="42" customBuiltin="1"/>
    <cellStyle name="20 % - Akzent5" xfId="35" builtinId="46" customBuiltin="1"/>
    <cellStyle name="20 % - Akzent6" xfId="39" builtinId="50" customBuiltin="1"/>
    <cellStyle name="20% - Accent1 2" xfId="114" xr:uid="{00000000-0005-0000-0000-000001000000}"/>
    <cellStyle name="20% - Accent1 2 2" xfId="212" xr:uid="{00000000-0005-0000-0000-000002000000}"/>
    <cellStyle name="20% - Accent1 3" xfId="185" xr:uid="{00000000-0005-0000-0000-000003000000}"/>
    <cellStyle name="20% - Accent2 2" xfId="118" xr:uid="{00000000-0005-0000-0000-000005000000}"/>
    <cellStyle name="20% - Accent2 2 2" xfId="214" xr:uid="{00000000-0005-0000-0000-000006000000}"/>
    <cellStyle name="20% - Accent2 3" xfId="187" xr:uid="{00000000-0005-0000-0000-000007000000}"/>
    <cellStyle name="20% - Accent3 2" xfId="122" xr:uid="{00000000-0005-0000-0000-000009000000}"/>
    <cellStyle name="20% - Accent3 2 2" xfId="216" xr:uid="{00000000-0005-0000-0000-00000A000000}"/>
    <cellStyle name="20% - Accent3 3" xfId="189" xr:uid="{00000000-0005-0000-0000-00000B000000}"/>
    <cellStyle name="20% - Accent4 2" xfId="126" xr:uid="{00000000-0005-0000-0000-00000D000000}"/>
    <cellStyle name="20% - Accent4 2 2" xfId="218" xr:uid="{00000000-0005-0000-0000-00000E000000}"/>
    <cellStyle name="20% - Accent4 3" xfId="191" xr:uid="{00000000-0005-0000-0000-00000F000000}"/>
    <cellStyle name="20% - Accent5 2" xfId="130" xr:uid="{00000000-0005-0000-0000-000011000000}"/>
    <cellStyle name="20% - Accent5 2 2" xfId="220" xr:uid="{00000000-0005-0000-0000-000012000000}"/>
    <cellStyle name="20% - Accent5 3" xfId="193" xr:uid="{00000000-0005-0000-0000-000013000000}"/>
    <cellStyle name="20% - Accent6 2" xfId="134" xr:uid="{00000000-0005-0000-0000-000015000000}"/>
    <cellStyle name="20% - Accent6 2 2" xfId="222" xr:uid="{00000000-0005-0000-0000-000016000000}"/>
    <cellStyle name="20% - Accent6 3" xfId="195" xr:uid="{00000000-0005-0000-0000-000017000000}"/>
    <cellStyle name="40 % - Akzent1" xfId="20" builtinId="31" customBuiltin="1"/>
    <cellStyle name="40 % - Akzent2" xfId="24" builtinId="35" customBuiltin="1"/>
    <cellStyle name="40 % - Akzent3" xfId="28" builtinId="39" customBuiltin="1"/>
    <cellStyle name="40 % - Akzent4" xfId="32" builtinId="43" customBuiltin="1"/>
    <cellStyle name="40 % - Akzent5" xfId="36" builtinId="47" customBuiltin="1"/>
    <cellStyle name="40 % - Akzent6" xfId="40" builtinId="51" customBuiltin="1"/>
    <cellStyle name="40% - Accent1 2" xfId="115" xr:uid="{00000000-0005-0000-0000-000019000000}"/>
    <cellStyle name="40% - Accent1 2 2" xfId="213" xr:uid="{00000000-0005-0000-0000-00001A000000}"/>
    <cellStyle name="40% - Accent1 3" xfId="186" xr:uid="{00000000-0005-0000-0000-00001B000000}"/>
    <cellStyle name="40% - Accent2 2" xfId="119" xr:uid="{00000000-0005-0000-0000-00001D000000}"/>
    <cellStyle name="40% - Accent2 2 2" xfId="215" xr:uid="{00000000-0005-0000-0000-00001E000000}"/>
    <cellStyle name="40% - Accent2 3" xfId="188" xr:uid="{00000000-0005-0000-0000-00001F000000}"/>
    <cellStyle name="40% - Accent3 2" xfId="123" xr:uid="{00000000-0005-0000-0000-000021000000}"/>
    <cellStyle name="40% - Accent3 2 2" xfId="217" xr:uid="{00000000-0005-0000-0000-000022000000}"/>
    <cellStyle name="40% - Accent3 3" xfId="190" xr:uid="{00000000-0005-0000-0000-000023000000}"/>
    <cellStyle name="40% - Accent4 2" xfId="127" xr:uid="{00000000-0005-0000-0000-000025000000}"/>
    <cellStyle name="40% - Accent4 2 2" xfId="219" xr:uid="{00000000-0005-0000-0000-000026000000}"/>
    <cellStyle name="40% - Accent4 3" xfId="192" xr:uid="{00000000-0005-0000-0000-000027000000}"/>
    <cellStyle name="40% - Accent5 2" xfId="131" xr:uid="{00000000-0005-0000-0000-000029000000}"/>
    <cellStyle name="40% - Accent5 2 2" xfId="221" xr:uid="{00000000-0005-0000-0000-00002A000000}"/>
    <cellStyle name="40% - Accent5 3" xfId="194" xr:uid="{00000000-0005-0000-0000-00002B000000}"/>
    <cellStyle name="40% - Accent6 2" xfId="135" xr:uid="{00000000-0005-0000-0000-00002D000000}"/>
    <cellStyle name="40% - Accent6 2 2" xfId="223" xr:uid="{00000000-0005-0000-0000-00002E000000}"/>
    <cellStyle name="40% - Accent6 3" xfId="196" xr:uid="{00000000-0005-0000-0000-00002F000000}"/>
    <cellStyle name="60 % - Akzent1" xfId="21" builtinId="32" customBuiltin="1"/>
    <cellStyle name="60 % - Akzent2" xfId="25" builtinId="36" customBuiltin="1"/>
    <cellStyle name="60 % - Akzent3" xfId="29" builtinId="40" customBuiltin="1"/>
    <cellStyle name="60 % - Akzent4" xfId="33" builtinId="44" customBuiltin="1"/>
    <cellStyle name="60 % - Akzent5" xfId="37" builtinId="48" customBuiltin="1"/>
    <cellStyle name="60 % - Akzent6" xfId="41" builtinId="52" customBuiltin="1"/>
    <cellStyle name="60% - Accent1 2" xfId="116" xr:uid="{00000000-0005-0000-0000-000031000000}"/>
    <cellStyle name="60% - Accent2 2" xfId="120" xr:uid="{00000000-0005-0000-0000-000033000000}"/>
    <cellStyle name="60% - Accent3 2" xfId="124" xr:uid="{00000000-0005-0000-0000-000035000000}"/>
    <cellStyle name="60% - Accent4 2" xfId="128" xr:uid="{00000000-0005-0000-0000-000037000000}"/>
    <cellStyle name="60% - Accent5 2" xfId="132" xr:uid="{00000000-0005-0000-0000-000039000000}"/>
    <cellStyle name="60% - Accent6 2" xfId="136" xr:uid="{00000000-0005-0000-0000-00003B000000}"/>
    <cellStyle name="Accent1 - 20%" xfId="61" xr:uid="{00000000-0005-0000-0000-00003D000000}"/>
    <cellStyle name="Accent1 - 40%" xfId="62" xr:uid="{00000000-0005-0000-0000-00003E000000}"/>
    <cellStyle name="Accent1 - 60%" xfId="63" xr:uid="{00000000-0005-0000-0000-00003F000000}"/>
    <cellStyle name="Accent1 2" xfId="113" xr:uid="{00000000-0005-0000-0000-000040000000}"/>
    <cellStyle name="Accent1 3" xfId="146" xr:uid="{00000000-0005-0000-0000-000041000000}"/>
    <cellStyle name="Accent1 4" xfId="164" xr:uid="{00000000-0005-0000-0000-000042000000}"/>
    <cellStyle name="Accent1 5" xfId="168" xr:uid="{00000000-0005-0000-0000-000043000000}"/>
    <cellStyle name="Accent1 6" xfId="246" xr:uid="{00000000-0005-0000-0000-000044000000}"/>
    <cellStyle name="Accent2 - 20%" xfId="64" xr:uid="{00000000-0005-0000-0000-000046000000}"/>
    <cellStyle name="Accent2 - 40%" xfId="65" xr:uid="{00000000-0005-0000-0000-000047000000}"/>
    <cellStyle name="Accent2 - 60%" xfId="66" xr:uid="{00000000-0005-0000-0000-000048000000}"/>
    <cellStyle name="Accent2 2" xfId="117" xr:uid="{00000000-0005-0000-0000-000049000000}"/>
    <cellStyle name="Accent2 3" xfId="147" xr:uid="{00000000-0005-0000-0000-00004A000000}"/>
    <cellStyle name="Accent2 4" xfId="167" xr:uid="{00000000-0005-0000-0000-00004B000000}"/>
    <cellStyle name="Accent2 5" xfId="165" xr:uid="{00000000-0005-0000-0000-00004C000000}"/>
    <cellStyle name="Accent2 6" xfId="247" xr:uid="{00000000-0005-0000-0000-00004D000000}"/>
    <cellStyle name="Accent3 - 20%" xfId="67" xr:uid="{00000000-0005-0000-0000-00004F000000}"/>
    <cellStyle name="Accent3 - 40%" xfId="68" xr:uid="{00000000-0005-0000-0000-000050000000}"/>
    <cellStyle name="Accent3 - 60%" xfId="69" xr:uid="{00000000-0005-0000-0000-000051000000}"/>
    <cellStyle name="Accent3 2" xfId="121" xr:uid="{00000000-0005-0000-0000-000052000000}"/>
    <cellStyle name="Accent3 3" xfId="148" xr:uid="{00000000-0005-0000-0000-000053000000}"/>
    <cellStyle name="Accent3 4" xfId="166" xr:uid="{00000000-0005-0000-0000-000054000000}"/>
    <cellStyle name="Accent3 5" xfId="162" xr:uid="{00000000-0005-0000-0000-000055000000}"/>
    <cellStyle name="Accent3 6" xfId="248" xr:uid="{00000000-0005-0000-0000-000056000000}"/>
    <cellStyle name="Accent4 - 20%" xfId="70" xr:uid="{00000000-0005-0000-0000-000058000000}"/>
    <cellStyle name="Accent4 - 40%" xfId="71" xr:uid="{00000000-0005-0000-0000-000059000000}"/>
    <cellStyle name="Accent4 - 60%" xfId="72" xr:uid="{00000000-0005-0000-0000-00005A000000}"/>
    <cellStyle name="Accent4 2" xfId="125" xr:uid="{00000000-0005-0000-0000-00005B000000}"/>
    <cellStyle name="Accent4 3" xfId="149" xr:uid="{00000000-0005-0000-0000-00005C000000}"/>
    <cellStyle name="Accent4 4" xfId="160" xr:uid="{00000000-0005-0000-0000-00005D000000}"/>
    <cellStyle name="Accent4 5" xfId="170" xr:uid="{00000000-0005-0000-0000-00005E000000}"/>
    <cellStyle name="Accent4 6" xfId="249" xr:uid="{00000000-0005-0000-0000-00005F000000}"/>
    <cellStyle name="Accent5 - 20%" xfId="73" xr:uid="{00000000-0005-0000-0000-000061000000}"/>
    <cellStyle name="Accent5 - 40%" xfId="74" xr:uid="{00000000-0005-0000-0000-000062000000}"/>
    <cellStyle name="Accent5 - 60%" xfId="75" xr:uid="{00000000-0005-0000-0000-000063000000}"/>
    <cellStyle name="Accent5 2" xfId="129" xr:uid="{00000000-0005-0000-0000-000064000000}"/>
    <cellStyle name="Accent5 3" xfId="150" xr:uid="{00000000-0005-0000-0000-000065000000}"/>
    <cellStyle name="Accent5 4" xfId="163" xr:uid="{00000000-0005-0000-0000-000066000000}"/>
    <cellStyle name="Accent5 5" xfId="171" xr:uid="{00000000-0005-0000-0000-000067000000}"/>
    <cellStyle name="Accent5 6" xfId="250" xr:uid="{00000000-0005-0000-0000-000068000000}"/>
    <cellStyle name="Accent6 - 20%" xfId="76" xr:uid="{00000000-0005-0000-0000-00006A000000}"/>
    <cellStyle name="Accent6 - 40%" xfId="77" xr:uid="{00000000-0005-0000-0000-00006B000000}"/>
    <cellStyle name="Accent6 - 60%" xfId="78" xr:uid="{00000000-0005-0000-0000-00006C000000}"/>
    <cellStyle name="Accent6 2" xfId="133" xr:uid="{00000000-0005-0000-0000-00006D000000}"/>
    <cellStyle name="Accent6 3" xfId="151" xr:uid="{00000000-0005-0000-0000-00006E000000}"/>
    <cellStyle name="Accent6 4" xfId="159" xr:uid="{00000000-0005-0000-0000-00006F000000}"/>
    <cellStyle name="Accent6 5" xfId="161" xr:uid="{00000000-0005-0000-0000-000070000000}"/>
    <cellStyle name="Accent6 6" xfId="251" xr:uid="{00000000-0005-0000-0000-000071000000}"/>
    <cellStyle name="Akzent1" xfId="18" builtinId="29" customBuiltin="1"/>
    <cellStyle name="Akzent2" xfId="22" builtinId="33" customBuiltin="1"/>
    <cellStyle name="Akzent3" xfId="26" builtinId="37" customBuiltin="1"/>
    <cellStyle name="Akzent4" xfId="30" builtinId="41" customBuiltin="1"/>
    <cellStyle name="Akzent5" xfId="34" builtinId="45" customBuiltin="1"/>
    <cellStyle name="Akzent6" xfId="38" builtinId="49" customBuiltin="1"/>
    <cellStyle name="Ausgabe" xfId="10" builtinId="21" customBuiltin="1"/>
    <cellStyle name="Bad 2" xfId="47" xr:uid="{00000000-0005-0000-0000-000073000000}"/>
    <cellStyle name="Bad 3" xfId="102" xr:uid="{00000000-0005-0000-0000-000074000000}"/>
    <cellStyle name="Berechnung" xfId="11" builtinId="22" customBuiltin="1"/>
    <cellStyle name="Calculation 2" xfId="106" xr:uid="{00000000-0005-0000-0000-000076000000}"/>
    <cellStyle name="Check Cell 2" xfId="108" xr:uid="{00000000-0005-0000-0000-000078000000}"/>
    <cellStyle name="Comma 2" xfId="138" xr:uid="{00000000-0005-0000-0000-00007A000000}"/>
    <cellStyle name="Comma 3" xfId="200" xr:uid="{00000000-0005-0000-0000-00007B000000}"/>
    <cellStyle name="Currency 2" xfId="79" xr:uid="{00000000-0005-0000-0000-00007D000000}"/>
    <cellStyle name="Currency 3" xfId="59" xr:uid="{00000000-0005-0000-0000-00007E000000}"/>
    <cellStyle name="Currency 3 2" xfId="145" xr:uid="{00000000-0005-0000-0000-00007F000000}"/>
    <cellStyle name="Currency 3 2 2" xfId="177" xr:uid="{00000000-0005-0000-0000-000080000000}"/>
    <cellStyle name="Currency 3 2 2 2" xfId="243" xr:uid="{00000000-0005-0000-0000-000081000000}"/>
    <cellStyle name="Currency 3 2 3" xfId="229" xr:uid="{00000000-0005-0000-0000-000082000000}"/>
    <cellStyle name="Currency 3 3" xfId="158" xr:uid="{00000000-0005-0000-0000-000083000000}"/>
    <cellStyle name="Currency 3 3 2" xfId="236" xr:uid="{00000000-0005-0000-0000-000084000000}"/>
    <cellStyle name="Currency 3 4" xfId="209" xr:uid="{00000000-0005-0000-0000-000085000000}"/>
    <cellStyle name="Currency 4" xfId="139" xr:uid="{00000000-0005-0000-0000-000086000000}"/>
    <cellStyle name="Currency 5" xfId="201" xr:uid="{00000000-0005-0000-0000-000087000000}"/>
    <cellStyle name="EgrContact" xfId="48" xr:uid="{00000000-0005-0000-0000-000088000000}"/>
    <cellStyle name="Eingabe" xfId="9" builtinId="20" customBuiltin="1"/>
    <cellStyle name="Emphasis 1" xfId="80" xr:uid="{00000000-0005-0000-0000-000089000000}"/>
    <cellStyle name="Emphasis 2" xfId="81" xr:uid="{00000000-0005-0000-0000-00008A000000}"/>
    <cellStyle name="Emphasis 3" xfId="82" xr:uid="{00000000-0005-0000-0000-00008B000000}"/>
    <cellStyle name="Ergebnis" xfId="17" builtinId="25" customBuiltin="1"/>
    <cellStyle name="Erklärender Text" xfId="16" builtinId="53" customBuiltin="1"/>
    <cellStyle name="Explanatory Text 2" xfId="111" xr:uid="{00000000-0005-0000-0000-00008D000000}"/>
    <cellStyle name="Good 2" xfId="49" xr:uid="{00000000-0005-0000-0000-00008F000000}"/>
    <cellStyle name="Good 3" xfId="101" xr:uid="{00000000-0005-0000-0000-000090000000}"/>
    <cellStyle name="GreenLight" xfId="50" xr:uid="{00000000-0005-0000-0000-000091000000}"/>
    <cellStyle name="Gut" xfId="6" builtinId="26" customBuiltin="1"/>
    <cellStyle name="Heading 1 2" xfId="97" xr:uid="{00000000-0005-0000-0000-000093000000}"/>
    <cellStyle name="Heading 2 2" xfId="98" xr:uid="{00000000-0005-0000-0000-000095000000}"/>
    <cellStyle name="Heading 3 2" xfId="99" xr:uid="{00000000-0005-0000-0000-000097000000}"/>
    <cellStyle name="Heading 4 2" xfId="100" xr:uid="{00000000-0005-0000-0000-000099000000}"/>
    <cellStyle name="Hyperlink 2" xfId="83" xr:uid="{00000000-0005-0000-0000-00009B000000}"/>
    <cellStyle name="Input 2" xfId="104" xr:uid="{00000000-0005-0000-0000-00009D000000}"/>
    <cellStyle name="Light Yellow" xfId="51" xr:uid="{00000000-0005-0000-0000-00009E000000}"/>
    <cellStyle name="Link" xfId="43" builtinId="8"/>
    <cellStyle name="Linked Cell 2" xfId="107" xr:uid="{00000000-0005-0000-0000-0000A0000000}"/>
    <cellStyle name="Neutral" xfId="8" builtinId="28" customBuiltin="1"/>
    <cellStyle name="Neutral 2" xfId="52" xr:uid="{00000000-0005-0000-0000-0000A2000000}"/>
    <cellStyle name="Neutral 3" xfId="103" xr:uid="{00000000-0005-0000-0000-0000A3000000}"/>
    <cellStyle name="Normal 10" xfId="84" xr:uid="{00000000-0005-0000-0000-0000A5000000}"/>
    <cellStyle name="Normal 11" xfId="44" xr:uid="{00000000-0005-0000-0000-0000A6000000}"/>
    <cellStyle name="Normal 11 2" xfId="140" xr:uid="{00000000-0005-0000-0000-0000A7000000}"/>
    <cellStyle name="Normal 11 2 2" xfId="172" xr:uid="{00000000-0005-0000-0000-0000A8000000}"/>
    <cellStyle name="Normal 11 2 2 2" xfId="238" xr:uid="{00000000-0005-0000-0000-0000A9000000}"/>
    <cellStyle name="Normal 11 2 3" xfId="224" xr:uid="{00000000-0005-0000-0000-0000AA000000}"/>
    <cellStyle name="Normal 11 3" xfId="153" xr:uid="{00000000-0005-0000-0000-0000AB000000}"/>
    <cellStyle name="Normal 11 3 2" xfId="231" xr:uid="{00000000-0005-0000-0000-0000AC000000}"/>
    <cellStyle name="Normal 11 4" xfId="202" xr:uid="{00000000-0005-0000-0000-0000AD000000}"/>
    <cellStyle name="Normal 12" xfId="96" xr:uid="{00000000-0005-0000-0000-0000AE000000}"/>
    <cellStyle name="Normal 13" xfId="95" xr:uid="{00000000-0005-0000-0000-0000AF000000}"/>
    <cellStyle name="Normal 13 2" xfId="169" xr:uid="{00000000-0005-0000-0000-0000B0000000}"/>
    <cellStyle name="Normal 13 2 2" xfId="237" xr:uid="{00000000-0005-0000-0000-0000B1000000}"/>
    <cellStyle name="Normal 13 3" xfId="211" xr:uid="{00000000-0005-0000-0000-0000B2000000}"/>
    <cellStyle name="Normal 14" xfId="152" xr:uid="{00000000-0005-0000-0000-0000B3000000}"/>
    <cellStyle name="Normal 14 2" xfId="230" xr:uid="{00000000-0005-0000-0000-0000B4000000}"/>
    <cellStyle name="Normal 15" xfId="178" xr:uid="{00000000-0005-0000-0000-0000B5000000}"/>
    <cellStyle name="Normal 15 2" xfId="244" xr:uid="{00000000-0005-0000-0000-0000B6000000}"/>
    <cellStyle name="Normal 2" xfId="53" xr:uid="{00000000-0005-0000-0000-0000B7000000}"/>
    <cellStyle name="Normal 2 2" xfId="85" xr:uid="{00000000-0005-0000-0000-0000B8000000}"/>
    <cellStyle name="Normal 2 3" xfId="94" xr:uid="{00000000-0005-0000-0000-0000B9000000}"/>
    <cellStyle name="Normal 2 4" xfId="179" xr:uid="{00000000-0005-0000-0000-0000BA000000}"/>
    <cellStyle name="Normal 2 5" xfId="205" xr:uid="{00000000-0005-0000-0000-0000BB000000}"/>
    <cellStyle name="Normal 2_ESP pricing contacts 03 03 08" xfId="86" xr:uid="{00000000-0005-0000-0000-0000BC000000}"/>
    <cellStyle name="Normal 3" xfId="54" xr:uid="{00000000-0005-0000-0000-0000BD000000}"/>
    <cellStyle name="Normal 3 2" xfId="87" xr:uid="{00000000-0005-0000-0000-0000BE000000}"/>
    <cellStyle name="Normal 3 2 2" xfId="182" xr:uid="{00000000-0005-0000-0000-0000BF000000}"/>
    <cellStyle name="Normal 3 2 3" xfId="210" xr:uid="{00000000-0005-0000-0000-0000C0000000}"/>
    <cellStyle name="Normal 3 3" xfId="197" xr:uid="{00000000-0005-0000-0000-0000C1000000}"/>
    <cellStyle name="Normal 3 4" xfId="180" xr:uid="{00000000-0005-0000-0000-0000C2000000}"/>
    <cellStyle name="Normal 3 5" xfId="206" xr:uid="{00000000-0005-0000-0000-0000C3000000}"/>
    <cellStyle name="Normal 4" xfId="55" xr:uid="{00000000-0005-0000-0000-0000C4000000}"/>
    <cellStyle name="Normal 4 2" xfId="143" xr:uid="{00000000-0005-0000-0000-0000C5000000}"/>
    <cellStyle name="Normal 4 2 2" xfId="175" xr:uid="{00000000-0005-0000-0000-0000C6000000}"/>
    <cellStyle name="Normal 4 2 2 2" xfId="241" xr:uid="{00000000-0005-0000-0000-0000C7000000}"/>
    <cellStyle name="Normal 4 2 3" xfId="227" xr:uid="{00000000-0005-0000-0000-0000C8000000}"/>
    <cellStyle name="Normal 4 3" xfId="156" xr:uid="{00000000-0005-0000-0000-0000C9000000}"/>
    <cellStyle name="Normal 4 3 2" xfId="234" xr:uid="{00000000-0005-0000-0000-0000CA000000}"/>
    <cellStyle name="Normal 4 4" xfId="184" xr:uid="{00000000-0005-0000-0000-0000CB000000}"/>
    <cellStyle name="Normal 4 5" xfId="207" xr:uid="{00000000-0005-0000-0000-0000CC000000}"/>
    <cellStyle name="Normal 5" xfId="45" xr:uid="{00000000-0005-0000-0000-0000CD000000}"/>
    <cellStyle name="Normal 5 2" xfId="141" xr:uid="{00000000-0005-0000-0000-0000CE000000}"/>
    <cellStyle name="Normal 5 2 2" xfId="173" xr:uid="{00000000-0005-0000-0000-0000CF000000}"/>
    <cellStyle name="Normal 5 2 2 2" xfId="239" xr:uid="{00000000-0005-0000-0000-0000D0000000}"/>
    <cellStyle name="Normal 5 2 3" xfId="225" xr:uid="{00000000-0005-0000-0000-0000D1000000}"/>
    <cellStyle name="Normal 5 3" xfId="154" xr:uid="{00000000-0005-0000-0000-0000D2000000}"/>
    <cellStyle name="Normal 5 3 2" xfId="232" xr:uid="{00000000-0005-0000-0000-0000D3000000}"/>
    <cellStyle name="Normal 5 4" xfId="181" xr:uid="{00000000-0005-0000-0000-0000D4000000}"/>
    <cellStyle name="Normal 5 5" xfId="203" xr:uid="{00000000-0005-0000-0000-0000D5000000}"/>
    <cellStyle name="Normal 6" xfId="60" xr:uid="{00000000-0005-0000-0000-0000D6000000}"/>
    <cellStyle name="Normal 7" xfId="88" xr:uid="{00000000-0005-0000-0000-0000D7000000}"/>
    <cellStyle name="Normal 8" xfId="89" xr:uid="{00000000-0005-0000-0000-0000D8000000}"/>
    <cellStyle name="Normal 9" xfId="90" xr:uid="{00000000-0005-0000-0000-0000D9000000}"/>
    <cellStyle name="Note 2" xfId="110" xr:uid="{00000000-0005-0000-0000-0000DB000000}"/>
    <cellStyle name="Note 2 2" xfId="183" xr:uid="{00000000-0005-0000-0000-0000DC000000}"/>
    <cellStyle name="Note 2 2 2" xfId="245" xr:uid="{00000000-0005-0000-0000-0000DD000000}"/>
    <cellStyle name="Note 2 3" xfId="198" xr:uid="{00000000-0005-0000-0000-0000DE000000}"/>
    <cellStyle name="Notiz" xfId="15" builtinId="10" customBuiltin="1"/>
    <cellStyle name="Online_Support" xfId="56" xr:uid="{00000000-0005-0000-0000-0000DF000000}"/>
    <cellStyle name="Output 2" xfId="105" xr:uid="{00000000-0005-0000-0000-0000E1000000}"/>
    <cellStyle name="Percent 2" xfId="46" xr:uid="{00000000-0005-0000-0000-0000E3000000}"/>
    <cellStyle name="Percent 2 2" xfId="142" xr:uid="{00000000-0005-0000-0000-0000E4000000}"/>
    <cellStyle name="Percent 2 2 2" xfId="174" xr:uid="{00000000-0005-0000-0000-0000E5000000}"/>
    <cellStyle name="Percent 2 2 2 2" xfId="240" xr:uid="{00000000-0005-0000-0000-0000E6000000}"/>
    <cellStyle name="Percent 2 2 3" xfId="226" xr:uid="{00000000-0005-0000-0000-0000E7000000}"/>
    <cellStyle name="Percent 2 3" xfId="155" xr:uid="{00000000-0005-0000-0000-0000E8000000}"/>
    <cellStyle name="Percent 2 3 2" xfId="233" xr:uid="{00000000-0005-0000-0000-0000E9000000}"/>
    <cellStyle name="Percent 2 4" xfId="204" xr:uid="{00000000-0005-0000-0000-0000EA000000}"/>
    <cellStyle name="Percent 3" xfId="58" xr:uid="{00000000-0005-0000-0000-0000EB000000}"/>
    <cellStyle name="Percent 3 2" xfId="144" xr:uid="{00000000-0005-0000-0000-0000EC000000}"/>
    <cellStyle name="Percent 3 2 2" xfId="176" xr:uid="{00000000-0005-0000-0000-0000ED000000}"/>
    <cellStyle name="Percent 3 2 2 2" xfId="242" xr:uid="{00000000-0005-0000-0000-0000EE000000}"/>
    <cellStyle name="Percent 3 2 3" xfId="228" xr:uid="{00000000-0005-0000-0000-0000EF000000}"/>
    <cellStyle name="Percent 3 3" xfId="157" xr:uid="{00000000-0005-0000-0000-0000F0000000}"/>
    <cellStyle name="Percent 3 3 2" xfId="235" xr:uid="{00000000-0005-0000-0000-0000F1000000}"/>
    <cellStyle name="Percent 3 4" xfId="208" xr:uid="{00000000-0005-0000-0000-0000F2000000}"/>
    <cellStyle name="Percent 4" xfId="137" xr:uid="{00000000-0005-0000-0000-0000F3000000}"/>
    <cellStyle name="Percent 5" xfId="199" xr:uid="{00000000-0005-0000-0000-0000F4000000}"/>
    <cellStyle name="Prozent" xfId="42" builtinId="5"/>
    <cellStyle name="RedLight" xfId="57" xr:uid="{00000000-0005-0000-0000-0000F5000000}"/>
    <cellStyle name="Schlecht" xfId="7" builtinId="27" customBuiltin="1"/>
    <cellStyle name="Sheet Title" xfId="91" xr:uid="{00000000-0005-0000-0000-0000F6000000}"/>
    <cellStyle name="Standard" xfId="0" builtinId="0"/>
    <cellStyle name="Style 1" xfId="92" xr:uid="{00000000-0005-0000-0000-0000F7000000}"/>
    <cellStyle name="Style 1 2" xfId="93" xr:uid="{00000000-0005-0000-0000-0000F8000000}"/>
    <cellStyle name="Total 2" xfId="112" xr:uid="{00000000-0005-0000-0000-0000FB000000}"/>
    <cellStyle name="Überschrift" xfId="1" builtinId="15" customBuiltin="1"/>
    <cellStyle name="Überschrift 1" xfId="2" builtinId="16" customBuiltin="1"/>
    <cellStyle name="Überschrift 2" xfId="3" builtinId="17" customBuiltin="1"/>
    <cellStyle name="Überschrift 3" xfId="4" builtinId="18" customBuiltin="1"/>
    <cellStyle name="Überschrift 4" xfId="5" builtinId="19" customBuiltin="1"/>
    <cellStyle name="Verknüpfte Zelle" xfId="12" builtinId="24" customBuiltin="1"/>
    <cellStyle name="Warnender Text" xfId="14" builtinId="11" customBuiltin="1"/>
    <cellStyle name="Warning Text 2" xfId="109" xr:uid="{00000000-0005-0000-0000-0000FD000000}"/>
    <cellStyle name="Zelle überprüfen" xfId="13" builtinId="23" customBuiltin="1"/>
  </cellStyles>
  <dxfs count="58">
    <dxf>
      <font>
        <b val="0"/>
        <i val="0"/>
        <strike val="0"/>
        <condense val="0"/>
        <extend val="0"/>
        <outline val="0"/>
        <shadow val="0"/>
        <u val="none"/>
        <vertAlign val="baseline"/>
        <sz val="8"/>
        <color auto="1"/>
        <name val="Arial"/>
        <scheme val="none"/>
      </font>
      <fill>
        <patternFill patternType="none">
          <fgColor indexed="64"/>
          <bgColor indexed="65"/>
        </patternFill>
      </fill>
      <alignment horizontal="center" vertical="center" textRotation="0" wrapText="0" indent="0" justifyLastLine="0" shrinkToFit="0" readingOrder="0"/>
      <border diagonalUp="0" diagonalDown="0">
        <left/>
        <right/>
        <top style="thin">
          <color indexed="64"/>
        </top>
        <bottom style="thin">
          <color indexed="64"/>
        </bottom>
        <vertical/>
      </border>
      <protection locked="1" hidden="0"/>
    </dxf>
    <dxf>
      <font>
        <b val="0"/>
        <i val="0"/>
        <strike val="0"/>
        <outline val="0"/>
        <shadow val="0"/>
        <u val="none"/>
        <sz val="8"/>
        <color auto="1"/>
        <name val="Arial"/>
        <scheme val="none"/>
      </font>
      <protection locked="1" hidden="0"/>
    </dxf>
    <dxf>
      <font>
        <b val="0"/>
        <i val="0"/>
        <strike val="0"/>
        <outline val="0"/>
        <shadow val="0"/>
        <u val="none"/>
        <sz val="8"/>
        <color auto="1"/>
        <name val="Arial"/>
        <family val="2"/>
        <scheme val="none"/>
      </font>
      <fill>
        <patternFill patternType="none">
          <fgColor indexed="64"/>
          <bgColor indexed="65"/>
        </patternFill>
      </fill>
      <alignment horizontal="center" vertical="center" textRotation="0" wrapText="1" indent="0" justifyLastLine="0" shrinkToFit="0" readingOrder="0"/>
      <border diagonalUp="0" diagonalDown="0">
        <left/>
        <right/>
        <top style="thin">
          <color indexed="64"/>
        </top>
        <bottom style="thin">
          <color indexed="64"/>
        </bottom>
        <vertical/>
        <horizontal/>
      </border>
      <protection locked="1" hidden="0"/>
    </dxf>
    <dxf>
      <font>
        <b val="0"/>
        <i val="0"/>
        <strike val="0"/>
        <condense val="0"/>
        <extend val="0"/>
        <outline val="0"/>
        <shadow val="0"/>
        <u val="none"/>
        <vertAlign val="baseline"/>
        <sz val="8"/>
        <color auto="1"/>
        <name val="Arial"/>
        <scheme val="none"/>
      </font>
      <fill>
        <patternFill patternType="none">
          <fgColor indexed="64"/>
          <bgColor indexed="65"/>
        </patternFill>
      </fill>
      <alignment horizontal="center" vertical="center" textRotation="0" wrapText="0" indent="0" justifyLastLine="0" shrinkToFit="0" readingOrder="0"/>
      <border diagonalUp="0" diagonalDown="0">
        <left/>
        <right/>
        <top style="thin">
          <color indexed="64"/>
        </top>
        <bottom style="thin">
          <color indexed="64"/>
        </bottom>
        <vertical/>
      </border>
      <protection locked="1" hidden="0"/>
    </dxf>
    <dxf>
      <font>
        <b val="0"/>
        <i val="0"/>
        <strike val="0"/>
        <condense val="0"/>
        <extend val="0"/>
        <outline val="0"/>
        <shadow val="0"/>
        <u val="none"/>
        <vertAlign val="baseline"/>
        <sz val="8"/>
        <color auto="1"/>
        <name val="Arial"/>
        <scheme val="none"/>
      </font>
      <fill>
        <patternFill patternType="none">
          <fgColor indexed="64"/>
          <bgColor indexed="65"/>
        </patternFill>
      </fill>
      <alignment horizontal="center" vertical="center" textRotation="0" wrapText="1" indent="0" justifyLastLine="0" shrinkToFit="0" readingOrder="0"/>
      <border diagonalUp="0" diagonalDown="0">
        <left/>
        <right/>
        <top style="thin">
          <color indexed="64"/>
        </top>
        <bottom style="thin">
          <color indexed="64"/>
        </bottom>
        <vertical/>
      </border>
      <protection locked="1" hidden="0"/>
    </dxf>
    <dxf>
      <font>
        <b val="0"/>
        <i val="0"/>
        <strike val="0"/>
        <condense val="0"/>
        <extend val="0"/>
        <outline val="0"/>
        <shadow val="0"/>
        <u val="none"/>
        <vertAlign val="baseline"/>
        <sz val="8"/>
        <color auto="1"/>
        <name val="Arial"/>
        <scheme val="none"/>
      </font>
      <fill>
        <patternFill patternType="none">
          <fgColor indexed="64"/>
          <bgColor indexed="65"/>
        </patternFill>
      </fill>
      <alignment horizontal="center" vertical="center" textRotation="0" wrapText="1" indent="0" justifyLastLine="0" shrinkToFit="0" readingOrder="0"/>
      <border diagonalUp="0" diagonalDown="0">
        <left/>
        <right/>
        <top style="thin">
          <color indexed="64"/>
        </top>
        <bottom style="thin">
          <color indexed="64"/>
        </bottom>
        <vertical/>
      </border>
      <protection locked="1" hidden="0"/>
    </dxf>
    <dxf>
      <font>
        <b val="0"/>
        <i val="0"/>
        <strike val="0"/>
        <condense val="0"/>
        <extend val="0"/>
        <outline val="0"/>
        <shadow val="0"/>
        <u val="none"/>
        <vertAlign val="baseline"/>
        <sz val="8"/>
        <color auto="1"/>
        <name val="Arial"/>
        <scheme val="none"/>
      </font>
      <fill>
        <patternFill patternType="none">
          <fgColor indexed="64"/>
          <bgColor indexed="65"/>
        </patternFill>
      </fill>
      <alignment horizontal="center" vertical="center" textRotation="0" wrapText="1" indent="0" justifyLastLine="0" shrinkToFit="0" readingOrder="0"/>
      <border diagonalUp="0" diagonalDown="0">
        <left/>
        <right/>
        <top style="thin">
          <color indexed="64"/>
        </top>
        <bottom style="thin">
          <color indexed="64"/>
        </bottom>
        <vertical/>
      </border>
      <protection locked="1" hidden="0"/>
    </dxf>
    <dxf>
      <font>
        <b val="0"/>
        <i val="0"/>
        <strike val="0"/>
        <condense val="0"/>
        <extend val="0"/>
        <outline val="0"/>
        <shadow val="0"/>
        <u val="none"/>
        <vertAlign val="baseline"/>
        <sz val="8"/>
        <color auto="1"/>
        <name val="Arial"/>
        <family val="2"/>
        <scheme val="none"/>
      </font>
      <fill>
        <patternFill patternType="none">
          <fgColor indexed="64"/>
          <bgColor indexed="65"/>
        </patternFill>
      </fill>
      <alignment horizontal="center" vertical="center" textRotation="0" wrapText="0" indent="0" justifyLastLine="0" shrinkToFit="0" readingOrder="0"/>
      <border diagonalUp="0" diagonalDown="0">
        <left/>
        <right/>
        <top style="thin">
          <color indexed="64"/>
        </top>
        <bottom style="thin">
          <color indexed="64"/>
        </bottom>
        <vertical/>
        <horizontal/>
      </border>
      <protection locked="1" hidden="0"/>
    </dxf>
    <dxf>
      <font>
        <b val="0"/>
        <i val="0"/>
        <strike val="0"/>
        <outline val="0"/>
        <shadow val="0"/>
        <u val="none"/>
        <sz val="8"/>
        <color auto="1"/>
        <name val="Arial"/>
        <scheme val="none"/>
      </font>
      <protection locked="1" hidden="0"/>
    </dxf>
    <dxf>
      <font>
        <b val="0"/>
        <i val="0"/>
        <strike val="0"/>
        <outline val="0"/>
        <shadow val="0"/>
        <u val="none"/>
        <sz val="8"/>
        <color auto="1"/>
        <name val="Arial"/>
        <scheme val="none"/>
      </font>
      <protection locked="1" hidden="0"/>
    </dxf>
    <dxf>
      <font>
        <b val="0"/>
        <i val="0"/>
        <strike val="0"/>
        <condense val="0"/>
        <extend val="0"/>
        <outline val="0"/>
        <shadow val="0"/>
        <u val="none"/>
        <vertAlign val="baseline"/>
        <sz val="8"/>
        <color auto="1"/>
        <name val="Arial"/>
        <family val="2"/>
        <scheme val="none"/>
      </font>
      <fill>
        <patternFill patternType="none">
          <fgColor indexed="64"/>
          <bgColor indexed="65"/>
        </patternFill>
      </fill>
      <alignment horizontal="center" vertical="center" textRotation="0" wrapText="0" indent="0" justifyLastLine="0" shrinkToFit="0" readingOrder="0"/>
      <border diagonalUp="0" diagonalDown="0">
        <left/>
        <right/>
        <top style="thin">
          <color indexed="64"/>
        </top>
        <bottom style="thin">
          <color indexed="64"/>
        </bottom>
        <vertical/>
        <horizontal/>
      </border>
      <protection locked="1" hidden="0"/>
    </dxf>
    <dxf>
      <font>
        <b val="0"/>
        <i val="0"/>
        <strike val="0"/>
        <condense val="0"/>
        <extend val="0"/>
        <outline val="0"/>
        <shadow val="0"/>
        <u val="none"/>
        <vertAlign val="baseline"/>
        <sz val="8"/>
        <color auto="1"/>
        <name val="Arial"/>
        <scheme val="none"/>
      </font>
      <fill>
        <patternFill patternType="none">
          <fgColor indexed="64"/>
          <bgColor indexed="65"/>
        </patternFill>
      </fill>
      <alignment horizontal="center" vertical="center" textRotation="0" wrapText="0" indent="0" justifyLastLine="0" shrinkToFit="0" readingOrder="0"/>
      <border diagonalUp="0" diagonalDown="0">
        <left/>
        <right/>
        <top style="thin">
          <color indexed="64"/>
        </top>
        <bottom style="thin">
          <color indexed="64"/>
        </bottom>
        <vertical/>
      </border>
      <protection locked="1" hidden="0"/>
    </dxf>
    <dxf>
      <font>
        <b val="0"/>
        <i val="0"/>
        <strike val="0"/>
        <condense val="0"/>
        <extend val="0"/>
        <outline val="0"/>
        <shadow val="0"/>
        <u val="none"/>
        <vertAlign val="baseline"/>
        <sz val="8"/>
        <color auto="1"/>
        <name val="Arial"/>
        <scheme val="none"/>
      </font>
      <fill>
        <patternFill patternType="none">
          <fgColor indexed="64"/>
          <bgColor indexed="65"/>
        </patternFill>
      </fill>
      <alignment horizontal="center" vertical="center" textRotation="0" wrapText="0" indent="0" justifyLastLine="0" shrinkToFit="0" readingOrder="0"/>
      <border diagonalUp="0" diagonalDown="0">
        <left/>
        <right/>
        <top style="thin">
          <color indexed="64"/>
        </top>
        <bottom style="thin">
          <color indexed="64"/>
        </bottom>
        <vertical/>
      </border>
      <protection locked="1" hidden="0"/>
    </dxf>
    <dxf>
      <font>
        <b val="0"/>
        <i val="0"/>
        <strike val="0"/>
        <condense val="0"/>
        <extend val="0"/>
        <outline val="0"/>
        <shadow val="0"/>
        <u val="none"/>
        <vertAlign val="baseline"/>
        <sz val="8"/>
        <color auto="1"/>
        <name val="Arial"/>
        <scheme val="none"/>
      </font>
      <numFmt numFmtId="1" formatCode="0"/>
      <fill>
        <patternFill patternType="none">
          <fgColor indexed="64"/>
          <bgColor indexed="65"/>
        </patternFill>
      </fill>
      <alignment horizontal="center" vertical="center" textRotation="0" wrapText="0" indent="0" justifyLastLine="0" shrinkToFit="0" readingOrder="0"/>
      <border diagonalUp="0" diagonalDown="0">
        <left/>
        <right/>
        <top style="thin">
          <color indexed="64"/>
        </top>
        <bottom style="thin">
          <color indexed="64"/>
        </bottom>
        <vertical/>
      </border>
      <protection locked="1" hidden="0"/>
    </dxf>
    <dxf>
      <font>
        <b val="0"/>
        <i val="0"/>
        <strike val="0"/>
        <outline val="0"/>
        <shadow val="0"/>
        <u val="none"/>
        <sz val="8"/>
        <color auto="1"/>
        <name val="Arial"/>
        <family val="2"/>
        <scheme val="none"/>
      </font>
      <numFmt numFmtId="0" formatCode="General"/>
      <fill>
        <patternFill patternType="none">
          <fgColor indexed="64"/>
          <bgColor indexed="65"/>
        </patternFill>
      </fill>
      <alignment horizontal="center" vertical="center" textRotation="0" wrapText="0" indent="0" justifyLastLine="0" shrinkToFit="0" readingOrder="0"/>
      <border diagonalUp="0" diagonalDown="0">
        <left/>
        <right/>
        <top style="thin">
          <color indexed="64"/>
        </top>
        <bottom style="thin">
          <color indexed="64"/>
        </bottom>
        <vertical/>
        <horizontal/>
      </border>
      <protection locked="1" hidden="0"/>
    </dxf>
    <dxf>
      <font>
        <b val="0"/>
        <i val="0"/>
        <strike val="0"/>
        <outline val="0"/>
        <shadow val="0"/>
        <u val="none"/>
        <sz val="8"/>
        <color auto="1"/>
        <name val="Arial"/>
        <family val="2"/>
        <scheme val="none"/>
      </font>
      <numFmt numFmtId="0" formatCode="General"/>
      <fill>
        <patternFill patternType="none">
          <fgColor indexed="64"/>
          <bgColor indexed="65"/>
        </patternFill>
      </fill>
      <alignment horizontal="center" vertical="center" textRotation="0" wrapText="0" indent="0" justifyLastLine="0" shrinkToFit="0" readingOrder="0"/>
      <border diagonalUp="0" diagonalDown="0">
        <left/>
        <right/>
        <top style="thin">
          <color indexed="64"/>
        </top>
        <bottom style="thin">
          <color indexed="64"/>
        </bottom>
        <vertical/>
        <horizontal/>
      </border>
      <protection locked="1" hidden="0"/>
    </dxf>
    <dxf>
      <font>
        <b val="0"/>
        <i val="0"/>
        <strike val="0"/>
        <outline val="0"/>
        <shadow val="0"/>
        <u val="none"/>
        <sz val="8"/>
        <color auto="1"/>
        <name val="Arial"/>
        <family val="2"/>
        <scheme val="none"/>
      </font>
      <numFmt numFmtId="0" formatCode="General"/>
      <fill>
        <patternFill patternType="none">
          <fgColor indexed="64"/>
          <bgColor indexed="65"/>
        </patternFill>
      </fill>
      <alignment horizontal="center" vertical="center" textRotation="0" wrapText="0" indent="0" justifyLastLine="0" shrinkToFit="0" readingOrder="0"/>
      <border diagonalUp="0" diagonalDown="0">
        <left/>
        <right/>
        <top style="thin">
          <color indexed="64"/>
        </top>
        <bottom style="thin">
          <color indexed="64"/>
        </bottom>
        <vertical/>
        <horizontal/>
      </border>
      <protection locked="1" hidden="0"/>
    </dxf>
    <dxf>
      <font>
        <b val="0"/>
        <i val="0"/>
        <strike val="0"/>
        <outline val="0"/>
        <shadow val="0"/>
        <u val="none"/>
        <sz val="8"/>
        <color auto="1"/>
        <name val="Arial"/>
        <family val="2"/>
        <scheme val="none"/>
      </font>
      <fill>
        <patternFill patternType="none">
          <fgColor indexed="64"/>
          <bgColor indexed="65"/>
        </patternFill>
      </fill>
      <alignment horizontal="center" vertical="center" textRotation="0" wrapText="0" indent="0" justifyLastLine="0" shrinkToFit="0" readingOrder="0"/>
      <border diagonalUp="0" diagonalDown="0">
        <left/>
        <right/>
        <top style="thin">
          <color indexed="64"/>
        </top>
        <bottom style="thin">
          <color indexed="64"/>
        </bottom>
        <vertical/>
        <horizontal/>
      </border>
      <protection locked="1" hidden="0"/>
    </dxf>
    <dxf>
      <font>
        <b val="0"/>
        <i val="0"/>
        <strike val="0"/>
        <outline val="0"/>
        <shadow val="0"/>
        <u val="none"/>
        <sz val="8"/>
        <color auto="1"/>
        <name val="Arial"/>
        <family val="2"/>
        <scheme val="none"/>
      </font>
      <fill>
        <patternFill patternType="none">
          <fgColor indexed="64"/>
          <bgColor indexed="65"/>
        </patternFill>
      </fill>
      <alignment horizontal="center" vertical="center" textRotation="0" wrapText="0" indent="0" justifyLastLine="0" shrinkToFit="0" readingOrder="0"/>
      <border diagonalUp="0" diagonalDown="0">
        <left/>
        <right/>
        <top style="thin">
          <color indexed="64"/>
        </top>
        <bottom style="thin">
          <color indexed="64"/>
        </bottom>
        <vertical/>
        <horizontal/>
      </border>
      <protection locked="1" hidden="0"/>
    </dxf>
    <dxf>
      <font>
        <b val="0"/>
        <i val="0"/>
        <strike val="0"/>
        <condense val="0"/>
        <extend val="0"/>
        <outline val="0"/>
        <shadow val="0"/>
        <u val="none"/>
        <vertAlign val="baseline"/>
        <sz val="8"/>
        <color auto="1"/>
        <name val="Arial"/>
        <family val="2"/>
        <scheme val="none"/>
      </font>
      <numFmt numFmtId="1" formatCode="0"/>
      <fill>
        <patternFill patternType="none">
          <fgColor indexed="64"/>
          <bgColor indexed="65"/>
        </patternFill>
      </fill>
      <alignment horizontal="center" vertical="center" textRotation="0" wrapText="0" indent="0" justifyLastLine="0" shrinkToFit="0" readingOrder="0"/>
      <border diagonalUp="0" diagonalDown="0">
        <left/>
        <right/>
        <top style="thin">
          <color indexed="64"/>
        </top>
        <bottom style="thin">
          <color indexed="64"/>
        </bottom>
        <vertical/>
        <horizontal/>
      </border>
      <protection locked="1" hidden="0"/>
    </dxf>
    <dxf>
      <font>
        <b val="0"/>
        <i val="0"/>
        <strike val="0"/>
        <outline val="0"/>
        <shadow val="0"/>
        <u val="none"/>
        <sz val="8"/>
        <color auto="1"/>
        <name val="Arial"/>
        <scheme val="none"/>
      </font>
      <protection locked="1" hidden="0"/>
    </dxf>
    <dxf>
      <font>
        <b val="0"/>
        <i val="0"/>
        <strike val="0"/>
        <condense val="0"/>
        <extend val="0"/>
        <outline val="0"/>
        <shadow val="0"/>
        <u val="none"/>
        <vertAlign val="baseline"/>
        <sz val="8"/>
        <color auto="1"/>
        <name val="Arial"/>
        <family val="2"/>
        <scheme val="none"/>
      </font>
      <numFmt numFmtId="1" formatCode="0"/>
      <fill>
        <patternFill patternType="none">
          <fgColor indexed="64"/>
          <bgColor indexed="65"/>
        </patternFill>
      </fill>
      <alignment horizontal="center" vertical="center" textRotation="0" wrapText="0" indent="0" justifyLastLine="0" shrinkToFit="0" readingOrder="0"/>
      <border diagonalUp="0" diagonalDown="0">
        <left/>
        <right/>
        <top style="thin">
          <color indexed="64"/>
        </top>
        <bottom style="thin">
          <color indexed="64"/>
        </bottom>
        <vertical/>
        <horizontal/>
      </border>
      <protection locked="1" hidden="0"/>
    </dxf>
    <dxf>
      <font>
        <b val="0"/>
        <i val="0"/>
        <strike val="0"/>
        <outline val="0"/>
        <shadow val="0"/>
        <u val="none"/>
        <sz val="8"/>
        <color auto="1"/>
        <name val="Arial"/>
        <scheme val="none"/>
      </font>
      <protection locked="1" hidden="0"/>
    </dxf>
    <dxf>
      <font>
        <b val="0"/>
        <i val="0"/>
        <strike val="0"/>
        <outline val="0"/>
        <shadow val="0"/>
        <u val="none"/>
        <sz val="8"/>
        <color auto="1"/>
        <name val="Arial"/>
        <scheme val="none"/>
      </font>
      <protection locked="1" hidden="0"/>
    </dxf>
    <dxf>
      <font>
        <b val="0"/>
        <i val="0"/>
        <strike val="0"/>
        <outline val="0"/>
        <shadow val="0"/>
        <u val="none"/>
        <sz val="8"/>
        <color auto="1"/>
        <name val="Arial"/>
        <scheme val="none"/>
      </font>
      <protection locked="1" hidden="0"/>
    </dxf>
    <dxf>
      <font>
        <b val="0"/>
        <i val="0"/>
        <strike val="0"/>
        <outline val="0"/>
        <shadow val="0"/>
        <u val="none"/>
        <sz val="8"/>
        <color auto="1"/>
        <name val="Arial"/>
        <family val="2"/>
        <scheme val="none"/>
      </font>
      <numFmt numFmtId="0" formatCode="General"/>
      <fill>
        <patternFill patternType="none">
          <fgColor indexed="64"/>
          <bgColor indexed="65"/>
        </patternFill>
      </fill>
      <alignment horizontal="center" vertical="center" textRotation="0" wrapText="0" indent="0" justifyLastLine="0" shrinkToFit="0" readingOrder="0"/>
      <border diagonalUp="0" diagonalDown="0">
        <left/>
        <right/>
        <top style="thin">
          <color indexed="64"/>
        </top>
        <bottom style="thin">
          <color indexed="64"/>
        </bottom>
        <vertical/>
        <horizontal/>
      </border>
      <protection locked="1" hidden="0"/>
    </dxf>
    <dxf>
      <font>
        <b val="0"/>
        <i val="0"/>
        <strike val="0"/>
        <outline val="0"/>
        <shadow val="0"/>
        <u val="none"/>
        <sz val="8"/>
        <color auto="1"/>
        <name val="Arial"/>
        <family val="2"/>
        <scheme val="none"/>
      </font>
      <numFmt numFmtId="14" formatCode="0.00%"/>
      <fill>
        <patternFill patternType="none">
          <fgColor indexed="64"/>
          <bgColor indexed="65"/>
        </patternFill>
      </fill>
      <alignment horizontal="center" vertical="center" textRotation="0" wrapText="0" indent="0" justifyLastLine="0" shrinkToFit="0" readingOrder="0"/>
      <border diagonalUp="0" diagonalDown="0">
        <left/>
        <right/>
        <top style="thin">
          <color indexed="64"/>
        </top>
        <bottom style="thin">
          <color indexed="64"/>
        </bottom>
        <vertical/>
        <horizontal/>
      </border>
      <protection locked="1" hidden="0"/>
    </dxf>
    <dxf>
      <font>
        <b val="0"/>
        <i val="0"/>
        <strike val="0"/>
        <outline val="0"/>
        <shadow val="0"/>
        <u val="none"/>
        <sz val="8"/>
        <color auto="1"/>
        <name val="Arial"/>
        <family val="2"/>
        <scheme val="none"/>
      </font>
      <numFmt numFmtId="1" formatCode="0"/>
      <fill>
        <patternFill patternType="none">
          <fgColor indexed="64"/>
          <bgColor indexed="65"/>
        </patternFill>
      </fill>
      <alignment horizontal="center" vertical="center" textRotation="0" wrapText="0" indent="0" justifyLastLine="0" shrinkToFit="0" readingOrder="0"/>
      <border diagonalUp="0" diagonalDown="0">
        <left/>
        <right/>
        <top style="thin">
          <color indexed="64"/>
        </top>
        <bottom style="thin">
          <color indexed="64"/>
        </bottom>
        <vertical/>
        <horizontal/>
      </border>
      <protection locked="1" hidden="0"/>
    </dxf>
    <dxf>
      <font>
        <b val="0"/>
        <i val="0"/>
        <strike val="0"/>
        <condense val="0"/>
        <extend val="0"/>
        <outline val="0"/>
        <shadow val="0"/>
        <u val="none"/>
        <vertAlign val="baseline"/>
        <sz val="8"/>
        <color auto="1"/>
        <name val="Arial"/>
        <scheme val="none"/>
      </font>
      <fill>
        <patternFill patternType="none">
          <fgColor indexed="64"/>
          <bgColor indexed="65"/>
        </patternFill>
      </fill>
      <alignment horizontal="center" vertical="center" textRotation="0" wrapText="1" indent="0" justifyLastLine="0" shrinkToFit="0" readingOrder="0"/>
      <border diagonalUp="0" diagonalDown="0">
        <left/>
        <right/>
        <top style="thin">
          <color indexed="64"/>
        </top>
        <bottom style="thin">
          <color indexed="64"/>
        </bottom>
        <vertical/>
      </border>
      <protection locked="1" hidden="0"/>
    </dxf>
    <dxf>
      <font>
        <b val="0"/>
        <i val="0"/>
        <strike val="0"/>
        <condense val="0"/>
        <extend val="0"/>
        <outline val="0"/>
        <shadow val="0"/>
        <u val="none"/>
        <vertAlign val="baseline"/>
        <sz val="8"/>
        <color auto="1"/>
        <name val="Arial"/>
        <family val="2"/>
        <scheme val="none"/>
      </font>
      <numFmt numFmtId="0" formatCode="General"/>
      <fill>
        <patternFill patternType="none">
          <fgColor indexed="64"/>
          <bgColor indexed="65"/>
        </patternFill>
      </fill>
      <alignment horizontal="center" vertical="center" textRotation="0" wrapText="1" indent="0" justifyLastLine="0" shrinkToFit="0" readingOrder="0"/>
      <border diagonalUp="0" diagonalDown="0">
        <left/>
        <right/>
        <top style="thin">
          <color indexed="64"/>
        </top>
        <bottom style="thin">
          <color indexed="64"/>
        </bottom>
        <vertical/>
        <horizontal/>
      </border>
      <protection locked="1" hidden="0"/>
    </dxf>
    <dxf>
      <font>
        <b val="0"/>
        <i val="0"/>
        <strike val="0"/>
        <outline val="0"/>
        <shadow val="0"/>
        <u val="none"/>
        <sz val="8"/>
        <color auto="1"/>
        <name val="Arial"/>
        <family val="2"/>
        <scheme val="none"/>
      </font>
      <numFmt numFmtId="0" formatCode="General"/>
      <fill>
        <patternFill patternType="none">
          <fgColor indexed="64"/>
          <bgColor indexed="65"/>
        </patternFill>
      </fill>
      <alignment horizontal="center" vertical="center" textRotation="0" wrapText="0" indent="0" justifyLastLine="0" shrinkToFit="0" readingOrder="0"/>
      <border diagonalUp="0" diagonalDown="0">
        <left/>
        <right/>
        <top style="thin">
          <color indexed="64"/>
        </top>
        <bottom style="thin">
          <color indexed="64"/>
        </bottom>
        <vertical/>
        <horizontal/>
      </border>
      <protection locked="1" hidden="0"/>
    </dxf>
    <dxf>
      <font>
        <b val="0"/>
        <i val="0"/>
        <strike val="0"/>
        <outline val="0"/>
        <shadow val="0"/>
        <u val="none"/>
        <sz val="8"/>
        <color auto="1"/>
        <name val="Arial"/>
        <scheme val="none"/>
      </font>
      <protection locked="1" hidden="0"/>
    </dxf>
    <dxf>
      <font>
        <b/>
        <i val="0"/>
        <strike val="0"/>
        <condense val="0"/>
        <extend val="0"/>
        <outline val="0"/>
        <shadow val="0"/>
        <u/>
        <vertAlign val="baseline"/>
        <sz val="8"/>
        <color theme="10"/>
        <name val="Arial"/>
        <scheme val="none"/>
      </font>
      <fill>
        <patternFill patternType="none">
          <fgColor indexed="64"/>
          <bgColor indexed="65"/>
        </patternFill>
      </fill>
      <alignment horizontal="left" vertical="center" textRotation="0" wrapText="0" indent="0" justifyLastLine="0" shrinkToFit="0" readingOrder="0"/>
      <border diagonalUp="0" diagonalDown="0">
        <left style="thin">
          <color indexed="64"/>
        </left>
        <right/>
        <top style="thin">
          <color indexed="64"/>
        </top>
        <bottom style="thin">
          <color indexed="64"/>
        </bottom>
        <vertical/>
      </border>
      <protection locked="1" hidden="0"/>
    </dxf>
    <dxf>
      <protection locked="1" hidden="0"/>
    </dxf>
    <dxf>
      <border outline="0">
        <top style="thin">
          <color indexed="64"/>
        </top>
      </border>
    </dxf>
    <dxf>
      <border outline="0">
        <left style="thin">
          <color indexed="64"/>
        </left>
        <right style="thin">
          <color indexed="64"/>
        </right>
        <bottom style="thin">
          <color indexed="64"/>
        </bottom>
      </border>
    </dxf>
    <dxf>
      <protection locked="1" hidden="0"/>
    </dxf>
    <dxf>
      <border outline="0">
        <bottom style="thin">
          <color indexed="64"/>
        </bottom>
      </border>
    </dxf>
    <dxf>
      <font>
        <b/>
        <i val="0"/>
        <strike val="0"/>
        <condense val="0"/>
        <extend val="0"/>
        <outline val="0"/>
        <shadow val="0"/>
        <u val="none"/>
        <vertAlign val="baseline"/>
        <sz val="8"/>
        <color theme="1"/>
        <name val="Arial"/>
        <scheme val="none"/>
      </font>
      <fill>
        <patternFill patternType="solid">
          <fgColor indexed="64"/>
          <bgColor theme="0" tint="-0.499984740745262"/>
        </patternFill>
      </fill>
      <alignment horizontal="center" vertical="center" textRotation="0" wrapText="1" indent="0" justifyLastLine="0" shrinkToFit="0" readingOrder="0"/>
      <border diagonalUp="0" diagonalDown="0" outline="0">
        <left style="thin">
          <color indexed="64"/>
        </left>
        <right style="thin">
          <color indexed="64"/>
        </right>
        <top/>
        <bottom/>
      </border>
      <protection locked="1" hidden="0"/>
    </dxf>
    <dxf>
      <font>
        <b/>
        <i/>
        <color rgb="FFFFFF00"/>
      </font>
      <fill>
        <patternFill>
          <bgColor rgb="FFFF0000"/>
        </patternFill>
      </fill>
    </dxf>
    <dxf>
      <font>
        <b/>
        <i/>
        <color rgb="FFFFFF00"/>
      </font>
      <fill>
        <patternFill>
          <bgColor rgb="FFFF0000"/>
        </patternFill>
      </fill>
    </dxf>
    <dxf>
      <font>
        <b/>
        <i/>
        <color rgb="FFFFFF00"/>
      </font>
      <fill>
        <patternFill>
          <bgColor rgb="FFFF0000"/>
        </patternFill>
      </fill>
    </dxf>
    <dxf>
      <font>
        <b/>
        <i/>
        <color rgb="FFFFFF00"/>
      </font>
      <fill>
        <patternFill>
          <bgColor rgb="FFFF0000"/>
        </patternFill>
      </fill>
    </dxf>
    <dxf>
      <font>
        <b/>
        <i/>
        <color rgb="FFFFFF00"/>
      </font>
      <fill>
        <patternFill>
          <bgColor rgb="FFFF0000"/>
        </patternFill>
      </fill>
    </dxf>
    <dxf>
      <font>
        <b/>
        <i/>
        <color rgb="FFFFFF00"/>
      </font>
      <fill>
        <patternFill>
          <bgColor rgb="FFFF0000"/>
        </patternFill>
      </fill>
    </dxf>
    <dxf>
      <font>
        <b/>
        <i/>
        <color rgb="FFFFFF00"/>
      </font>
      <fill>
        <patternFill>
          <bgColor rgb="FFFF0000"/>
        </patternFill>
      </fill>
    </dxf>
    <dxf>
      <font>
        <b/>
        <i/>
        <color rgb="FFFFFF00"/>
      </font>
      <fill>
        <patternFill>
          <bgColor rgb="FFFF0000"/>
        </patternFill>
      </fill>
    </dxf>
    <dxf>
      <font>
        <b/>
        <i/>
        <color rgb="FFFFFF00"/>
      </font>
      <fill>
        <patternFill>
          <bgColor rgb="FFFF0000"/>
        </patternFill>
      </fill>
    </dxf>
    <dxf>
      <font>
        <b/>
        <i/>
        <color rgb="FFFFFF00"/>
      </font>
      <fill>
        <patternFill>
          <bgColor rgb="FFFF0000"/>
        </patternFill>
      </fill>
    </dxf>
    <dxf>
      <font>
        <b/>
        <i/>
        <color rgb="FFFFFF00"/>
      </font>
      <fill>
        <patternFill>
          <bgColor rgb="FFFF0000"/>
        </patternFill>
      </fill>
    </dxf>
    <dxf>
      <font>
        <b/>
        <i/>
        <color rgb="FFFFFF00"/>
      </font>
      <fill>
        <patternFill>
          <bgColor rgb="FFFF0000"/>
        </patternFill>
      </fill>
    </dxf>
    <dxf>
      <font>
        <b/>
        <i/>
        <color rgb="FFFF0000"/>
      </font>
    </dxf>
    <dxf>
      <font>
        <b/>
        <i/>
        <color theme="0"/>
      </font>
      <fill>
        <patternFill>
          <bgColor rgb="FFFF0000"/>
        </patternFill>
      </fill>
    </dxf>
    <dxf>
      <font>
        <b/>
        <i/>
        <color theme="0"/>
      </font>
      <fill>
        <patternFill>
          <bgColor rgb="FFFF0000"/>
        </patternFill>
      </fill>
    </dxf>
    <dxf>
      <font>
        <b/>
        <i/>
        <color rgb="FFFF0000"/>
      </font>
    </dxf>
    <dxf>
      <font>
        <b/>
        <i/>
        <color rgb="FFFFFF00"/>
      </font>
      <fill>
        <patternFill>
          <bgColor rgb="FFFF0000"/>
        </patternFill>
      </fill>
    </dxf>
    <dxf>
      <font>
        <b/>
        <i/>
        <color theme="0"/>
      </font>
      <fill>
        <patternFill>
          <bgColor rgb="FFFF0000"/>
        </patternFill>
      </fill>
    </dxf>
    <dxf>
      <font>
        <b/>
        <i/>
        <color rgb="FFFFFF00"/>
      </font>
      <fill>
        <patternFill>
          <bgColor rgb="FFFF0000"/>
        </patternFill>
      </fill>
      <border>
        <left style="thin">
          <color auto="1"/>
        </left>
        <right style="thin">
          <color auto="1"/>
        </right>
        <top style="thin">
          <color auto="1"/>
        </top>
        <bottom style="thin">
          <color auto="1"/>
        </bottom>
      </border>
    </dxf>
  </dxfs>
  <tableStyles count="0" defaultTableStyle="TableStyleMedium2" defaultPivotStyle="PivotStyleLight16"/>
  <colors>
    <mruColors>
      <color rgb="FF63BE7B"/>
      <color rgb="FFF8696B"/>
      <color rgb="FF63BE6B"/>
      <color rgb="FF0000FF"/>
      <color rgb="FF6464FF"/>
      <color rgb="FF723F0C"/>
      <color rgb="FFCCCC00"/>
      <color rgb="FF884B0E"/>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13" Type="http://schemas.openxmlformats.org/officeDocument/2006/relationships/customXml" Target="../customXml/item3.xml"/><Relationship Id="rId3" Type="http://schemas.openxmlformats.org/officeDocument/2006/relationships/worksheet" Target="worksheets/sheet3.xml"/><Relationship Id="rId7" Type="http://schemas.openxmlformats.org/officeDocument/2006/relationships/theme" Target="theme/theme1.xml"/><Relationship Id="rId12" Type="http://schemas.openxmlformats.org/officeDocument/2006/relationships/customXml" Target="../customXml/item2.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externalLink" Target="externalLinks/externalLink1.xml"/><Relationship Id="rId11" Type="http://schemas.openxmlformats.org/officeDocument/2006/relationships/customXml" Target="../customXml/item1.xml"/><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 Id="rId14" Type="http://schemas.microsoft.com/office/2006/relationships/vbaProject" Target="vbaProject.bin"/></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D7053240-CE69-11CD-A777-00DD01143C57}" r:id="rId1"/>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e-DE"/>
  <c:roundedCorners val="0"/>
  <mc:AlternateContent xmlns:mc="http://schemas.openxmlformats.org/markup-compatibility/2006">
    <mc:Choice xmlns:c14="http://schemas.microsoft.com/office/drawing/2007/8/2/chart" Requires="c14">
      <c14:style val="101"/>
    </mc:Choice>
    <mc:Fallback>
      <c:style val="1"/>
    </mc:Fallback>
  </mc:AlternateContent>
  <c:chart>
    <c:autoTitleDeleted val="1"/>
    <c:plotArea>
      <c:layout>
        <c:manualLayout>
          <c:layoutTarget val="inner"/>
          <c:xMode val="edge"/>
          <c:yMode val="edge"/>
          <c:x val="0.11658478237095363"/>
          <c:y val="8.8439281723447935E-2"/>
          <c:w val="0.86112942913385837"/>
          <c:h val="0.78478499961056547"/>
        </c:manualLayout>
      </c:layout>
      <c:scatterChart>
        <c:scatterStyle val="smoothMarker"/>
        <c:varyColors val="0"/>
        <c:ser>
          <c:idx val="0"/>
          <c:order val="0"/>
          <c:tx>
            <c:strRef>
              <c:f>Comparison!$R$6</c:f>
              <c:strCache>
                <c:ptCount val="1"/>
                <c:pt idx="0">
                  <c:v>INA2180A4 (High side) @ 25°C</c:v>
                </c:pt>
              </c:strCache>
            </c:strRef>
          </c:tx>
          <c:spPr>
            <a:ln w="44450">
              <a:solidFill>
                <a:srgbClr val="FF0000"/>
              </a:solidFill>
            </a:ln>
          </c:spPr>
          <c:marker>
            <c:symbol val="none"/>
          </c:marker>
          <c:xVal>
            <c:numRef>
              <c:f>Comparison!$P$11:$P$180</c:f>
              <c:numCache>
                <c:formatCode>General</c:formatCode>
                <c:ptCount val="170"/>
                <c:pt idx="0">
                  <c:v>9.9999999999999995E-7</c:v>
                </c:pt>
                <c:pt idx="1">
                  <c:v>1.5E-6</c:v>
                </c:pt>
                <c:pt idx="2">
                  <c:v>1.9999999999999999E-6</c:v>
                </c:pt>
                <c:pt idx="3">
                  <c:v>2.5000000000000002E-6</c:v>
                </c:pt>
                <c:pt idx="4">
                  <c:v>3.0000000000000001E-6</c:v>
                </c:pt>
                <c:pt idx="5">
                  <c:v>3.4999999999999999E-6</c:v>
                </c:pt>
                <c:pt idx="6">
                  <c:v>3.9999999999999998E-6</c:v>
                </c:pt>
                <c:pt idx="7">
                  <c:v>4.5000000000000001E-6</c:v>
                </c:pt>
                <c:pt idx="8">
                  <c:v>5.0000000000000004E-6</c:v>
                </c:pt>
                <c:pt idx="9">
                  <c:v>5.4999999999999999E-6</c:v>
                </c:pt>
                <c:pt idx="10">
                  <c:v>6.0000000000000002E-6</c:v>
                </c:pt>
                <c:pt idx="11">
                  <c:v>6.4999999999999996E-6</c:v>
                </c:pt>
                <c:pt idx="12">
                  <c:v>6.9999999999999999E-6</c:v>
                </c:pt>
                <c:pt idx="13">
                  <c:v>7.5000000000000002E-6</c:v>
                </c:pt>
                <c:pt idx="14">
                  <c:v>7.9999999999999996E-6</c:v>
                </c:pt>
                <c:pt idx="15">
                  <c:v>8.4999999999999999E-6</c:v>
                </c:pt>
                <c:pt idx="16">
                  <c:v>9.0000000000000002E-6</c:v>
                </c:pt>
                <c:pt idx="17">
                  <c:v>9.5000000000000005E-6</c:v>
                </c:pt>
                <c:pt idx="18">
                  <c:v>9.9999999999999991E-6</c:v>
                </c:pt>
                <c:pt idx="19">
                  <c:v>1.5E-5</c:v>
                </c:pt>
                <c:pt idx="20">
                  <c:v>1.9999999999999998E-5</c:v>
                </c:pt>
                <c:pt idx="21">
                  <c:v>2.5000000000000001E-5</c:v>
                </c:pt>
                <c:pt idx="22">
                  <c:v>3.0000000000000001E-5</c:v>
                </c:pt>
                <c:pt idx="23">
                  <c:v>3.4999999999999997E-5</c:v>
                </c:pt>
                <c:pt idx="24">
                  <c:v>3.9999999999999996E-5</c:v>
                </c:pt>
                <c:pt idx="25">
                  <c:v>4.5000000000000003E-5</c:v>
                </c:pt>
                <c:pt idx="26">
                  <c:v>5.0000000000000002E-5</c:v>
                </c:pt>
                <c:pt idx="27">
                  <c:v>5.4999999999999995E-5</c:v>
                </c:pt>
                <c:pt idx="28">
                  <c:v>6.0000000000000002E-5</c:v>
                </c:pt>
                <c:pt idx="29">
                  <c:v>6.4999999999999994E-5</c:v>
                </c:pt>
                <c:pt idx="30">
                  <c:v>6.9999999999999994E-5</c:v>
                </c:pt>
                <c:pt idx="31">
                  <c:v>7.5000000000000007E-5</c:v>
                </c:pt>
                <c:pt idx="32">
                  <c:v>7.9999999999999993E-5</c:v>
                </c:pt>
                <c:pt idx="33">
                  <c:v>8.5000000000000006E-5</c:v>
                </c:pt>
                <c:pt idx="34">
                  <c:v>9.0000000000000006E-5</c:v>
                </c:pt>
                <c:pt idx="35">
                  <c:v>9.5000000000000005E-5</c:v>
                </c:pt>
                <c:pt idx="36">
                  <c:v>9.9999999999999991E-5</c:v>
                </c:pt>
                <c:pt idx="37">
                  <c:v>1.5000000000000001E-4</c:v>
                </c:pt>
                <c:pt idx="38">
                  <c:v>1.9999999999999998E-4</c:v>
                </c:pt>
                <c:pt idx="39">
                  <c:v>2.5000000000000001E-4</c:v>
                </c:pt>
                <c:pt idx="40">
                  <c:v>3.0000000000000003E-4</c:v>
                </c:pt>
                <c:pt idx="41">
                  <c:v>3.4999999999999994E-4</c:v>
                </c:pt>
                <c:pt idx="42">
                  <c:v>3.9999999999999996E-4</c:v>
                </c:pt>
                <c:pt idx="43">
                  <c:v>4.5000000000000004E-4</c:v>
                </c:pt>
                <c:pt idx="44">
                  <c:v>5.0000000000000001E-4</c:v>
                </c:pt>
                <c:pt idx="45">
                  <c:v>5.4999999999999992E-4</c:v>
                </c:pt>
                <c:pt idx="46">
                  <c:v>6.0000000000000006E-4</c:v>
                </c:pt>
                <c:pt idx="47">
                  <c:v>6.4999999999999997E-4</c:v>
                </c:pt>
                <c:pt idx="48">
                  <c:v>6.9999999999999988E-4</c:v>
                </c:pt>
                <c:pt idx="49">
                  <c:v>7.5000000000000002E-4</c:v>
                </c:pt>
                <c:pt idx="50">
                  <c:v>7.9999999999999993E-4</c:v>
                </c:pt>
                <c:pt idx="51">
                  <c:v>8.5000000000000006E-4</c:v>
                </c:pt>
                <c:pt idx="52">
                  <c:v>9.0000000000000008E-4</c:v>
                </c:pt>
                <c:pt idx="53">
                  <c:v>9.5000000000000011E-4</c:v>
                </c:pt>
                <c:pt idx="54">
                  <c:v>1E-3</c:v>
                </c:pt>
                <c:pt idx="55">
                  <c:v>1.5E-3</c:v>
                </c:pt>
                <c:pt idx="56">
                  <c:v>2E-3</c:v>
                </c:pt>
                <c:pt idx="57">
                  <c:v>2.5000000000000001E-3</c:v>
                </c:pt>
                <c:pt idx="58">
                  <c:v>3.0000000000000001E-3</c:v>
                </c:pt>
                <c:pt idx="59">
                  <c:v>3.4999999999999996E-3</c:v>
                </c:pt>
                <c:pt idx="60">
                  <c:v>4.0000000000000001E-3</c:v>
                </c:pt>
                <c:pt idx="61">
                  <c:v>4.5000000000000005E-3</c:v>
                </c:pt>
                <c:pt idx="62">
                  <c:v>5.0000000000000001E-3</c:v>
                </c:pt>
                <c:pt idx="63">
                  <c:v>5.4999999999999997E-3</c:v>
                </c:pt>
                <c:pt idx="64">
                  <c:v>6.0000000000000001E-3</c:v>
                </c:pt>
                <c:pt idx="65">
                  <c:v>6.4999999999999997E-3</c:v>
                </c:pt>
                <c:pt idx="66">
                  <c:v>6.9999999999999993E-3</c:v>
                </c:pt>
                <c:pt idx="67">
                  <c:v>7.4999999999999997E-3</c:v>
                </c:pt>
                <c:pt idx="68">
                  <c:v>8.0000000000000002E-3</c:v>
                </c:pt>
                <c:pt idx="69">
                  <c:v>8.5000000000000006E-3</c:v>
                </c:pt>
                <c:pt idx="70">
                  <c:v>9.0000000000000011E-3</c:v>
                </c:pt>
                <c:pt idx="71">
                  <c:v>9.5000000000000015E-3</c:v>
                </c:pt>
                <c:pt idx="72">
                  <c:v>0.01</c:v>
                </c:pt>
                <c:pt idx="73">
                  <c:v>1.4999999999999999E-2</c:v>
                </c:pt>
                <c:pt idx="74">
                  <c:v>0.02</c:v>
                </c:pt>
                <c:pt idx="75">
                  <c:v>2.5000000000000001E-2</c:v>
                </c:pt>
                <c:pt idx="76">
                  <c:v>0.03</c:v>
                </c:pt>
                <c:pt idx="77">
                  <c:v>3.4999999999999996E-2</c:v>
                </c:pt>
                <c:pt idx="78">
                  <c:v>0.04</c:v>
                </c:pt>
                <c:pt idx="79">
                  <c:v>4.5000000000000005E-2</c:v>
                </c:pt>
                <c:pt idx="80">
                  <c:v>0.05</c:v>
                </c:pt>
                <c:pt idx="81">
                  <c:v>5.4999999999999993E-2</c:v>
                </c:pt>
                <c:pt idx="82">
                  <c:v>0.06</c:v>
                </c:pt>
                <c:pt idx="83">
                  <c:v>6.5000000000000002E-2</c:v>
                </c:pt>
                <c:pt idx="84">
                  <c:v>6.9999999999999993E-2</c:v>
                </c:pt>
                <c:pt idx="85">
                  <c:v>7.4999999999999997E-2</c:v>
                </c:pt>
                <c:pt idx="86">
                  <c:v>0.08</c:v>
                </c:pt>
                <c:pt idx="87">
                  <c:v>8.5000000000000006E-2</c:v>
                </c:pt>
                <c:pt idx="88">
                  <c:v>9.0000000000000011E-2</c:v>
                </c:pt>
                <c:pt idx="89">
                  <c:v>9.5000000000000015E-2</c:v>
                </c:pt>
                <c:pt idx="90">
                  <c:v>0.1</c:v>
                </c:pt>
                <c:pt idx="91">
                  <c:v>0.15</c:v>
                </c:pt>
                <c:pt idx="92">
                  <c:v>0.2</c:v>
                </c:pt>
                <c:pt idx="93">
                  <c:v>0.25</c:v>
                </c:pt>
                <c:pt idx="94">
                  <c:v>0.3</c:v>
                </c:pt>
                <c:pt idx="95">
                  <c:v>0.35</c:v>
                </c:pt>
                <c:pt idx="96">
                  <c:v>0.4</c:v>
                </c:pt>
                <c:pt idx="97">
                  <c:v>0.45000000000000007</c:v>
                </c:pt>
                <c:pt idx="98">
                  <c:v>0.5</c:v>
                </c:pt>
                <c:pt idx="99">
                  <c:v>0.54999999999999993</c:v>
                </c:pt>
                <c:pt idx="100">
                  <c:v>0.6</c:v>
                </c:pt>
                <c:pt idx="101">
                  <c:v>0.65</c:v>
                </c:pt>
                <c:pt idx="102">
                  <c:v>0.7</c:v>
                </c:pt>
                <c:pt idx="103">
                  <c:v>0.75</c:v>
                </c:pt>
                <c:pt idx="104">
                  <c:v>0.8</c:v>
                </c:pt>
                <c:pt idx="105">
                  <c:v>0.85000000000000009</c:v>
                </c:pt>
                <c:pt idx="106">
                  <c:v>0.90000000000000013</c:v>
                </c:pt>
                <c:pt idx="107">
                  <c:v>0.95000000000000018</c:v>
                </c:pt>
                <c:pt idx="108">
                  <c:v>1</c:v>
                </c:pt>
                <c:pt idx="109">
                  <c:v>1.5</c:v>
                </c:pt>
                <c:pt idx="110">
                  <c:v>2</c:v>
                </c:pt>
                <c:pt idx="111">
                  <c:v>2.5</c:v>
                </c:pt>
                <c:pt idx="112">
                  <c:v>3</c:v>
                </c:pt>
                <c:pt idx="113">
                  <c:v>3.5</c:v>
                </c:pt>
                <c:pt idx="114">
                  <c:v>4</c:v>
                </c:pt>
                <c:pt idx="115">
                  <c:v>4.5000000000000009</c:v>
                </c:pt>
                <c:pt idx="116">
                  <c:v>5</c:v>
                </c:pt>
                <c:pt idx="117">
                  <c:v>5.4999999999999991</c:v>
                </c:pt>
                <c:pt idx="118">
                  <c:v>6</c:v>
                </c:pt>
                <c:pt idx="119">
                  <c:v>6.5</c:v>
                </c:pt>
                <c:pt idx="120">
                  <c:v>7</c:v>
                </c:pt>
                <c:pt idx="121">
                  <c:v>7.5</c:v>
                </c:pt>
                <c:pt idx="122">
                  <c:v>8</c:v>
                </c:pt>
                <c:pt idx="123">
                  <c:v>8.5</c:v>
                </c:pt>
                <c:pt idx="124">
                  <c:v>9.0000000000000018</c:v>
                </c:pt>
                <c:pt idx="125">
                  <c:v>9.5000000000000018</c:v>
                </c:pt>
                <c:pt idx="126">
                  <c:v>10</c:v>
                </c:pt>
                <c:pt idx="127">
                  <c:v>15</c:v>
                </c:pt>
                <c:pt idx="128">
                  <c:v>20</c:v>
                </c:pt>
                <c:pt idx="129">
                  <c:v>25</c:v>
                </c:pt>
                <c:pt idx="130">
                  <c:v>30</c:v>
                </c:pt>
                <c:pt idx="131">
                  <c:v>35</c:v>
                </c:pt>
                <c:pt idx="132">
                  <c:v>40</c:v>
                </c:pt>
                <c:pt idx="133">
                  <c:v>45.000000000000007</c:v>
                </c:pt>
                <c:pt idx="134">
                  <c:v>50</c:v>
                </c:pt>
                <c:pt idx="135">
                  <c:v>54.999999999999993</c:v>
                </c:pt>
                <c:pt idx="136">
                  <c:v>60</c:v>
                </c:pt>
                <c:pt idx="137">
                  <c:v>65</c:v>
                </c:pt>
                <c:pt idx="138">
                  <c:v>70</c:v>
                </c:pt>
                <c:pt idx="139">
                  <c:v>75</c:v>
                </c:pt>
                <c:pt idx="140">
                  <c:v>80</c:v>
                </c:pt>
                <c:pt idx="141">
                  <c:v>85</c:v>
                </c:pt>
                <c:pt idx="142">
                  <c:v>90.000000000000014</c:v>
                </c:pt>
                <c:pt idx="143">
                  <c:v>95.000000000000014</c:v>
                </c:pt>
                <c:pt idx="144">
                  <c:v>100</c:v>
                </c:pt>
                <c:pt idx="145">
                  <c:v>150</c:v>
                </c:pt>
                <c:pt idx="146">
                  <c:v>200</c:v>
                </c:pt>
                <c:pt idx="147">
                  <c:v>250</c:v>
                </c:pt>
                <c:pt idx="148">
                  <c:v>300</c:v>
                </c:pt>
                <c:pt idx="149">
                  <c:v>350</c:v>
                </c:pt>
                <c:pt idx="150">
                  <c:v>400</c:v>
                </c:pt>
                <c:pt idx="151">
                  <c:v>450.00000000000006</c:v>
                </c:pt>
                <c:pt idx="152">
                  <c:v>500</c:v>
                </c:pt>
                <c:pt idx="153">
                  <c:v>549.99999999999989</c:v>
                </c:pt>
                <c:pt idx="154">
                  <c:v>600</c:v>
                </c:pt>
                <c:pt idx="155">
                  <c:v>650</c:v>
                </c:pt>
                <c:pt idx="156">
                  <c:v>700</c:v>
                </c:pt>
                <c:pt idx="157">
                  <c:v>750</c:v>
                </c:pt>
                <c:pt idx="158">
                  <c:v>800</c:v>
                </c:pt>
                <c:pt idx="159">
                  <c:v>850</c:v>
                </c:pt>
                <c:pt idx="160">
                  <c:v>900.00000000000011</c:v>
                </c:pt>
                <c:pt idx="161">
                  <c:v>950.00000000000011</c:v>
                </c:pt>
                <c:pt idx="162">
                  <c:v>1000</c:v>
                </c:pt>
                <c:pt idx="163">
                  <c:v>1500</c:v>
                </c:pt>
                <c:pt idx="164">
                  <c:v>2000</c:v>
                </c:pt>
                <c:pt idx="165">
                  <c:v>2500</c:v>
                </c:pt>
                <c:pt idx="166">
                  <c:v>3000</c:v>
                </c:pt>
                <c:pt idx="167">
                  <c:v>3500</c:v>
                </c:pt>
                <c:pt idx="168">
                  <c:v>4000</c:v>
                </c:pt>
                <c:pt idx="169">
                  <c:v>4500.0000000000009</c:v>
                </c:pt>
              </c:numCache>
            </c:numRef>
          </c:xVal>
          <c:yVal>
            <c:numRef>
              <c:f>Comparison!$X$11:$X$180</c:f>
              <c:numCache>
                <c:formatCode>0.00%</c:formatCode>
                <c:ptCount val="170"/>
                <c:pt idx="0">
                  <c:v>100800.03174602758</c:v>
                </c:pt>
                <c:pt idx="1">
                  <c:v>67200.021164019039</c:v>
                </c:pt>
                <c:pt idx="2">
                  <c:v>50400.015873015007</c:v>
                </c:pt>
                <c:pt idx="3">
                  <c:v>40320.012698412727</c:v>
                </c:pt>
                <c:pt idx="4">
                  <c:v>33600.010582011346</c:v>
                </c:pt>
                <c:pt idx="5">
                  <c:v>28800.009070296208</c:v>
                </c:pt>
                <c:pt idx="6">
                  <c:v>25200.007936509945</c:v>
                </c:pt>
                <c:pt idx="7">
                  <c:v>22400.007054676265</c:v>
                </c:pt>
                <c:pt idx="8">
                  <c:v>20160.006349209416</c:v>
                </c:pt>
                <c:pt idx="9">
                  <c:v>18327.278499282067</c:v>
                </c:pt>
                <c:pt idx="10">
                  <c:v>16800.005291009336</c:v>
                </c:pt>
                <c:pt idx="11">
                  <c:v>15507.697191701709</c:v>
                </c:pt>
                <c:pt idx="12">
                  <c:v>14400.004535152373</c:v>
                </c:pt>
                <c:pt idx="13">
                  <c:v>13440.004232809664</c:v>
                </c:pt>
                <c:pt idx="14">
                  <c:v>12600.003968259853</c:v>
                </c:pt>
                <c:pt idx="15">
                  <c:v>11858.827264245354</c:v>
                </c:pt>
                <c:pt idx="16">
                  <c:v>11200.003527343624</c:v>
                </c:pt>
                <c:pt idx="17">
                  <c:v>10610.529657484227</c:v>
                </c:pt>
                <c:pt idx="18">
                  <c:v>10080.003174610809</c:v>
                </c:pt>
                <c:pt idx="19">
                  <c:v>6720.0021164139844</c:v>
                </c:pt>
                <c:pt idx="20">
                  <c:v>5040.0015873176071</c:v>
                </c:pt>
                <c:pt idx="21">
                  <c:v>4032.0012698614078</c:v>
                </c:pt>
                <c:pt idx="22">
                  <c:v>3360.0010582252958</c:v>
                </c:pt>
                <c:pt idx="23">
                  <c:v>2880.000907057808</c:v>
                </c:pt>
                <c:pt idx="24">
                  <c:v>2520.000793683208</c:v>
                </c:pt>
                <c:pt idx="25">
                  <c:v>2240.0007055038682</c:v>
                </c:pt>
                <c:pt idx="26">
                  <c:v>2016.0006349612097</c:v>
                </c:pt>
                <c:pt idx="27">
                  <c:v>1832.7278499725012</c:v>
                </c:pt>
                <c:pt idx="28">
                  <c:v>1680.000529149255</c:v>
                </c:pt>
                <c:pt idx="29">
                  <c:v>1550.7697192225196</c:v>
                </c:pt>
                <c:pt idx="30">
                  <c:v>1440.0004535716125</c:v>
                </c:pt>
                <c:pt idx="31">
                  <c:v>1344.0004233413686</c:v>
                </c:pt>
                <c:pt idx="32">
                  <c:v>1260.0003968904136</c:v>
                </c:pt>
                <c:pt idx="33">
                  <c:v>1185.882726492991</c:v>
                </c:pt>
                <c:pt idx="34">
                  <c:v>1120.0003528068448</c:v>
                </c:pt>
                <c:pt idx="35">
                  <c:v>1061.0529658249316</c:v>
                </c:pt>
                <c:pt idx="36">
                  <c:v>1008.0003175416167</c:v>
                </c:pt>
                <c:pt idx="37">
                  <c:v>672.00021176220207</c:v>
                </c:pt>
                <c:pt idx="38">
                  <c:v>504.00015889283213</c:v>
                </c:pt>
                <c:pt idx="39">
                  <c:v>403.20012718747995</c:v>
                </c:pt>
                <c:pt idx="40">
                  <c:v>336.00010606413673</c:v>
                </c:pt>
                <c:pt idx="41">
                  <c:v>288.00009098765577</c:v>
                </c:pt>
                <c:pt idx="42">
                  <c:v>252.00007969046362</c:v>
                </c:pt>
                <c:pt idx="43">
                  <c:v>224.00007091279741</c:v>
                </c:pt>
                <c:pt idx="44">
                  <c:v>201.60006389879939</c:v>
                </c:pt>
                <c:pt idx="45">
                  <c:v>183.27278544019637</c:v>
                </c:pt>
                <c:pt idx="46">
                  <c:v>168.00005339813967</c:v>
                </c:pt>
                <c:pt idx="47">
                  <c:v>155.07697244573393</c:v>
                </c:pt>
                <c:pt idx="48">
                  <c:v>144.00004592091108</c:v>
                </c:pt>
                <c:pt idx="49">
                  <c:v>134.40004293815451</c:v>
                </c:pt>
                <c:pt idx="50">
                  <c:v>126.00004033332689</c:v>
                </c:pt>
                <c:pt idx="51">
                  <c:v>118.58827333385244</c:v>
                </c:pt>
                <c:pt idx="52">
                  <c:v>112.00003600550568</c:v>
                </c:pt>
                <c:pt idx="53">
                  <c:v>106.10529734758218</c:v>
                </c:pt>
                <c:pt idx="54">
                  <c:v>100.80003255951854</c:v>
                </c:pt>
                <c:pt idx="55">
                  <c:v>67.200022384255533</c:v>
                </c:pt>
                <c:pt idx="56">
                  <c:v>50.400017499996963</c:v>
                </c:pt>
                <c:pt idx="57">
                  <c:v>40.320014732140166</c:v>
                </c:pt>
                <c:pt idx="58">
                  <c:v>33.600013022484248</c:v>
                </c:pt>
                <c:pt idx="59">
                  <c:v>28.800011917514542</c:v>
                </c:pt>
                <c:pt idx="60">
                  <c:v>25.200011190473703</c:v>
                </c:pt>
                <c:pt idx="61">
                  <c:v>22.400010715385442</c:v>
                </c:pt>
                <c:pt idx="62">
                  <c:v>20.160010416663976</c:v>
                </c:pt>
                <c:pt idx="63">
                  <c:v>18.327282973481985</c:v>
                </c:pt>
                <c:pt idx="64">
                  <c:v>16.800010171954593</c:v>
                </c:pt>
                <c:pt idx="65">
                  <c:v>15.507702479392266</c:v>
                </c:pt>
                <c:pt idx="66">
                  <c:v>14.400010229588204</c:v>
                </c:pt>
                <c:pt idx="67">
                  <c:v>13.440010333990736</c:v>
                </c:pt>
                <c:pt idx="68">
                  <c:v>12.600010476186121</c:v>
                </c:pt>
                <c:pt idx="69">
                  <c:v>11.858834178916785</c:v>
                </c:pt>
                <c:pt idx="70">
                  <c:v>11.200010848760177</c:v>
                </c:pt>
                <c:pt idx="71">
                  <c:v>10.610537385645854</c:v>
                </c:pt>
                <c:pt idx="72">
                  <c:v>10.080011309517465</c:v>
                </c:pt>
                <c:pt idx="73">
                  <c:v>6.7200143187678139</c:v>
                </c:pt>
                <c:pt idx="74">
                  <c:v>5.0400178571112226</c:v>
                </c:pt>
                <c:pt idx="75">
                  <c:v>4.0320216070849622</c:v>
                </c:pt>
                <c:pt idx="76">
                  <c:v>3.360025462866481</c:v>
                </c:pt>
                <c:pt idx="77">
                  <c:v>2.8800293791018512</c:v>
                </c:pt>
                <c:pt idx="78">
                  <c:v>2.5200333331128775</c:v>
                </c:pt>
                <c:pt idx="79">
                  <c:v>2.2400373122994686</c:v>
                </c:pt>
                <c:pt idx="80">
                  <c:v>2.0160413091005851</c:v>
                </c:pt>
                <c:pt idx="81">
                  <c:v>1.832772591431034</c:v>
                </c:pt>
                <c:pt idx="82">
                  <c:v>1.680049337899866</c:v>
                </c:pt>
                <c:pt idx="83">
                  <c:v>1.5508225952356678</c:v>
                </c:pt>
                <c:pt idx="84">
                  <c:v>1.4400573968152968</c:v>
                </c:pt>
                <c:pt idx="85">
                  <c:v>1.3440614337811265</c:v>
                </c:pt>
                <c:pt idx="86">
                  <c:v>1.260065474489322</c:v>
                </c:pt>
                <c:pt idx="87">
                  <c:v>1.185951871211665</c:v>
                </c:pt>
                <c:pt idx="88">
                  <c:v>1.1200735646034401</c:v>
                </c:pt>
                <c:pt idx="89">
                  <c:v>1.0611302446551427</c:v>
                </c:pt>
                <c:pt idx="90">
                  <c:v>1.0080816633586787</c:v>
                </c:pt>
                <c:pt idx="91">
                  <c:v>0.67212222433456581</c:v>
                </c:pt>
                <c:pt idx="92">
                  <c:v>0.50416283083940261</c:v>
                </c:pt>
                <c:pt idx="93">
                  <c:v>0.40340344867142625</c:v>
                </c:pt>
                <c:pt idx="94">
                  <c:v>0.3362440647968542</c:v>
                </c:pt>
                <c:pt idx="95">
                  <c:v>0.28828467223371063</c:v>
                </c:pt>
                <c:pt idx="96">
                  <c:v>0.25232526627351454</c:v>
                </c:pt>
                <c:pt idx="97">
                  <c:v>0.22436584322248845</c:v>
                </c:pt>
                <c:pt idx="98">
                  <c:v>0.2020063998986171</c:v>
                </c:pt>
                <c:pt idx="99">
                  <c:v>0.18371966067628223</c:v>
                </c:pt>
                <c:pt idx="100">
                  <c:v>0.16848744100904903</c:v>
                </c:pt>
                <c:pt idx="101">
                  <c:v>0.15560484317313172</c:v>
                </c:pt>
                <c:pt idx="102">
                  <c:v>0.14456836812119203</c:v>
                </c:pt>
                <c:pt idx="103">
                  <c:v>0.13500878259497703</c:v>
                </c:pt>
                <c:pt idx="104">
                  <c:v>0.12664916107104698</c:v>
                </c:pt>
                <c:pt idx="105">
                  <c:v>0.11927773643184422</c:v>
                </c:pt>
                <c:pt idx="106">
                  <c:v>0.11272980041335372</c:v>
                </c:pt>
                <c:pt idx="107">
                  <c:v>0.10687531970113039</c:v>
                </c:pt>
                <c:pt idx="108">
                  <c:v>0.1016102671977591</c:v>
                </c:pt>
                <c:pt idx="109">
                  <c:v>6.8409376875136374E-2</c:v>
                </c:pt>
                <c:pt idx="110">
                  <c:v>5.2001553822938792E-2</c:v>
                </c:pt>
                <c:pt idx="111">
                  <c:v>4.2304886526263137E-2</c:v>
                </c:pt>
                <c:pt idx="112">
                  <c:v>3.5957762876896428E-2</c:v>
                </c:pt>
                <c:pt idx="113">
                  <c:v>3.1518891516818602E-2</c:v>
                </c:pt>
                <c:pt idx="114">
                  <c:v>2.8267302665800995E-2</c:v>
                </c:pt>
                <c:pt idx="115">
                  <c:v>2.5802331601027507E-2</c:v>
                </c:pt>
                <c:pt idx="116">
                  <c:v>2.3883589679945517E-2</c:v>
                </c:pt>
                <c:pt idx="117">
                  <c:v>2.2358200669778477E-2</c:v>
                </c:pt>
                <c:pt idx="118">
                  <c:v>2.1124397690295876E-2</c:v>
                </c:pt>
                <c:pt idx="119">
                  <c:v>2.011190374353828E-2</c:v>
                </c:pt>
                <c:pt idx="120">
                  <c:v>1.9270706541594289E-2</c:v>
                </c:pt>
                <c:pt idx="121">
                  <c:v>1.8564312908852236E-2</c:v>
                </c:pt>
                <c:pt idx="122">
                  <c:v>1.7965525319344269E-2</c:v>
                </c:pt>
                <c:pt idx="123">
                  <c:v>1.7453704021870114E-2</c:v>
                </c:pt>
                <c:pt idx="124">
                  <c:v>1.7012938576634714E-2</c:v>
                </c:pt>
                <c:pt idx="125">
                  <c:v>1.6630794918228903E-2</c:v>
                </c:pt>
                <c:pt idx="126">
                  <c:v>1.629743734456433E-2</c:v>
                </c:pt>
                <c:pt idx="127">
                  <c:v>1.4462310619138439E-2</c:v>
                </c:pt>
                <c:pt idx="128">
                  <c:v>1.3762325966202079E-2</c:v>
                </c:pt>
                <c:pt idx="129">
                  <c:v>1.3425983548328965E-2</c:v>
                </c:pt>
                <c:pt idx="130">
                  <c:v>1.3239698150302036E-2</c:v>
                </c:pt>
                <c:pt idx="131">
                  <c:v>1.3126096343715057E-2</c:v>
                </c:pt>
                <c:pt idx="132">
                  <c:v>1.3051835273247974E-2</c:v>
                </c:pt>
                <c:pt idx="133">
                  <c:v>1.3000677027004932E-2</c:v>
                </c:pt>
                <c:pt idx="134">
                  <c:v>1.2963959987596384E-2</c:v>
                </c:pt>
                <c:pt idx="135">
                  <c:v>1.2936726455015613E-2</c:v>
                </c:pt>
                <c:pt idx="136">
                  <c:v>1.2915974673936837E-2</c:v>
                </c:pt>
                <c:pt idx="137">
                  <c:v>1.2899801809403642E-2</c:v>
                </c:pt>
                <c:pt idx="138">
                  <c:v>1.2886954694811433E-2</c:v>
                </c:pt>
                <c:pt idx="139">
                  <c:v>1.2876580956829253E-2</c:v>
                </c:pt>
                <c:pt idx="140">
                  <c:v>1.2868084589401797E-2</c:v>
                </c:pt>
                <c:pt idx="141">
                  <c:v>1.2861038754347584E-2</c:v>
                </c:pt>
                <c:pt idx="142">
                  <c:v>1.2855131301940229E-2</c:v>
                </c:pt>
                <c:pt idx="143">
                  <c:v>1.2850129703474664E-2</c:v>
                </c:pt>
                <c:pt idx="144">
                  <c:v>1.2845857878709385E-2</c:v>
                </c:pt>
                <c:pt idx="145">
                  <c:v>1.2823867758381027E-2</c:v>
                </c:pt>
                <c:pt idx="146">
                  <c:v>1.2816162302343085E-2</c:v>
                </c:pt>
                <c:pt idx="147">
                  <c:v>1.2812594208137556E-2</c:v>
                </c:pt>
                <c:pt idx="148">
                  <c:v>1.2810655567577761E-2</c:v>
                </c:pt>
                <c:pt idx="149">
                  <c:v>1.280948648667248E-2</c:v>
                </c:pt>
                <c:pt idx="150">
                  <c:v>1.2808727651097902E-2</c:v>
                </c:pt>
                <c:pt idx="151">
                  <c:v>1.2808207369948572E-2</c:v>
                </c:pt>
                <c:pt idx="152">
                  <c:v>1.2807835202937302E-2</c:v>
                </c:pt>
                <c:pt idx="153">
                  <c:v>1.280755983447741E-2</c:v>
                </c:pt>
                <c:pt idx="154">
                  <c:v>1.2807350390216462E-2</c:v>
                </c:pt>
                <c:pt idx="155">
                  <c:v>1.2807187390962113E-2</c:v>
                </c:pt>
                <c:pt idx="156">
                  <c:v>1.280705805456746E-2</c:v>
                </c:pt>
                <c:pt idx="157">
                  <c:v>1.2806953711612211E-2</c:v>
                </c:pt>
                <c:pt idx="158">
                  <c:v>1.280686831391656E-2</c:v>
                </c:pt>
                <c:pt idx="159">
                  <c:v>1.2806797537964295E-2</c:v>
                </c:pt>
                <c:pt idx="160">
                  <c:v>1.2806738226726634E-2</c:v>
                </c:pt>
                <c:pt idx="161">
                  <c:v>1.2806688031413946E-2</c:v>
                </c:pt>
                <c:pt idx="162">
                  <c:v>1.280664517531426E-2</c:v>
                </c:pt>
                <c:pt idx="163">
                  <c:v>1.2806424787693263E-2</c:v>
                </c:pt>
                <c:pt idx="164">
                  <c:v>1.2806347651129889E-2</c:v>
                </c:pt>
                <c:pt idx="165">
                  <c:v>1.2806311947763259E-2</c:v>
                </c:pt>
                <c:pt idx="166">
                  <c:v>1.280629255330016E-2</c:v>
                </c:pt>
                <c:pt idx="167">
                  <c:v>1.2806280859036415E-2</c:v>
                </c:pt>
                <c:pt idx="168">
                  <c:v>1.2806273269003752E-2</c:v>
                </c:pt>
                <c:pt idx="169">
                  <c:v>1.2806268065299744E-2</c:v>
                </c:pt>
              </c:numCache>
            </c:numRef>
          </c:yVal>
          <c:smooth val="1"/>
          <c:extLst>
            <c:ext xmlns:c16="http://schemas.microsoft.com/office/drawing/2014/chart" uri="{C3380CC4-5D6E-409C-BE32-E72D297353CC}">
              <c16:uniqueId val="{00000000-D749-4CED-ABCA-C97B8EEF335E}"/>
            </c:ext>
          </c:extLst>
        </c:ser>
        <c:ser>
          <c:idx val="2"/>
          <c:order val="2"/>
          <c:tx>
            <c:strRef>
              <c:f>Comparison!$AG$6</c:f>
              <c:strCache>
                <c:ptCount val="1"/>
                <c:pt idx="0">
                  <c:v>INA296A5 @ 25°C</c:v>
                </c:pt>
              </c:strCache>
            </c:strRef>
          </c:tx>
          <c:spPr>
            <a:ln w="44450">
              <a:solidFill>
                <a:schemeClr val="accent1"/>
              </a:solidFill>
              <a:prstDash val="dash"/>
            </a:ln>
          </c:spPr>
          <c:marker>
            <c:symbol val="none"/>
          </c:marker>
          <c:xVal>
            <c:numRef>
              <c:f>Comparison!$P$11:$P$180</c:f>
              <c:numCache>
                <c:formatCode>General</c:formatCode>
                <c:ptCount val="170"/>
                <c:pt idx="0">
                  <c:v>9.9999999999999995E-7</c:v>
                </c:pt>
                <c:pt idx="1">
                  <c:v>1.5E-6</c:v>
                </c:pt>
                <c:pt idx="2">
                  <c:v>1.9999999999999999E-6</c:v>
                </c:pt>
                <c:pt idx="3">
                  <c:v>2.5000000000000002E-6</c:v>
                </c:pt>
                <c:pt idx="4">
                  <c:v>3.0000000000000001E-6</c:v>
                </c:pt>
                <c:pt idx="5">
                  <c:v>3.4999999999999999E-6</c:v>
                </c:pt>
                <c:pt idx="6">
                  <c:v>3.9999999999999998E-6</c:v>
                </c:pt>
                <c:pt idx="7">
                  <c:v>4.5000000000000001E-6</c:v>
                </c:pt>
                <c:pt idx="8">
                  <c:v>5.0000000000000004E-6</c:v>
                </c:pt>
                <c:pt idx="9">
                  <c:v>5.4999999999999999E-6</c:v>
                </c:pt>
                <c:pt idx="10">
                  <c:v>6.0000000000000002E-6</c:v>
                </c:pt>
                <c:pt idx="11">
                  <c:v>6.4999999999999996E-6</c:v>
                </c:pt>
                <c:pt idx="12">
                  <c:v>6.9999999999999999E-6</c:v>
                </c:pt>
                <c:pt idx="13">
                  <c:v>7.5000000000000002E-6</c:v>
                </c:pt>
                <c:pt idx="14">
                  <c:v>7.9999999999999996E-6</c:v>
                </c:pt>
                <c:pt idx="15">
                  <c:v>8.4999999999999999E-6</c:v>
                </c:pt>
                <c:pt idx="16">
                  <c:v>9.0000000000000002E-6</c:v>
                </c:pt>
                <c:pt idx="17">
                  <c:v>9.5000000000000005E-6</c:v>
                </c:pt>
                <c:pt idx="18">
                  <c:v>9.9999999999999991E-6</c:v>
                </c:pt>
                <c:pt idx="19">
                  <c:v>1.5E-5</c:v>
                </c:pt>
                <c:pt idx="20">
                  <c:v>1.9999999999999998E-5</c:v>
                </c:pt>
                <c:pt idx="21">
                  <c:v>2.5000000000000001E-5</c:v>
                </c:pt>
                <c:pt idx="22">
                  <c:v>3.0000000000000001E-5</c:v>
                </c:pt>
                <c:pt idx="23">
                  <c:v>3.4999999999999997E-5</c:v>
                </c:pt>
                <c:pt idx="24">
                  <c:v>3.9999999999999996E-5</c:v>
                </c:pt>
                <c:pt idx="25">
                  <c:v>4.5000000000000003E-5</c:v>
                </c:pt>
                <c:pt idx="26">
                  <c:v>5.0000000000000002E-5</c:v>
                </c:pt>
                <c:pt idx="27">
                  <c:v>5.4999999999999995E-5</c:v>
                </c:pt>
                <c:pt idx="28">
                  <c:v>6.0000000000000002E-5</c:v>
                </c:pt>
                <c:pt idx="29">
                  <c:v>6.4999999999999994E-5</c:v>
                </c:pt>
                <c:pt idx="30">
                  <c:v>6.9999999999999994E-5</c:v>
                </c:pt>
                <c:pt idx="31">
                  <c:v>7.5000000000000007E-5</c:v>
                </c:pt>
                <c:pt idx="32">
                  <c:v>7.9999999999999993E-5</c:v>
                </c:pt>
                <c:pt idx="33">
                  <c:v>8.5000000000000006E-5</c:v>
                </c:pt>
                <c:pt idx="34">
                  <c:v>9.0000000000000006E-5</c:v>
                </c:pt>
                <c:pt idx="35">
                  <c:v>9.5000000000000005E-5</c:v>
                </c:pt>
                <c:pt idx="36">
                  <c:v>9.9999999999999991E-5</c:v>
                </c:pt>
                <c:pt idx="37">
                  <c:v>1.5000000000000001E-4</c:v>
                </c:pt>
                <c:pt idx="38">
                  <c:v>1.9999999999999998E-4</c:v>
                </c:pt>
                <c:pt idx="39">
                  <c:v>2.5000000000000001E-4</c:v>
                </c:pt>
                <c:pt idx="40">
                  <c:v>3.0000000000000003E-4</c:v>
                </c:pt>
                <c:pt idx="41">
                  <c:v>3.4999999999999994E-4</c:v>
                </c:pt>
                <c:pt idx="42">
                  <c:v>3.9999999999999996E-4</c:v>
                </c:pt>
                <c:pt idx="43">
                  <c:v>4.5000000000000004E-4</c:v>
                </c:pt>
                <c:pt idx="44">
                  <c:v>5.0000000000000001E-4</c:v>
                </c:pt>
                <c:pt idx="45">
                  <c:v>5.4999999999999992E-4</c:v>
                </c:pt>
                <c:pt idx="46">
                  <c:v>6.0000000000000006E-4</c:v>
                </c:pt>
                <c:pt idx="47">
                  <c:v>6.4999999999999997E-4</c:v>
                </c:pt>
                <c:pt idx="48">
                  <c:v>6.9999999999999988E-4</c:v>
                </c:pt>
                <c:pt idx="49">
                  <c:v>7.5000000000000002E-4</c:v>
                </c:pt>
                <c:pt idx="50">
                  <c:v>7.9999999999999993E-4</c:v>
                </c:pt>
                <c:pt idx="51">
                  <c:v>8.5000000000000006E-4</c:v>
                </c:pt>
                <c:pt idx="52">
                  <c:v>9.0000000000000008E-4</c:v>
                </c:pt>
                <c:pt idx="53">
                  <c:v>9.5000000000000011E-4</c:v>
                </c:pt>
                <c:pt idx="54">
                  <c:v>1E-3</c:v>
                </c:pt>
                <c:pt idx="55">
                  <c:v>1.5E-3</c:v>
                </c:pt>
                <c:pt idx="56">
                  <c:v>2E-3</c:v>
                </c:pt>
                <c:pt idx="57">
                  <c:v>2.5000000000000001E-3</c:v>
                </c:pt>
                <c:pt idx="58">
                  <c:v>3.0000000000000001E-3</c:v>
                </c:pt>
                <c:pt idx="59">
                  <c:v>3.4999999999999996E-3</c:v>
                </c:pt>
                <c:pt idx="60">
                  <c:v>4.0000000000000001E-3</c:v>
                </c:pt>
                <c:pt idx="61">
                  <c:v>4.5000000000000005E-3</c:v>
                </c:pt>
                <c:pt idx="62">
                  <c:v>5.0000000000000001E-3</c:v>
                </c:pt>
                <c:pt idx="63">
                  <c:v>5.4999999999999997E-3</c:v>
                </c:pt>
                <c:pt idx="64">
                  <c:v>6.0000000000000001E-3</c:v>
                </c:pt>
                <c:pt idx="65">
                  <c:v>6.4999999999999997E-3</c:v>
                </c:pt>
                <c:pt idx="66">
                  <c:v>6.9999999999999993E-3</c:v>
                </c:pt>
                <c:pt idx="67">
                  <c:v>7.4999999999999997E-3</c:v>
                </c:pt>
                <c:pt idx="68">
                  <c:v>8.0000000000000002E-3</c:v>
                </c:pt>
                <c:pt idx="69">
                  <c:v>8.5000000000000006E-3</c:v>
                </c:pt>
                <c:pt idx="70">
                  <c:v>9.0000000000000011E-3</c:v>
                </c:pt>
                <c:pt idx="71">
                  <c:v>9.5000000000000015E-3</c:v>
                </c:pt>
                <c:pt idx="72">
                  <c:v>0.01</c:v>
                </c:pt>
                <c:pt idx="73">
                  <c:v>1.4999999999999999E-2</c:v>
                </c:pt>
                <c:pt idx="74">
                  <c:v>0.02</c:v>
                </c:pt>
                <c:pt idx="75">
                  <c:v>2.5000000000000001E-2</c:v>
                </c:pt>
                <c:pt idx="76">
                  <c:v>0.03</c:v>
                </c:pt>
                <c:pt idx="77">
                  <c:v>3.4999999999999996E-2</c:v>
                </c:pt>
                <c:pt idx="78">
                  <c:v>0.04</c:v>
                </c:pt>
                <c:pt idx="79">
                  <c:v>4.5000000000000005E-2</c:v>
                </c:pt>
                <c:pt idx="80">
                  <c:v>0.05</c:v>
                </c:pt>
                <c:pt idx="81">
                  <c:v>5.4999999999999993E-2</c:v>
                </c:pt>
                <c:pt idx="82">
                  <c:v>0.06</c:v>
                </c:pt>
                <c:pt idx="83">
                  <c:v>6.5000000000000002E-2</c:v>
                </c:pt>
                <c:pt idx="84">
                  <c:v>6.9999999999999993E-2</c:v>
                </c:pt>
                <c:pt idx="85">
                  <c:v>7.4999999999999997E-2</c:v>
                </c:pt>
                <c:pt idx="86">
                  <c:v>0.08</c:v>
                </c:pt>
                <c:pt idx="87">
                  <c:v>8.5000000000000006E-2</c:v>
                </c:pt>
                <c:pt idx="88">
                  <c:v>9.0000000000000011E-2</c:v>
                </c:pt>
                <c:pt idx="89">
                  <c:v>9.5000000000000015E-2</c:v>
                </c:pt>
                <c:pt idx="90">
                  <c:v>0.1</c:v>
                </c:pt>
                <c:pt idx="91">
                  <c:v>0.15</c:v>
                </c:pt>
                <c:pt idx="92">
                  <c:v>0.2</c:v>
                </c:pt>
                <c:pt idx="93">
                  <c:v>0.25</c:v>
                </c:pt>
                <c:pt idx="94">
                  <c:v>0.3</c:v>
                </c:pt>
                <c:pt idx="95">
                  <c:v>0.35</c:v>
                </c:pt>
                <c:pt idx="96">
                  <c:v>0.4</c:v>
                </c:pt>
                <c:pt idx="97">
                  <c:v>0.45000000000000007</c:v>
                </c:pt>
                <c:pt idx="98">
                  <c:v>0.5</c:v>
                </c:pt>
                <c:pt idx="99">
                  <c:v>0.54999999999999993</c:v>
                </c:pt>
                <c:pt idx="100">
                  <c:v>0.6</c:v>
                </c:pt>
                <c:pt idx="101">
                  <c:v>0.65</c:v>
                </c:pt>
                <c:pt idx="102">
                  <c:v>0.7</c:v>
                </c:pt>
                <c:pt idx="103">
                  <c:v>0.75</c:v>
                </c:pt>
                <c:pt idx="104">
                  <c:v>0.8</c:v>
                </c:pt>
                <c:pt idx="105">
                  <c:v>0.85000000000000009</c:v>
                </c:pt>
                <c:pt idx="106">
                  <c:v>0.90000000000000013</c:v>
                </c:pt>
                <c:pt idx="107">
                  <c:v>0.95000000000000018</c:v>
                </c:pt>
                <c:pt idx="108">
                  <c:v>1</c:v>
                </c:pt>
                <c:pt idx="109">
                  <c:v>1.5</c:v>
                </c:pt>
                <c:pt idx="110">
                  <c:v>2</c:v>
                </c:pt>
                <c:pt idx="111">
                  <c:v>2.5</c:v>
                </c:pt>
                <c:pt idx="112">
                  <c:v>3</c:v>
                </c:pt>
                <c:pt idx="113">
                  <c:v>3.5</c:v>
                </c:pt>
                <c:pt idx="114">
                  <c:v>4</c:v>
                </c:pt>
                <c:pt idx="115">
                  <c:v>4.5000000000000009</c:v>
                </c:pt>
                <c:pt idx="116">
                  <c:v>5</c:v>
                </c:pt>
                <c:pt idx="117">
                  <c:v>5.4999999999999991</c:v>
                </c:pt>
                <c:pt idx="118">
                  <c:v>6</c:v>
                </c:pt>
                <c:pt idx="119">
                  <c:v>6.5</c:v>
                </c:pt>
                <c:pt idx="120">
                  <c:v>7</c:v>
                </c:pt>
                <c:pt idx="121">
                  <c:v>7.5</c:v>
                </c:pt>
                <c:pt idx="122">
                  <c:v>8</c:v>
                </c:pt>
                <c:pt idx="123">
                  <c:v>8.5</c:v>
                </c:pt>
                <c:pt idx="124">
                  <c:v>9.0000000000000018</c:v>
                </c:pt>
                <c:pt idx="125">
                  <c:v>9.5000000000000018</c:v>
                </c:pt>
                <c:pt idx="126">
                  <c:v>10</c:v>
                </c:pt>
                <c:pt idx="127">
                  <c:v>15</c:v>
                </c:pt>
                <c:pt idx="128">
                  <c:v>20</c:v>
                </c:pt>
                <c:pt idx="129">
                  <c:v>25</c:v>
                </c:pt>
                <c:pt idx="130">
                  <c:v>30</c:v>
                </c:pt>
                <c:pt idx="131">
                  <c:v>35</c:v>
                </c:pt>
                <c:pt idx="132">
                  <c:v>40</c:v>
                </c:pt>
                <c:pt idx="133">
                  <c:v>45.000000000000007</c:v>
                </c:pt>
                <c:pt idx="134">
                  <c:v>50</c:v>
                </c:pt>
                <c:pt idx="135">
                  <c:v>54.999999999999993</c:v>
                </c:pt>
                <c:pt idx="136">
                  <c:v>60</c:v>
                </c:pt>
                <c:pt idx="137">
                  <c:v>65</c:v>
                </c:pt>
                <c:pt idx="138">
                  <c:v>70</c:v>
                </c:pt>
                <c:pt idx="139">
                  <c:v>75</c:v>
                </c:pt>
                <c:pt idx="140">
                  <c:v>80</c:v>
                </c:pt>
                <c:pt idx="141">
                  <c:v>85</c:v>
                </c:pt>
                <c:pt idx="142">
                  <c:v>90.000000000000014</c:v>
                </c:pt>
                <c:pt idx="143">
                  <c:v>95.000000000000014</c:v>
                </c:pt>
                <c:pt idx="144">
                  <c:v>100</c:v>
                </c:pt>
                <c:pt idx="145">
                  <c:v>150</c:v>
                </c:pt>
                <c:pt idx="146">
                  <c:v>200</c:v>
                </c:pt>
                <c:pt idx="147">
                  <c:v>250</c:v>
                </c:pt>
                <c:pt idx="148">
                  <c:v>300</c:v>
                </c:pt>
                <c:pt idx="149">
                  <c:v>350</c:v>
                </c:pt>
                <c:pt idx="150">
                  <c:v>400</c:v>
                </c:pt>
                <c:pt idx="151">
                  <c:v>450.00000000000006</c:v>
                </c:pt>
                <c:pt idx="152">
                  <c:v>500</c:v>
                </c:pt>
                <c:pt idx="153">
                  <c:v>549.99999999999989</c:v>
                </c:pt>
                <c:pt idx="154">
                  <c:v>600</c:v>
                </c:pt>
                <c:pt idx="155">
                  <c:v>650</c:v>
                </c:pt>
                <c:pt idx="156">
                  <c:v>700</c:v>
                </c:pt>
                <c:pt idx="157">
                  <c:v>750</c:v>
                </c:pt>
                <c:pt idx="158">
                  <c:v>800</c:v>
                </c:pt>
                <c:pt idx="159">
                  <c:v>850</c:v>
                </c:pt>
                <c:pt idx="160">
                  <c:v>900.00000000000011</c:v>
                </c:pt>
                <c:pt idx="161">
                  <c:v>950.00000000000011</c:v>
                </c:pt>
                <c:pt idx="162">
                  <c:v>1000</c:v>
                </c:pt>
                <c:pt idx="163">
                  <c:v>1500</c:v>
                </c:pt>
                <c:pt idx="164">
                  <c:v>2000</c:v>
                </c:pt>
                <c:pt idx="165">
                  <c:v>2500</c:v>
                </c:pt>
                <c:pt idx="166">
                  <c:v>3000</c:v>
                </c:pt>
                <c:pt idx="167">
                  <c:v>3500</c:v>
                </c:pt>
                <c:pt idx="168">
                  <c:v>4000</c:v>
                </c:pt>
                <c:pt idx="169">
                  <c:v>4500.0000000000009</c:v>
                </c:pt>
              </c:numCache>
            </c:numRef>
          </c:xVal>
          <c:yVal>
            <c:numRef>
              <c:f>Comparison!$AM$11:$AM$180</c:f>
              <c:numCache>
                <c:formatCode>0.00%</c:formatCode>
                <c:ptCount val="170"/>
                <c:pt idx="0">
                  <c:v>1838.2586117863038</c:v>
                </c:pt>
                <c:pt idx="1">
                  <c:v>1225.5057412135404</c:v>
                </c:pt>
                <c:pt idx="2">
                  <c:v>919.12930593396061</c:v>
                </c:pt>
                <c:pt idx="3">
                  <c:v>735.30344477165352</c:v>
                </c:pt>
                <c:pt idx="4">
                  <c:v>612.75287066798319</c:v>
                </c:pt>
                <c:pt idx="5">
                  <c:v>525.21674631210544</c:v>
                </c:pt>
                <c:pt idx="6">
                  <c:v>459.56465304859768</c:v>
                </c:pt>
                <c:pt idx="7">
                  <c:v>408.50191384666994</c:v>
                </c:pt>
                <c:pt idx="8">
                  <c:v>367.65172248784847</c:v>
                </c:pt>
                <c:pt idx="9">
                  <c:v>334.22883865128597</c:v>
                </c:pt>
                <c:pt idx="10">
                  <c:v>306.3764354564176</c:v>
                </c:pt>
                <c:pt idx="11">
                  <c:v>282.80901737054489</c:v>
                </c:pt>
                <c:pt idx="12">
                  <c:v>262.60837329888301</c:v>
                </c:pt>
                <c:pt idx="13">
                  <c:v>245.10114843858963</c:v>
                </c:pt>
                <c:pt idx="14">
                  <c:v>229.78232668753347</c:v>
                </c:pt>
                <c:pt idx="15">
                  <c:v>216.26571926173116</c:v>
                </c:pt>
                <c:pt idx="16">
                  <c:v>204.25095710697394</c:v>
                </c:pt>
                <c:pt idx="17">
                  <c:v>193.50090675941252</c:v>
                </c:pt>
                <c:pt idx="18">
                  <c:v>183.82586144796755</c:v>
                </c:pt>
                <c:pt idx="19">
                  <c:v>122.55057452535979</c:v>
                </c:pt>
                <c:pt idx="20">
                  <c:v>91.912931132070398</c:v>
                </c:pt>
                <c:pt idx="21">
                  <c:v>73.530345150508282</c:v>
                </c:pt>
                <c:pt idx="22">
                  <c:v>61.275287874809827</c:v>
                </c:pt>
                <c:pt idx="23">
                  <c:v>52.521675573890633</c:v>
                </c:pt>
                <c:pt idx="24">
                  <c:v>45.95646638220844</c:v>
                </c:pt>
                <c:pt idx="25">
                  <c:v>40.850192596684245</c:v>
                </c:pt>
                <c:pt idx="26">
                  <c:v>36.765173595470678</c:v>
                </c:pt>
                <c:pt idx="27">
                  <c:v>33.422885346483007</c:v>
                </c:pt>
                <c:pt idx="28">
                  <c:v>30.637645161664739</c:v>
                </c:pt>
                <c:pt idx="29">
                  <c:v>28.280903487746048</c:v>
                </c:pt>
                <c:pt idx="30">
                  <c:v>26.260839215248431</c:v>
                </c:pt>
                <c:pt idx="31">
                  <c:v>24.510116863887671</c:v>
                </c:pt>
                <c:pt idx="32">
                  <c:v>22.978234823450613</c:v>
                </c:pt>
                <c:pt idx="33">
                  <c:v>21.626574215538948</c:v>
                </c:pt>
                <c:pt idx="34">
                  <c:v>20.42509813473179</c:v>
                </c:pt>
                <c:pt idx="35">
                  <c:v>19.350093234644206</c:v>
                </c:pt>
                <c:pt idx="36">
                  <c:v>18.382588838168267</c:v>
                </c:pt>
                <c:pt idx="37">
                  <c:v>12.255061492592874</c:v>
                </c:pt>
                <c:pt idx="38">
                  <c:v>9.1912984999488589</c:v>
                </c:pt>
                <c:pt idx="39">
                  <c:v>7.3530412484769707</c:v>
                </c:pt>
                <c:pt idx="40">
                  <c:v>6.1275368675906945</c:v>
                </c:pt>
                <c:pt idx="41">
                  <c:v>5.2521769841814363</c:v>
                </c:pt>
                <c:pt idx="42">
                  <c:v>4.5956574116948206</c:v>
                </c:pt>
                <c:pt idx="43">
                  <c:v>4.0850313798227997</c:v>
                </c:pt>
                <c:pt idx="44">
                  <c:v>3.676530826380481</c:v>
                </c:pt>
                <c:pt idx="45">
                  <c:v>3.3423033481592426</c:v>
                </c:pt>
                <c:pt idx="46">
                  <c:v>3.0637806763532853</c:v>
                </c:pt>
                <c:pt idx="47">
                  <c:v>2.828107855635472</c:v>
                </c:pt>
                <c:pt idx="48">
                  <c:v>2.6261027750578045</c:v>
                </c:pt>
                <c:pt idx="49">
                  <c:v>2.451031886591708</c:v>
                </c:pt>
                <c:pt idx="50">
                  <c:v>2.297845029215718</c:v>
                </c:pt>
                <c:pt idx="51">
                  <c:v>2.1626803150898524</c:v>
                </c:pt>
                <c:pt idx="52">
                  <c:v>2.0425340536718699</c:v>
                </c:pt>
                <c:pt idx="53">
                  <c:v>1.9350349103231277</c:v>
                </c:pt>
                <c:pt idx="54">
                  <c:v>1.8382858173326817</c:v>
                </c:pt>
                <c:pt idx="55">
                  <c:v>1.2255465491556521</c:v>
                </c:pt>
                <c:pt idx="56">
                  <c:v>0.91918371581888969</c:v>
                </c:pt>
                <c:pt idx="57">
                  <c:v>0.7353714559955653</c:v>
                </c:pt>
                <c:pt idx="58">
                  <c:v>0.61283448247616723</c:v>
                </c:pt>
                <c:pt idx="59">
                  <c:v>0.52531195779903195</c:v>
                </c:pt>
                <c:pt idx="60">
                  <c:v>0.45967346315798491</c:v>
                </c:pt>
                <c:pt idx="61">
                  <c:v>0.40862432137156202</c:v>
                </c:pt>
                <c:pt idx="62">
                  <c:v>0.36778772607070426</c:v>
                </c:pt>
                <c:pt idx="63">
                  <c:v>0.33437843678407975</c:v>
                </c:pt>
                <c:pt idx="64">
                  <c:v>0.30653962648075034</c:v>
                </c:pt>
                <c:pt idx="65">
                  <c:v>0.28298579947776648</c:v>
                </c:pt>
                <c:pt idx="66">
                  <c:v>0.262798744530226</c:v>
                </c:pt>
                <c:pt idx="67">
                  <c:v>0.24530510668531361</c:v>
                </c:pt>
                <c:pt idx="68">
                  <c:v>0.22999986969108013</c:v>
                </c:pt>
                <c:pt idx="69">
                  <c:v>0.21649684461389138</c:v>
                </c:pt>
                <c:pt idx="70">
                  <c:v>0.20449566225006438</c:v>
                </c:pt>
                <c:pt idx="71">
                  <c:v>0.19375918898646421</c:v>
                </c:pt>
                <c:pt idx="72">
                  <c:v>0.18409771790292473</c:v>
                </c:pt>
                <c:pt idx="73">
                  <c:v>0.12295798354101807</c:v>
                </c:pt>
                <c:pt idx="74">
                  <c:v>9.2455444995231145E-2</c:v>
                </c:pt>
                <c:pt idx="75">
                  <c:v>7.4207371991806714E-2</c:v>
                </c:pt>
                <c:pt idx="76">
                  <c:v>6.208609590011533E-2</c:v>
                </c:pt>
                <c:pt idx="77">
                  <c:v>5.3465398203571983E-2</c:v>
                </c:pt>
                <c:pt idx="78">
                  <c:v>4.7032108206166483E-2</c:v>
                </c:pt>
                <c:pt idx="79">
                  <c:v>4.205663604193393E-2</c:v>
                </c:pt>
                <c:pt idx="80">
                  <c:v>3.8101186195217004E-2</c:v>
                </c:pt>
                <c:pt idx="81">
                  <c:v>3.4887127495132765E-2</c:v>
                </c:pt>
                <c:pt idx="82">
                  <c:v>3.2228678238947053E-2</c:v>
                </c:pt>
                <c:pt idx="83">
                  <c:v>2.9997198236847166E-2</c:v>
                </c:pt>
                <c:pt idx="84">
                  <c:v>2.8100784264262619E-2</c:v>
                </c:pt>
                <c:pt idx="85">
                  <c:v>2.6472027286532682E-2</c:v>
                </c:pt>
                <c:pt idx="86">
                  <c:v>2.5060360643437241E-2</c:v>
                </c:pt>
                <c:pt idx="87">
                  <c:v>2.3827108768747295E-2</c:v>
                </c:pt>
                <c:pt idx="88">
                  <c:v>2.2742186213970811E-2</c:v>
                </c:pt>
                <c:pt idx="89">
                  <c:v>2.1781838952827731E-2</c:v>
                </c:pt>
                <c:pt idx="90">
                  <c:v>2.0927063156846653E-2</c:v>
                </c:pt>
                <c:pt idx="91">
                  <c:v>1.5817993936170689E-2</c:v>
                </c:pt>
                <c:pt idx="92">
                  <c:v>1.3583164877621937E-2</c:v>
                </c:pt>
                <c:pt idx="93">
                  <c:v>1.2413283835444341E-2</c:v>
                </c:pt>
                <c:pt idx="94">
                  <c:v>1.1728985806163428E-2</c:v>
                </c:pt>
                <c:pt idx="95">
                  <c:v>1.1296360610863358E-2</c:v>
                </c:pt>
                <c:pt idx="96">
                  <c:v>1.1006473868735869E-2</c:v>
                </c:pt>
                <c:pt idx="97">
                  <c:v>1.0803234763330701E-2</c:v>
                </c:pt>
                <c:pt idx="98">
                  <c:v>1.0655481166743525E-2</c:v>
                </c:pt>
                <c:pt idx="99">
                  <c:v>1.0544827720196119E-2</c:v>
                </c:pt>
                <c:pt idx="100">
                  <c:v>1.0459882982629193E-2</c:v>
                </c:pt>
                <c:pt idx="101">
                  <c:v>1.0393295628461988E-2</c:v>
                </c:pt>
                <c:pt idx="102">
                  <c:v>1.0340155499926793E-2</c:v>
                </c:pt>
                <c:pt idx="103">
                  <c:v>1.0297084892657208E-2</c:v>
                </c:pt>
                <c:pt idx="104">
                  <c:v>1.0261700237085052E-2</c:v>
                </c:pt>
                <c:pt idx="105">
                  <c:v>1.0232281569756432E-2</c:v>
                </c:pt>
                <c:pt idx="106">
                  <c:v>1.0207563143958955E-2</c:v>
                </c:pt>
                <c:pt idx="107">
                  <c:v>1.018659708055979E-2</c:v>
                </c:pt>
                <c:pt idx="108">
                  <c:v>1.0168662386160064E-2</c:v>
                </c:pt>
                <c:pt idx="109">
                  <c:v>1.0075929948230452E-2</c:v>
                </c:pt>
                <c:pt idx="110">
                  <c:v>1.0043271313716792E-2</c:v>
                </c:pt>
                <c:pt idx="111">
                  <c:v>1.0028119023814638E-2</c:v>
                </c:pt>
                <c:pt idx="112">
                  <c:v>1.001987854619066E-2</c:v>
                </c:pt>
                <c:pt idx="113">
                  <c:v>1.001490652130646E-2</c:v>
                </c:pt>
                <c:pt idx="114">
                  <c:v>1.0011678164535237E-2</c:v>
                </c:pt>
                <c:pt idx="115">
                  <c:v>1.0009464212110275E-2</c:v>
                </c:pt>
                <c:pt idx="116">
                  <c:v>1.0007880284503222E-2</c:v>
                </c:pt>
                <c:pt idx="117">
                  <c:v>1.0006708195829744E-2</c:v>
                </c:pt>
                <c:pt idx="118">
                  <c:v>1.0005816634343394E-2</c:v>
                </c:pt>
                <c:pt idx="119">
                  <c:v>1.0005122734889666E-2</c:v>
                </c:pt>
                <c:pt idx="120">
                  <c:v>1.0004572112670619E-2</c:v>
                </c:pt>
                <c:pt idx="121">
                  <c:v>1.0004127876675003E-2</c:v>
                </c:pt>
                <c:pt idx="122">
                  <c:v>1.000376428738492E-2</c:v>
                </c:pt>
                <c:pt idx="123">
                  <c:v>1.0003462943462518E-2</c:v>
                </c:pt>
                <c:pt idx="124">
                  <c:v>1.0003210407333192E-2</c:v>
                </c:pt>
                <c:pt idx="125">
                  <c:v>1.0002996681035973E-2</c:v>
                </c:pt>
                <c:pt idx="126">
                  <c:v>1.0002814201375384E-2</c:v>
                </c:pt>
                <c:pt idx="127">
                  <c:v>1.000187575623775E-2</c:v>
                </c:pt>
                <c:pt idx="128">
                  <c:v>1.0001547279636749E-2</c:v>
                </c:pt>
                <c:pt idx="129">
                  <c:v>1.0001395238243409E-2</c:v>
                </c:pt>
                <c:pt idx="130">
                  <c:v>1.0001312646888113E-2</c:v>
                </c:pt>
                <c:pt idx="131">
                  <c:v>1.0001262846576179E-2</c:v>
                </c:pt>
                <c:pt idx="132">
                  <c:v>1.0001230524125635E-2</c:v>
                </c:pt>
                <c:pt idx="133">
                  <c:v>1.0001208363899592E-2</c:v>
                </c:pt>
                <c:pt idx="134">
                  <c:v>1.0001192512790136E-2</c:v>
                </c:pt>
                <c:pt idx="135">
                  <c:v>1.0001180784745612E-2</c:v>
                </c:pt>
                <c:pt idx="136">
                  <c:v>1.000117186459672E-2</c:v>
                </c:pt>
                <c:pt idx="137">
                  <c:v>1.0001164922617867E-2</c:v>
                </c:pt>
                <c:pt idx="138">
                  <c:v>1.0001159414366729E-2</c:v>
                </c:pt>
                <c:pt idx="139">
                  <c:v>1.000115497058858E-2</c:v>
                </c:pt>
                <c:pt idx="140">
                  <c:v>1.0001151333680318E-2</c:v>
                </c:pt>
                <c:pt idx="141">
                  <c:v>1.0001148319498731E-2</c:v>
                </c:pt>
                <c:pt idx="142">
                  <c:v>1.0001145793584543E-2</c:v>
                </c:pt>
                <c:pt idx="143">
                  <c:v>1.0001143655902968E-2</c:v>
                </c:pt>
                <c:pt idx="144">
                  <c:v>1.0001141830784741E-2</c:v>
                </c:pt>
                <c:pt idx="145">
                  <c:v>1.0001132445200001E-2</c:v>
                </c:pt>
                <c:pt idx="146">
                  <c:v>1.0001129160243262E-2</c:v>
                </c:pt>
                <c:pt idx="147">
                  <c:v>1.0001127639777205E-2</c:v>
                </c:pt>
                <c:pt idx="148">
                  <c:v>1.000112681384493E-2</c:v>
                </c:pt>
                <c:pt idx="149">
                  <c:v>1.0001126315833785E-2</c:v>
                </c:pt>
                <c:pt idx="150">
                  <c:v>1.0001125992605385E-2</c:v>
                </c:pt>
                <c:pt idx="151">
                  <c:v>1.0001125771001051E-2</c:v>
                </c:pt>
                <c:pt idx="152">
                  <c:v>1.0001125612488771E-2</c:v>
                </c:pt>
                <c:pt idx="153">
                  <c:v>1.0001125495207609E-2</c:v>
                </c:pt>
                <c:pt idx="154">
                  <c:v>1.0001125406005666E-2</c:v>
                </c:pt>
                <c:pt idx="155">
                  <c:v>1.000112533658558E-2</c:v>
                </c:pt>
                <c:pt idx="156">
                  <c:v>1.0001125281502866E-2</c:v>
                </c:pt>
                <c:pt idx="157">
                  <c:v>1.0001125237064942E-2</c:v>
                </c:pt>
                <c:pt idx="158">
                  <c:v>1.0001125200695758E-2</c:v>
                </c:pt>
                <c:pt idx="159">
                  <c:v>1.0001125170553868E-2</c:v>
                </c:pt>
                <c:pt idx="160">
                  <c:v>1.000112514529467E-2</c:v>
                </c:pt>
                <c:pt idx="161">
                  <c:v>1.0001125123917813E-2</c:v>
                </c:pt>
                <c:pt idx="162">
                  <c:v>1.0001125105666598E-2</c:v>
                </c:pt>
                <c:pt idx="163">
                  <c:v>1.0001125011810637E-2</c:v>
                </c:pt>
                <c:pt idx="164">
                  <c:v>1.0001124978961051E-2</c:v>
                </c:pt>
                <c:pt idx="165">
                  <c:v>1.0001124963756386E-2</c:v>
                </c:pt>
                <c:pt idx="166">
                  <c:v>1.0001124955497062E-2</c:v>
                </c:pt>
                <c:pt idx="167">
                  <c:v>1.0001124950516948E-2</c:v>
                </c:pt>
                <c:pt idx="168">
                  <c:v>1.0001124947284664E-2</c:v>
                </c:pt>
                <c:pt idx="169">
                  <c:v>1.0001124945068621E-2</c:v>
                </c:pt>
              </c:numCache>
            </c:numRef>
          </c:yVal>
          <c:smooth val="1"/>
          <c:extLst>
            <c:ext xmlns:c16="http://schemas.microsoft.com/office/drawing/2014/chart" uri="{C3380CC4-5D6E-409C-BE32-E72D297353CC}">
              <c16:uniqueId val="{00000002-D749-4CED-ABCA-C97B8EEF335E}"/>
            </c:ext>
          </c:extLst>
        </c:ser>
        <c:ser>
          <c:idx val="4"/>
          <c:order val="4"/>
          <c:tx>
            <c:strRef>
              <c:f>Comparison!$AV$6</c:f>
              <c:strCache>
                <c:ptCount val="1"/>
                <c:pt idx="0">
                  <c:v>INA4181A1 (Low side) @ 25°C</c:v>
                </c:pt>
              </c:strCache>
            </c:strRef>
          </c:tx>
          <c:spPr>
            <a:ln w="25400">
              <a:solidFill>
                <a:schemeClr val="accent6"/>
              </a:solidFill>
            </a:ln>
          </c:spPr>
          <c:marker>
            <c:symbol val="none"/>
          </c:marker>
          <c:xVal>
            <c:numRef>
              <c:f>Comparison!$P$11:$P$180</c:f>
              <c:numCache>
                <c:formatCode>General</c:formatCode>
                <c:ptCount val="170"/>
                <c:pt idx="0">
                  <c:v>9.9999999999999995E-7</c:v>
                </c:pt>
                <c:pt idx="1">
                  <c:v>1.5E-6</c:v>
                </c:pt>
                <c:pt idx="2">
                  <c:v>1.9999999999999999E-6</c:v>
                </c:pt>
                <c:pt idx="3">
                  <c:v>2.5000000000000002E-6</c:v>
                </c:pt>
                <c:pt idx="4">
                  <c:v>3.0000000000000001E-6</c:v>
                </c:pt>
                <c:pt idx="5">
                  <c:v>3.4999999999999999E-6</c:v>
                </c:pt>
                <c:pt idx="6">
                  <c:v>3.9999999999999998E-6</c:v>
                </c:pt>
                <c:pt idx="7">
                  <c:v>4.5000000000000001E-6</c:v>
                </c:pt>
                <c:pt idx="8">
                  <c:v>5.0000000000000004E-6</c:v>
                </c:pt>
                <c:pt idx="9">
                  <c:v>5.4999999999999999E-6</c:v>
                </c:pt>
                <c:pt idx="10">
                  <c:v>6.0000000000000002E-6</c:v>
                </c:pt>
                <c:pt idx="11">
                  <c:v>6.4999999999999996E-6</c:v>
                </c:pt>
                <c:pt idx="12">
                  <c:v>6.9999999999999999E-6</c:v>
                </c:pt>
                <c:pt idx="13">
                  <c:v>7.5000000000000002E-6</c:v>
                </c:pt>
                <c:pt idx="14">
                  <c:v>7.9999999999999996E-6</c:v>
                </c:pt>
                <c:pt idx="15">
                  <c:v>8.4999999999999999E-6</c:v>
                </c:pt>
                <c:pt idx="16">
                  <c:v>9.0000000000000002E-6</c:v>
                </c:pt>
                <c:pt idx="17">
                  <c:v>9.5000000000000005E-6</c:v>
                </c:pt>
                <c:pt idx="18">
                  <c:v>9.9999999999999991E-6</c:v>
                </c:pt>
                <c:pt idx="19">
                  <c:v>1.5E-5</c:v>
                </c:pt>
                <c:pt idx="20">
                  <c:v>1.9999999999999998E-5</c:v>
                </c:pt>
                <c:pt idx="21">
                  <c:v>2.5000000000000001E-5</c:v>
                </c:pt>
                <c:pt idx="22">
                  <c:v>3.0000000000000001E-5</c:v>
                </c:pt>
                <c:pt idx="23">
                  <c:v>3.4999999999999997E-5</c:v>
                </c:pt>
                <c:pt idx="24">
                  <c:v>3.9999999999999996E-5</c:v>
                </c:pt>
                <c:pt idx="25">
                  <c:v>4.5000000000000003E-5</c:v>
                </c:pt>
                <c:pt idx="26">
                  <c:v>5.0000000000000002E-5</c:v>
                </c:pt>
                <c:pt idx="27">
                  <c:v>5.4999999999999995E-5</c:v>
                </c:pt>
                <c:pt idx="28">
                  <c:v>6.0000000000000002E-5</c:v>
                </c:pt>
                <c:pt idx="29">
                  <c:v>6.4999999999999994E-5</c:v>
                </c:pt>
                <c:pt idx="30">
                  <c:v>6.9999999999999994E-5</c:v>
                </c:pt>
                <c:pt idx="31">
                  <c:v>7.5000000000000007E-5</c:v>
                </c:pt>
                <c:pt idx="32">
                  <c:v>7.9999999999999993E-5</c:v>
                </c:pt>
                <c:pt idx="33">
                  <c:v>8.5000000000000006E-5</c:v>
                </c:pt>
                <c:pt idx="34">
                  <c:v>9.0000000000000006E-5</c:v>
                </c:pt>
                <c:pt idx="35">
                  <c:v>9.5000000000000005E-5</c:v>
                </c:pt>
                <c:pt idx="36">
                  <c:v>9.9999999999999991E-5</c:v>
                </c:pt>
                <c:pt idx="37">
                  <c:v>1.5000000000000001E-4</c:v>
                </c:pt>
                <c:pt idx="38">
                  <c:v>1.9999999999999998E-4</c:v>
                </c:pt>
                <c:pt idx="39">
                  <c:v>2.5000000000000001E-4</c:v>
                </c:pt>
                <c:pt idx="40">
                  <c:v>3.0000000000000003E-4</c:v>
                </c:pt>
                <c:pt idx="41">
                  <c:v>3.4999999999999994E-4</c:v>
                </c:pt>
                <c:pt idx="42">
                  <c:v>3.9999999999999996E-4</c:v>
                </c:pt>
                <c:pt idx="43">
                  <c:v>4.5000000000000004E-4</c:v>
                </c:pt>
                <c:pt idx="44">
                  <c:v>5.0000000000000001E-4</c:v>
                </c:pt>
                <c:pt idx="45">
                  <c:v>5.4999999999999992E-4</c:v>
                </c:pt>
                <c:pt idx="46">
                  <c:v>6.0000000000000006E-4</c:v>
                </c:pt>
                <c:pt idx="47">
                  <c:v>6.4999999999999997E-4</c:v>
                </c:pt>
                <c:pt idx="48">
                  <c:v>6.9999999999999988E-4</c:v>
                </c:pt>
                <c:pt idx="49">
                  <c:v>7.5000000000000002E-4</c:v>
                </c:pt>
                <c:pt idx="50">
                  <c:v>7.9999999999999993E-4</c:v>
                </c:pt>
                <c:pt idx="51">
                  <c:v>8.5000000000000006E-4</c:v>
                </c:pt>
                <c:pt idx="52">
                  <c:v>9.0000000000000008E-4</c:v>
                </c:pt>
                <c:pt idx="53">
                  <c:v>9.5000000000000011E-4</c:v>
                </c:pt>
                <c:pt idx="54">
                  <c:v>1E-3</c:v>
                </c:pt>
                <c:pt idx="55">
                  <c:v>1.5E-3</c:v>
                </c:pt>
                <c:pt idx="56">
                  <c:v>2E-3</c:v>
                </c:pt>
                <c:pt idx="57">
                  <c:v>2.5000000000000001E-3</c:v>
                </c:pt>
                <c:pt idx="58">
                  <c:v>3.0000000000000001E-3</c:v>
                </c:pt>
                <c:pt idx="59">
                  <c:v>3.4999999999999996E-3</c:v>
                </c:pt>
                <c:pt idx="60">
                  <c:v>4.0000000000000001E-3</c:v>
                </c:pt>
                <c:pt idx="61">
                  <c:v>4.5000000000000005E-3</c:v>
                </c:pt>
                <c:pt idx="62">
                  <c:v>5.0000000000000001E-3</c:v>
                </c:pt>
                <c:pt idx="63">
                  <c:v>5.4999999999999997E-3</c:v>
                </c:pt>
                <c:pt idx="64">
                  <c:v>6.0000000000000001E-3</c:v>
                </c:pt>
                <c:pt idx="65">
                  <c:v>6.4999999999999997E-3</c:v>
                </c:pt>
                <c:pt idx="66">
                  <c:v>6.9999999999999993E-3</c:v>
                </c:pt>
                <c:pt idx="67">
                  <c:v>7.4999999999999997E-3</c:v>
                </c:pt>
                <c:pt idx="68">
                  <c:v>8.0000000000000002E-3</c:v>
                </c:pt>
                <c:pt idx="69">
                  <c:v>8.5000000000000006E-3</c:v>
                </c:pt>
                <c:pt idx="70">
                  <c:v>9.0000000000000011E-3</c:v>
                </c:pt>
                <c:pt idx="71">
                  <c:v>9.5000000000000015E-3</c:v>
                </c:pt>
                <c:pt idx="72">
                  <c:v>0.01</c:v>
                </c:pt>
                <c:pt idx="73">
                  <c:v>1.4999999999999999E-2</c:v>
                </c:pt>
                <c:pt idx="74">
                  <c:v>0.02</c:v>
                </c:pt>
                <c:pt idx="75">
                  <c:v>2.5000000000000001E-2</c:v>
                </c:pt>
                <c:pt idx="76">
                  <c:v>0.03</c:v>
                </c:pt>
                <c:pt idx="77">
                  <c:v>3.4999999999999996E-2</c:v>
                </c:pt>
                <c:pt idx="78">
                  <c:v>0.04</c:v>
                </c:pt>
                <c:pt idx="79">
                  <c:v>4.5000000000000005E-2</c:v>
                </c:pt>
                <c:pt idx="80">
                  <c:v>0.05</c:v>
                </c:pt>
                <c:pt idx="81">
                  <c:v>5.4999999999999993E-2</c:v>
                </c:pt>
                <c:pt idx="82">
                  <c:v>0.06</c:v>
                </c:pt>
                <c:pt idx="83">
                  <c:v>6.5000000000000002E-2</c:v>
                </c:pt>
                <c:pt idx="84">
                  <c:v>6.9999999999999993E-2</c:v>
                </c:pt>
                <c:pt idx="85">
                  <c:v>7.4999999999999997E-2</c:v>
                </c:pt>
                <c:pt idx="86">
                  <c:v>0.08</c:v>
                </c:pt>
                <c:pt idx="87">
                  <c:v>8.5000000000000006E-2</c:v>
                </c:pt>
                <c:pt idx="88">
                  <c:v>9.0000000000000011E-2</c:v>
                </c:pt>
                <c:pt idx="89">
                  <c:v>9.5000000000000015E-2</c:v>
                </c:pt>
                <c:pt idx="90">
                  <c:v>0.1</c:v>
                </c:pt>
                <c:pt idx="91">
                  <c:v>0.15</c:v>
                </c:pt>
                <c:pt idx="92">
                  <c:v>0.2</c:v>
                </c:pt>
                <c:pt idx="93">
                  <c:v>0.25</c:v>
                </c:pt>
                <c:pt idx="94">
                  <c:v>0.3</c:v>
                </c:pt>
                <c:pt idx="95">
                  <c:v>0.35</c:v>
                </c:pt>
                <c:pt idx="96">
                  <c:v>0.4</c:v>
                </c:pt>
                <c:pt idx="97">
                  <c:v>0.45000000000000007</c:v>
                </c:pt>
                <c:pt idx="98">
                  <c:v>0.5</c:v>
                </c:pt>
                <c:pt idx="99">
                  <c:v>0.54999999999999993</c:v>
                </c:pt>
                <c:pt idx="100">
                  <c:v>0.6</c:v>
                </c:pt>
                <c:pt idx="101">
                  <c:v>0.65</c:v>
                </c:pt>
                <c:pt idx="102">
                  <c:v>0.7</c:v>
                </c:pt>
                <c:pt idx="103">
                  <c:v>0.75</c:v>
                </c:pt>
                <c:pt idx="104">
                  <c:v>0.8</c:v>
                </c:pt>
                <c:pt idx="105">
                  <c:v>0.85000000000000009</c:v>
                </c:pt>
                <c:pt idx="106">
                  <c:v>0.90000000000000013</c:v>
                </c:pt>
                <c:pt idx="107">
                  <c:v>0.95000000000000018</c:v>
                </c:pt>
                <c:pt idx="108">
                  <c:v>1</c:v>
                </c:pt>
                <c:pt idx="109">
                  <c:v>1.5</c:v>
                </c:pt>
                <c:pt idx="110">
                  <c:v>2</c:v>
                </c:pt>
                <c:pt idx="111">
                  <c:v>2.5</c:v>
                </c:pt>
                <c:pt idx="112">
                  <c:v>3</c:v>
                </c:pt>
                <c:pt idx="113">
                  <c:v>3.5</c:v>
                </c:pt>
                <c:pt idx="114">
                  <c:v>4</c:v>
                </c:pt>
                <c:pt idx="115">
                  <c:v>4.5000000000000009</c:v>
                </c:pt>
                <c:pt idx="116">
                  <c:v>5</c:v>
                </c:pt>
                <c:pt idx="117">
                  <c:v>5.4999999999999991</c:v>
                </c:pt>
                <c:pt idx="118">
                  <c:v>6</c:v>
                </c:pt>
                <c:pt idx="119">
                  <c:v>6.5</c:v>
                </c:pt>
                <c:pt idx="120">
                  <c:v>7</c:v>
                </c:pt>
                <c:pt idx="121">
                  <c:v>7.5</c:v>
                </c:pt>
                <c:pt idx="122">
                  <c:v>8</c:v>
                </c:pt>
                <c:pt idx="123">
                  <c:v>8.5</c:v>
                </c:pt>
                <c:pt idx="124">
                  <c:v>9.0000000000000018</c:v>
                </c:pt>
                <c:pt idx="125">
                  <c:v>9.5000000000000018</c:v>
                </c:pt>
                <c:pt idx="126">
                  <c:v>10</c:v>
                </c:pt>
                <c:pt idx="127">
                  <c:v>15</c:v>
                </c:pt>
                <c:pt idx="128">
                  <c:v>20</c:v>
                </c:pt>
                <c:pt idx="129">
                  <c:v>25</c:v>
                </c:pt>
                <c:pt idx="130">
                  <c:v>30</c:v>
                </c:pt>
                <c:pt idx="131">
                  <c:v>35</c:v>
                </c:pt>
                <c:pt idx="132">
                  <c:v>40</c:v>
                </c:pt>
                <c:pt idx="133">
                  <c:v>45.000000000000007</c:v>
                </c:pt>
                <c:pt idx="134">
                  <c:v>50</c:v>
                </c:pt>
                <c:pt idx="135">
                  <c:v>54.999999999999993</c:v>
                </c:pt>
                <c:pt idx="136">
                  <c:v>60</c:v>
                </c:pt>
                <c:pt idx="137">
                  <c:v>65</c:v>
                </c:pt>
                <c:pt idx="138">
                  <c:v>70</c:v>
                </c:pt>
                <c:pt idx="139">
                  <c:v>75</c:v>
                </c:pt>
                <c:pt idx="140">
                  <c:v>80</c:v>
                </c:pt>
                <c:pt idx="141">
                  <c:v>85</c:v>
                </c:pt>
                <c:pt idx="142">
                  <c:v>90.000000000000014</c:v>
                </c:pt>
                <c:pt idx="143">
                  <c:v>95.000000000000014</c:v>
                </c:pt>
                <c:pt idx="144">
                  <c:v>100</c:v>
                </c:pt>
                <c:pt idx="145">
                  <c:v>150</c:v>
                </c:pt>
                <c:pt idx="146">
                  <c:v>200</c:v>
                </c:pt>
                <c:pt idx="147">
                  <c:v>250</c:v>
                </c:pt>
                <c:pt idx="148">
                  <c:v>300</c:v>
                </c:pt>
                <c:pt idx="149">
                  <c:v>350</c:v>
                </c:pt>
                <c:pt idx="150">
                  <c:v>400</c:v>
                </c:pt>
                <c:pt idx="151">
                  <c:v>450.00000000000006</c:v>
                </c:pt>
                <c:pt idx="152">
                  <c:v>500</c:v>
                </c:pt>
                <c:pt idx="153">
                  <c:v>549.99999999999989</c:v>
                </c:pt>
                <c:pt idx="154">
                  <c:v>600</c:v>
                </c:pt>
                <c:pt idx="155">
                  <c:v>650</c:v>
                </c:pt>
                <c:pt idx="156">
                  <c:v>700</c:v>
                </c:pt>
                <c:pt idx="157">
                  <c:v>750</c:v>
                </c:pt>
                <c:pt idx="158">
                  <c:v>800</c:v>
                </c:pt>
                <c:pt idx="159">
                  <c:v>850</c:v>
                </c:pt>
                <c:pt idx="160">
                  <c:v>900.00000000000011</c:v>
                </c:pt>
                <c:pt idx="161">
                  <c:v>950.00000000000011</c:v>
                </c:pt>
                <c:pt idx="162">
                  <c:v>1000</c:v>
                </c:pt>
                <c:pt idx="163">
                  <c:v>1500</c:v>
                </c:pt>
                <c:pt idx="164">
                  <c:v>2000</c:v>
                </c:pt>
                <c:pt idx="165">
                  <c:v>2500</c:v>
                </c:pt>
                <c:pt idx="166">
                  <c:v>3000</c:v>
                </c:pt>
                <c:pt idx="167">
                  <c:v>3500</c:v>
                </c:pt>
                <c:pt idx="168">
                  <c:v>4000</c:v>
                </c:pt>
                <c:pt idx="169">
                  <c:v>4500.0000000000009</c:v>
                </c:pt>
              </c:numCache>
            </c:numRef>
          </c:xVal>
          <c:yVal>
            <c:numRef>
              <c:f>Comparison!$BB$11:$BB$180</c:f>
            </c:numRef>
          </c:yVal>
          <c:smooth val="1"/>
          <c:extLst>
            <c:ext xmlns:c16="http://schemas.microsoft.com/office/drawing/2014/chart" uri="{C3380CC4-5D6E-409C-BE32-E72D297353CC}">
              <c16:uniqueId val="{00000004-D749-4CED-ABCA-C97B8EEF335E}"/>
            </c:ext>
          </c:extLst>
        </c:ser>
        <c:ser>
          <c:idx val="5"/>
          <c:order val="5"/>
          <c:tx>
            <c:strRef>
              <c:f>Comparison!$BC$6</c:f>
              <c:strCache>
                <c:ptCount val="1"/>
                <c:pt idx="0">
                  <c:v>INA4181A1 (Low side) @ 60 °C</c:v>
                </c:pt>
              </c:strCache>
            </c:strRef>
          </c:tx>
          <c:spPr>
            <a:ln w="25400">
              <a:solidFill>
                <a:schemeClr val="accent6"/>
              </a:solidFill>
              <a:prstDash val="sysDash"/>
            </a:ln>
          </c:spPr>
          <c:marker>
            <c:symbol val="none"/>
          </c:marker>
          <c:xVal>
            <c:numRef>
              <c:f>Comparison!$P$11:$P$180</c:f>
              <c:numCache>
                <c:formatCode>General</c:formatCode>
                <c:ptCount val="170"/>
                <c:pt idx="0">
                  <c:v>9.9999999999999995E-7</c:v>
                </c:pt>
                <c:pt idx="1">
                  <c:v>1.5E-6</c:v>
                </c:pt>
                <c:pt idx="2">
                  <c:v>1.9999999999999999E-6</c:v>
                </c:pt>
                <c:pt idx="3">
                  <c:v>2.5000000000000002E-6</c:v>
                </c:pt>
                <c:pt idx="4">
                  <c:v>3.0000000000000001E-6</c:v>
                </c:pt>
                <c:pt idx="5">
                  <c:v>3.4999999999999999E-6</c:v>
                </c:pt>
                <c:pt idx="6">
                  <c:v>3.9999999999999998E-6</c:v>
                </c:pt>
                <c:pt idx="7">
                  <c:v>4.5000000000000001E-6</c:v>
                </c:pt>
                <c:pt idx="8">
                  <c:v>5.0000000000000004E-6</c:v>
                </c:pt>
                <c:pt idx="9">
                  <c:v>5.4999999999999999E-6</c:v>
                </c:pt>
                <c:pt idx="10">
                  <c:v>6.0000000000000002E-6</c:v>
                </c:pt>
                <c:pt idx="11">
                  <c:v>6.4999999999999996E-6</c:v>
                </c:pt>
                <c:pt idx="12">
                  <c:v>6.9999999999999999E-6</c:v>
                </c:pt>
                <c:pt idx="13">
                  <c:v>7.5000000000000002E-6</c:v>
                </c:pt>
                <c:pt idx="14">
                  <c:v>7.9999999999999996E-6</c:v>
                </c:pt>
                <c:pt idx="15">
                  <c:v>8.4999999999999999E-6</c:v>
                </c:pt>
                <c:pt idx="16">
                  <c:v>9.0000000000000002E-6</c:v>
                </c:pt>
                <c:pt idx="17">
                  <c:v>9.5000000000000005E-6</c:v>
                </c:pt>
                <c:pt idx="18">
                  <c:v>9.9999999999999991E-6</c:v>
                </c:pt>
                <c:pt idx="19">
                  <c:v>1.5E-5</c:v>
                </c:pt>
                <c:pt idx="20">
                  <c:v>1.9999999999999998E-5</c:v>
                </c:pt>
                <c:pt idx="21">
                  <c:v>2.5000000000000001E-5</c:v>
                </c:pt>
                <c:pt idx="22">
                  <c:v>3.0000000000000001E-5</c:v>
                </c:pt>
                <c:pt idx="23">
                  <c:v>3.4999999999999997E-5</c:v>
                </c:pt>
                <c:pt idx="24">
                  <c:v>3.9999999999999996E-5</c:v>
                </c:pt>
                <c:pt idx="25">
                  <c:v>4.5000000000000003E-5</c:v>
                </c:pt>
                <c:pt idx="26">
                  <c:v>5.0000000000000002E-5</c:v>
                </c:pt>
                <c:pt idx="27">
                  <c:v>5.4999999999999995E-5</c:v>
                </c:pt>
                <c:pt idx="28">
                  <c:v>6.0000000000000002E-5</c:v>
                </c:pt>
                <c:pt idx="29">
                  <c:v>6.4999999999999994E-5</c:v>
                </c:pt>
                <c:pt idx="30">
                  <c:v>6.9999999999999994E-5</c:v>
                </c:pt>
                <c:pt idx="31">
                  <c:v>7.5000000000000007E-5</c:v>
                </c:pt>
                <c:pt idx="32">
                  <c:v>7.9999999999999993E-5</c:v>
                </c:pt>
                <c:pt idx="33">
                  <c:v>8.5000000000000006E-5</c:v>
                </c:pt>
                <c:pt idx="34">
                  <c:v>9.0000000000000006E-5</c:v>
                </c:pt>
                <c:pt idx="35">
                  <c:v>9.5000000000000005E-5</c:v>
                </c:pt>
                <c:pt idx="36">
                  <c:v>9.9999999999999991E-5</c:v>
                </c:pt>
                <c:pt idx="37">
                  <c:v>1.5000000000000001E-4</c:v>
                </c:pt>
                <c:pt idx="38">
                  <c:v>1.9999999999999998E-4</c:v>
                </c:pt>
                <c:pt idx="39">
                  <c:v>2.5000000000000001E-4</c:v>
                </c:pt>
                <c:pt idx="40">
                  <c:v>3.0000000000000003E-4</c:v>
                </c:pt>
                <c:pt idx="41">
                  <c:v>3.4999999999999994E-4</c:v>
                </c:pt>
                <c:pt idx="42">
                  <c:v>3.9999999999999996E-4</c:v>
                </c:pt>
                <c:pt idx="43">
                  <c:v>4.5000000000000004E-4</c:v>
                </c:pt>
                <c:pt idx="44">
                  <c:v>5.0000000000000001E-4</c:v>
                </c:pt>
                <c:pt idx="45">
                  <c:v>5.4999999999999992E-4</c:v>
                </c:pt>
                <c:pt idx="46">
                  <c:v>6.0000000000000006E-4</c:v>
                </c:pt>
                <c:pt idx="47">
                  <c:v>6.4999999999999997E-4</c:v>
                </c:pt>
                <c:pt idx="48">
                  <c:v>6.9999999999999988E-4</c:v>
                </c:pt>
                <c:pt idx="49">
                  <c:v>7.5000000000000002E-4</c:v>
                </c:pt>
                <c:pt idx="50">
                  <c:v>7.9999999999999993E-4</c:v>
                </c:pt>
                <c:pt idx="51">
                  <c:v>8.5000000000000006E-4</c:v>
                </c:pt>
                <c:pt idx="52">
                  <c:v>9.0000000000000008E-4</c:v>
                </c:pt>
                <c:pt idx="53">
                  <c:v>9.5000000000000011E-4</c:v>
                </c:pt>
                <c:pt idx="54">
                  <c:v>1E-3</c:v>
                </c:pt>
                <c:pt idx="55">
                  <c:v>1.5E-3</c:v>
                </c:pt>
                <c:pt idx="56">
                  <c:v>2E-3</c:v>
                </c:pt>
                <c:pt idx="57">
                  <c:v>2.5000000000000001E-3</c:v>
                </c:pt>
                <c:pt idx="58">
                  <c:v>3.0000000000000001E-3</c:v>
                </c:pt>
                <c:pt idx="59">
                  <c:v>3.4999999999999996E-3</c:v>
                </c:pt>
                <c:pt idx="60">
                  <c:v>4.0000000000000001E-3</c:v>
                </c:pt>
                <c:pt idx="61">
                  <c:v>4.5000000000000005E-3</c:v>
                </c:pt>
                <c:pt idx="62">
                  <c:v>5.0000000000000001E-3</c:v>
                </c:pt>
                <c:pt idx="63">
                  <c:v>5.4999999999999997E-3</c:v>
                </c:pt>
                <c:pt idx="64">
                  <c:v>6.0000000000000001E-3</c:v>
                </c:pt>
                <c:pt idx="65">
                  <c:v>6.4999999999999997E-3</c:v>
                </c:pt>
                <c:pt idx="66">
                  <c:v>6.9999999999999993E-3</c:v>
                </c:pt>
                <c:pt idx="67">
                  <c:v>7.4999999999999997E-3</c:v>
                </c:pt>
                <c:pt idx="68">
                  <c:v>8.0000000000000002E-3</c:v>
                </c:pt>
                <c:pt idx="69">
                  <c:v>8.5000000000000006E-3</c:v>
                </c:pt>
                <c:pt idx="70">
                  <c:v>9.0000000000000011E-3</c:v>
                </c:pt>
                <c:pt idx="71">
                  <c:v>9.5000000000000015E-3</c:v>
                </c:pt>
                <c:pt idx="72">
                  <c:v>0.01</c:v>
                </c:pt>
                <c:pt idx="73">
                  <c:v>1.4999999999999999E-2</c:v>
                </c:pt>
                <c:pt idx="74">
                  <c:v>0.02</c:v>
                </c:pt>
                <c:pt idx="75">
                  <c:v>2.5000000000000001E-2</c:v>
                </c:pt>
                <c:pt idx="76">
                  <c:v>0.03</c:v>
                </c:pt>
                <c:pt idx="77">
                  <c:v>3.4999999999999996E-2</c:v>
                </c:pt>
                <c:pt idx="78">
                  <c:v>0.04</c:v>
                </c:pt>
                <c:pt idx="79">
                  <c:v>4.5000000000000005E-2</c:v>
                </c:pt>
                <c:pt idx="80">
                  <c:v>0.05</c:v>
                </c:pt>
                <c:pt idx="81">
                  <c:v>5.4999999999999993E-2</c:v>
                </c:pt>
                <c:pt idx="82">
                  <c:v>0.06</c:v>
                </c:pt>
                <c:pt idx="83">
                  <c:v>6.5000000000000002E-2</c:v>
                </c:pt>
                <c:pt idx="84">
                  <c:v>6.9999999999999993E-2</c:v>
                </c:pt>
                <c:pt idx="85">
                  <c:v>7.4999999999999997E-2</c:v>
                </c:pt>
                <c:pt idx="86">
                  <c:v>0.08</c:v>
                </c:pt>
                <c:pt idx="87">
                  <c:v>8.5000000000000006E-2</c:v>
                </c:pt>
                <c:pt idx="88">
                  <c:v>9.0000000000000011E-2</c:v>
                </c:pt>
                <c:pt idx="89">
                  <c:v>9.5000000000000015E-2</c:v>
                </c:pt>
                <c:pt idx="90">
                  <c:v>0.1</c:v>
                </c:pt>
                <c:pt idx="91">
                  <c:v>0.15</c:v>
                </c:pt>
                <c:pt idx="92">
                  <c:v>0.2</c:v>
                </c:pt>
                <c:pt idx="93">
                  <c:v>0.25</c:v>
                </c:pt>
                <c:pt idx="94">
                  <c:v>0.3</c:v>
                </c:pt>
                <c:pt idx="95">
                  <c:v>0.35</c:v>
                </c:pt>
                <c:pt idx="96">
                  <c:v>0.4</c:v>
                </c:pt>
                <c:pt idx="97">
                  <c:v>0.45000000000000007</c:v>
                </c:pt>
                <c:pt idx="98">
                  <c:v>0.5</c:v>
                </c:pt>
                <c:pt idx="99">
                  <c:v>0.54999999999999993</c:v>
                </c:pt>
                <c:pt idx="100">
                  <c:v>0.6</c:v>
                </c:pt>
                <c:pt idx="101">
                  <c:v>0.65</c:v>
                </c:pt>
                <c:pt idx="102">
                  <c:v>0.7</c:v>
                </c:pt>
                <c:pt idx="103">
                  <c:v>0.75</c:v>
                </c:pt>
                <c:pt idx="104">
                  <c:v>0.8</c:v>
                </c:pt>
                <c:pt idx="105">
                  <c:v>0.85000000000000009</c:v>
                </c:pt>
                <c:pt idx="106">
                  <c:v>0.90000000000000013</c:v>
                </c:pt>
                <c:pt idx="107">
                  <c:v>0.95000000000000018</c:v>
                </c:pt>
                <c:pt idx="108">
                  <c:v>1</c:v>
                </c:pt>
                <c:pt idx="109">
                  <c:v>1.5</c:v>
                </c:pt>
                <c:pt idx="110">
                  <c:v>2</c:v>
                </c:pt>
                <c:pt idx="111">
                  <c:v>2.5</c:v>
                </c:pt>
                <c:pt idx="112">
                  <c:v>3</c:v>
                </c:pt>
                <c:pt idx="113">
                  <c:v>3.5</c:v>
                </c:pt>
                <c:pt idx="114">
                  <c:v>4</c:v>
                </c:pt>
                <c:pt idx="115">
                  <c:v>4.5000000000000009</c:v>
                </c:pt>
                <c:pt idx="116">
                  <c:v>5</c:v>
                </c:pt>
                <c:pt idx="117">
                  <c:v>5.4999999999999991</c:v>
                </c:pt>
                <c:pt idx="118">
                  <c:v>6</c:v>
                </c:pt>
                <c:pt idx="119">
                  <c:v>6.5</c:v>
                </c:pt>
                <c:pt idx="120">
                  <c:v>7</c:v>
                </c:pt>
                <c:pt idx="121">
                  <c:v>7.5</c:v>
                </c:pt>
                <c:pt idx="122">
                  <c:v>8</c:v>
                </c:pt>
                <c:pt idx="123">
                  <c:v>8.5</c:v>
                </c:pt>
                <c:pt idx="124">
                  <c:v>9.0000000000000018</c:v>
                </c:pt>
                <c:pt idx="125">
                  <c:v>9.5000000000000018</c:v>
                </c:pt>
                <c:pt idx="126">
                  <c:v>10</c:v>
                </c:pt>
                <c:pt idx="127">
                  <c:v>15</c:v>
                </c:pt>
                <c:pt idx="128">
                  <c:v>20</c:v>
                </c:pt>
                <c:pt idx="129">
                  <c:v>25</c:v>
                </c:pt>
                <c:pt idx="130">
                  <c:v>30</c:v>
                </c:pt>
                <c:pt idx="131">
                  <c:v>35</c:v>
                </c:pt>
                <c:pt idx="132">
                  <c:v>40</c:v>
                </c:pt>
                <c:pt idx="133">
                  <c:v>45.000000000000007</c:v>
                </c:pt>
                <c:pt idx="134">
                  <c:v>50</c:v>
                </c:pt>
                <c:pt idx="135">
                  <c:v>54.999999999999993</c:v>
                </c:pt>
                <c:pt idx="136">
                  <c:v>60</c:v>
                </c:pt>
                <c:pt idx="137">
                  <c:v>65</c:v>
                </c:pt>
                <c:pt idx="138">
                  <c:v>70</c:v>
                </c:pt>
                <c:pt idx="139">
                  <c:v>75</c:v>
                </c:pt>
                <c:pt idx="140">
                  <c:v>80</c:v>
                </c:pt>
                <c:pt idx="141">
                  <c:v>85</c:v>
                </c:pt>
                <c:pt idx="142">
                  <c:v>90.000000000000014</c:v>
                </c:pt>
                <c:pt idx="143">
                  <c:v>95.000000000000014</c:v>
                </c:pt>
                <c:pt idx="144">
                  <c:v>100</c:v>
                </c:pt>
                <c:pt idx="145">
                  <c:v>150</c:v>
                </c:pt>
                <c:pt idx="146">
                  <c:v>200</c:v>
                </c:pt>
                <c:pt idx="147">
                  <c:v>250</c:v>
                </c:pt>
                <c:pt idx="148">
                  <c:v>300</c:v>
                </c:pt>
                <c:pt idx="149">
                  <c:v>350</c:v>
                </c:pt>
                <c:pt idx="150">
                  <c:v>400</c:v>
                </c:pt>
                <c:pt idx="151">
                  <c:v>450.00000000000006</c:v>
                </c:pt>
                <c:pt idx="152">
                  <c:v>500</c:v>
                </c:pt>
                <c:pt idx="153">
                  <c:v>549.99999999999989</c:v>
                </c:pt>
                <c:pt idx="154">
                  <c:v>600</c:v>
                </c:pt>
                <c:pt idx="155">
                  <c:v>650</c:v>
                </c:pt>
                <c:pt idx="156">
                  <c:v>700</c:v>
                </c:pt>
                <c:pt idx="157">
                  <c:v>750</c:v>
                </c:pt>
                <c:pt idx="158">
                  <c:v>800</c:v>
                </c:pt>
                <c:pt idx="159">
                  <c:v>850</c:v>
                </c:pt>
                <c:pt idx="160">
                  <c:v>900.00000000000011</c:v>
                </c:pt>
                <c:pt idx="161">
                  <c:v>950.00000000000011</c:v>
                </c:pt>
                <c:pt idx="162">
                  <c:v>1000</c:v>
                </c:pt>
                <c:pt idx="163">
                  <c:v>1500</c:v>
                </c:pt>
                <c:pt idx="164">
                  <c:v>2000</c:v>
                </c:pt>
                <c:pt idx="165">
                  <c:v>2500</c:v>
                </c:pt>
                <c:pt idx="166">
                  <c:v>3000</c:v>
                </c:pt>
                <c:pt idx="167">
                  <c:v>3500</c:v>
                </c:pt>
                <c:pt idx="168">
                  <c:v>4000</c:v>
                </c:pt>
                <c:pt idx="169">
                  <c:v>4500.0000000000009</c:v>
                </c:pt>
              </c:numCache>
            </c:numRef>
          </c:xVal>
          <c:yVal>
            <c:numRef>
              <c:f>Comparison!$BI$11:$BI$180</c:f>
            </c:numRef>
          </c:yVal>
          <c:smooth val="1"/>
          <c:extLst>
            <c:ext xmlns:c16="http://schemas.microsoft.com/office/drawing/2014/chart" uri="{C3380CC4-5D6E-409C-BE32-E72D297353CC}">
              <c16:uniqueId val="{00000005-D749-4CED-ABCA-C97B8EEF335E}"/>
            </c:ext>
          </c:extLst>
        </c:ser>
        <c:ser>
          <c:idx val="6"/>
          <c:order val="6"/>
          <c:tx>
            <c:strRef>
              <c:f>Comparison!$BK$6</c:f>
              <c:strCache>
                <c:ptCount val="1"/>
                <c:pt idx="0">
                  <c:v>INA296B3 @ 25°C</c:v>
                </c:pt>
              </c:strCache>
            </c:strRef>
          </c:tx>
          <c:spPr>
            <a:ln w="25400">
              <a:solidFill>
                <a:srgbClr val="00B0F0"/>
              </a:solidFill>
            </a:ln>
          </c:spPr>
          <c:marker>
            <c:symbol val="none"/>
          </c:marker>
          <c:xVal>
            <c:numRef>
              <c:f>Comparison!$P$11:$P$180</c:f>
              <c:numCache>
                <c:formatCode>General</c:formatCode>
                <c:ptCount val="170"/>
                <c:pt idx="0">
                  <c:v>9.9999999999999995E-7</c:v>
                </c:pt>
                <c:pt idx="1">
                  <c:v>1.5E-6</c:v>
                </c:pt>
                <c:pt idx="2">
                  <c:v>1.9999999999999999E-6</c:v>
                </c:pt>
                <c:pt idx="3">
                  <c:v>2.5000000000000002E-6</c:v>
                </c:pt>
                <c:pt idx="4">
                  <c:v>3.0000000000000001E-6</c:v>
                </c:pt>
                <c:pt idx="5">
                  <c:v>3.4999999999999999E-6</c:v>
                </c:pt>
                <c:pt idx="6">
                  <c:v>3.9999999999999998E-6</c:v>
                </c:pt>
                <c:pt idx="7">
                  <c:v>4.5000000000000001E-6</c:v>
                </c:pt>
                <c:pt idx="8">
                  <c:v>5.0000000000000004E-6</c:v>
                </c:pt>
                <c:pt idx="9">
                  <c:v>5.4999999999999999E-6</c:v>
                </c:pt>
                <c:pt idx="10">
                  <c:v>6.0000000000000002E-6</c:v>
                </c:pt>
                <c:pt idx="11">
                  <c:v>6.4999999999999996E-6</c:v>
                </c:pt>
                <c:pt idx="12">
                  <c:v>6.9999999999999999E-6</c:v>
                </c:pt>
                <c:pt idx="13">
                  <c:v>7.5000000000000002E-6</c:v>
                </c:pt>
                <c:pt idx="14">
                  <c:v>7.9999999999999996E-6</c:v>
                </c:pt>
                <c:pt idx="15">
                  <c:v>8.4999999999999999E-6</c:v>
                </c:pt>
                <c:pt idx="16">
                  <c:v>9.0000000000000002E-6</c:v>
                </c:pt>
                <c:pt idx="17">
                  <c:v>9.5000000000000005E-6</c:v>
                </c:pt>
                <c:pt idx="18">
                  <c:v>9.9999999999999991E-6</c:v>
                </c:pt>
                <c:pt idx="19">
                  <c:v>1.5E-5</c:v>
                </c:pt>
                <c:pt idx="20">
                  <c:v>1.9999999999999998E-5</c:v>
                </c:pt>
                <c:pt idx="21">
                  <c:v>2.5000000000000001E-5</c:v>
                </c:pt>
                <c:pt idx="22">
                  <c:v>3.0000000000000001E-5</c:v>
                </c:pt>
                <c:pt idx="23">
                  <c:v>3.4999999999999997E-5</c:v>
                </c:pt>
                <c:pt idx="24">
                  <c:v>3.9999999999999996E-5</c:v>
                </c:pt>
                <c:pt idx="25">
                  <c:v>4.5000000000000003E-5</c:v>
                </c:pt>
                <c:pt idx="26">
                  <c:v>5.0000000000000002E-5</c:v>
                </c:pt>
                <c:pt idx="27">
                  <c:v>5.4999999999999995E-5</c:v>
                </c:pt>
                <c:pt idx="28">
                  <c:v>6.0000000000000002E-5</c:v>
                </c:pt>
                <c:pt idx="29">
                  <c:v>6.4999999999999994E-5</c:v>
                </c:pt>
                <c:pt idx="30">
                  <c:v>6.9999999999999994E-5</c:v>
                </c:pt>
                <c:pt idx="31">
                  <c:v>7.5000000000000007E-5</c:v>
                </c:pt>
                <c:pt idx="32">
                  <c:v>7.9999999999999993E-5</c:v>
                </c:pt>
                <c:pt idx="33">
                  <c:v>8.5000000000000006E-5</c:v>
                </c:pt>
                <c:pt idx="34">
                  <c:v>9.0000000000000006E-5</c:v>
                </c:pt>
                <c:pt idx="35">
                  <c:v>9.5000000000000005E-5</c:v>
                </c:pt>
                <c:pt idx="36">
                  <c:v>9.9999999999999991E-5</c:v>
                </c:pt>
                <c:pt idx="37">
                  <c:v>1.5000000000000001E-4</c:v>
                </c:pt>
                <c:pt idx="38">
                  <c:v>1.9999999999999998E-4</c:v>
                </c:pt>
                <c:pt idx="39">
                  <c:v>2.5000000000000001E-4</c:v>
                </c:pt>
                <c:pt idx="40">
                  <c:v>3.0000000000000003E-4</c:v>
                </c:pt>
                <c:pt idx="41">
                  <c:v>3.4999999999999994E-4</c:v>
                </c:pt>
                <c:pt idx="42">
                  <c:v>3.9999999999999996E-4</c:v>
                </c:pt>
                <c:pt idx="43">
                  <c:v>4.5000000000000004E-4</c:v>
                </c:pt>
                <c:pt idx="44">
                  <c:v>5.0000000000000001E-4</c:v>
                </c:pt>
                <c:pt idx="45">
                  <c:v>5.4999999999999992E-4</c:v>
                </c:pt>
                <c:pt idx="46">
                  <c:v>6.0000000000000006E-4</c:v>
                </c:pt>
                <c:pt idx="47">
                  <c:v>6.4999999999999997E-4</c:v>
                </c:pt>
                <c:pt idx="48">
                  <c:v>6.9999999999999988E-4</c:v>
                </c:pt>
                <c:pt idx="49">
                  <c:v>7.5000000000000002E-4</c:v>
                </c:pt>
                <c:pt idx="50">
                  <c:v>7.9999999999999993E-4</c:v>
                </c:pt>
                <c:pt idx="51">
                  <c:v>8.5000000000000006E-4</c:v>
                </c:pt>
                <c:pt idx="52">
                  <c:v>9.0000000000000008E-4</c:v>
                </c:pt>
                <c:pt idx="53">
                  <c:v>9.5000000000000011E-4</c:v>
                </c:pt>
                <c:pt idx="54">
                  <c:v>1E-3</c:v>
                </c:pt>
                <c:pt idx="55">
                  <c:v>1.5E-3</c:v>
                </c:pt>
                <c:pt idx="56">
                  <c:v>2E-3</c:v>
                </c:pt>
                <c:pt idx="57">
                  <c:v>2.5000000000000001E-3</c:v>
                </c:pt>
                <c:pt idx="58">
                  <c:v>3.0000000000000001E-3</c:v>
                </c:pt>
                <c:pt idx="59">
                  <c:v>3.4999999999999996E-3</c:v>
                </c:pt>
                <c:pt idx="60">
                  <c:v>4.0000000000000001E-3</c:v>
                </c:pt>
                <c:pt idx="61">
                  <c:v>4.5000000000000005E-3</c:v>
                </c:pt>
                <c:pt idx="62">
                  <c:v>5.0000000000000001E-3</c:v>
                </c:pt>
                <c:pt idx="63">
                  <c:v>5.4999999999999997E-3</c:v>
                </c:pt>
                <c:pt idx="64">
                  <c:v>6.0000000000000001E-3</c:v>
                </c:pt>
                <c:pt idx="65">
                  <c:v>6.4999999999999997E-3</c:v>
                </c:pt>
                <c:pt idx="66">
                  <c:v>6.9999999999999993E-3</c:v>
                </c:pt>
                <c:pt idx="67">
                  <c:v>7.4999999999999997E-3</c:v>
                </c:pt>
                <c:pt idx="68">
                  <c:v>8.0000000000000002E-3</c:v>
                </c:pt>
                <c:pt idx="69">
                  <c:v>8.5000000000000006E-3</c:v>
                </c:pt>
                <c:pt idx="70">
                  <c:v>9.0000000000000011E-3</c:v>
                </c:pt>
                <c:pt idx="71">
                  <c:v>9.5000000000000015E-3</c:v>
                </c:pt>
                <c:pt idx="72">
                  <c:v>0.01</c:v>
                </c:pt>
                <c:pt idx="73">
                  <c:v>1.4999999999999999E-2</c:v>
                </c:pt>
                <c:pt idx="74">
                  <c:v>0.02</c:v>
                </c:pt>
                <c:pt idx="75">
                  <c:v>2.5000000000000001E-2</c:v>
                </c:pt>
                <c:pt idx="76">
                  <c:v>0.03</c:v>
                </c:pt>
                <c:pt idx="77">
                  <c:v>3.4999999999999996E-2</c:v>
                </c:pt>
                <c:pt idx="78">
                  <c:v>0.04</c:v>
                </c:pt>
                <c:pt idx="79">
                  <c:v>4.5000000000000005E-2</c:v>
                </c:pt>
                <c:pt idx="80">
                  <c:v>0.05</c:v>
                </c:pt>
                <c:pt idx="81">
                  <c:v>5.4999999999999993E-2</c:v>
                </c:pt>
                <c:pt idx="82">
                  <c:v>0.06</c:v>
                </c:pt>
                <c:pt idx="83">
                  <c:v>6.5000000000000002E-2</c:v>
                </c:pt>
                <c:pt idx="84">
                  <c:v>6.9999999999999993E-2</c:v>
                </c:pt>
                <c:pt idx="85">
                  <c:v>7.4999999999999997E-2</c:v>
                </c:pt>
                <c:pt idx="86">
                  <c:v>0.08</c:v>
                </c:pt>
                <c:pt idx="87">
                  <c:v>8.5000000000000006E-2</c:v>
                </c:pt>
                <c:pt idx="88">
                  <c:v>9.0000000000000011E-2</c:v>
                </c:pt>
                <c:pt idx="89">
                  <c:v>9.5000000000000015E-2</c:v>
                </c:pt>
                <c:pt idx="90">
                  <c:v>0.1</c:v>
                </c:pt>
                <c:pt idx="91">
                  <c:v>0.15</c:v>
                </c:pt>
                <c:pt idx="92">
                  <c:v>0.2</c:v>
                </c:pt>
                <c:pt idx="93">
                  <c:v>0.25</c:v>
                </c:pt>
                <c:pt idx="94">
                  <c:v>0.3</c:v>
                </c:pt>
                <c:pt idx="95">
                  <c:v>0.35</c:v>
                </c:pt>
                <c:pt idx="96">
                  <c:v>0.4</c:v>
                </c:pt>
                <c:pt idx="97">
                  <c:v>0.45000000000000007</c:v>
                </c:pt>
                <c:pt idx="98">
                  <c:v>0.5</c:v>
                </c:pt>
                <c:pt idx="99">
                  <c:v>0.54999999999999993</c:v>
                </c:pt>
                <c:pt idx="100">
                  <c:v>0.6</c:v>
                </c:pt>
                <c:pt idx="101">
                  <c:v>0.65</c:v>
                </c:pt>
                <c:pt idx="102">
                  <c:v>0.7</c:v>
                </c:pt>
                <c:pt idx="103">
                  <c:v>0.75</c:v>
                </c:pt>
                <c:pt idx="104">
                  <c:v>0.8</c:v>
                </c:pt>
                <c:pt idx="105">
                  <c:v>0.85000000000000009</c:v>
                </c:pt>
                <c:pt idx="106">
                  <c:v>0.90000000000000013</c:v>
                </c:pt>
                <c:pt idx="107">
                  <c:v>0.95000000000000018</c:v>
                </c:pt>
                <c:pt idx="108">
                  <c:v>1</c:v>
                </c:pt>
                <c:pt idx="109">
                  <c:v>1.5</c:v>
                </c:pt>
                <c:pt idx="110">
                  <c:v>2</c:v>
                </c:pt>
                <c:pt idx="111">
                  <c:v>2.5</c:v>
                </c:pt>
                <c:pt idx="112">
                  <c:v>3</c:v>
                </c:pt>
                <c:pt idx="113">
                  <c:v>3.5</c:v>
                </c:pt>
                <c:pt idx="114">
                  <c:v>4</c:v>
                </c:pt>
                <c:pt idx="115">
                  <c:v>4.5000000000000009</c:v>
                </c:pt>
                <c:pt idx="116">
                  <c:v>5</c:v>
                </c:pt>
                <c:pt idx="117">
                  <c:v>5.4999999999999991</c:v>
                </c:pt>
                <c:pt idx="118">
                  <c:v>6</c:v>
                </c:pt>
                <c:pt idx="119">
                  <c:v>6.5</c:v>
                </c:pt>
                <c:pt idx="120">
                  <c:v>7</c:v>
                </c:pt>
                <c:pt idx="121">
                  <c:v>7.5</c:v>
                </c:pt>
                <c:pt idx="122">
                  <c:v>8</c:v>
                </c:pt>
                <c:pt idx="123">
                  <c:v>8.5</c:v>
                </c:pt>
                <c:pt idx="124">
                  <c:v>9.0000000000000018</c:v>
                </c:pt>
                <c:pt idx="125">
                  <c:v>9.5000000000000018</c:v>
                </c:pt>
                <c:pt idx="126">
                  <c:v>10</c:v>
                </c:pt>
                <c:pt idx="127">
                  <c:v>15</c:v>
                </c:pt>
                <c:pt idx="128">
                  <c:v>20</c:v>
                </c:pt>
                <c:pt idx="129">
                  <c:v>25</c:v>
                </c:pt>
                <c:pt idx="130">
                  <c:v>30</c:v>
                </c:pt>
                <c:pt idx="131">
                  <c:v>35</c:v>
                </c:pt>
                <c:pt idx="132">
                  <c:v>40</c:v>
                </c:pt>
                <c:pt idx="133">
                  <c:v>45.000000000000007</c:v>
                </c:pt>
                <c:pt idx="134">
                  <c:v>50</c:v>
                </c:pt>
                <c:pt idx="135">
                  <c:v>54.999999999999993</c:v>
                </c:pt>
                <c:pt idx="136">
                  <c:v>60</c:v>
                </c:pt>
                <c:pt idx="137">
                  <c:v>65</c:v>
                </c:pt>
                <c:pt idx="138">
                  <c:v>70</c:v>
                </c:pt>
                <c:pt idx="139">
                  <c:v>75</c:v>
                </c:pt>
                <c:pt idx="140">
                  <c:v>80</c:v>
                </c:pt>
                <c:pt idx="141">
                  <c:v>85</c:v>
                </c:pt>
                <c:pt idx="142">
                  <c:v>90.000000000000014</c:v>
                </c:pt>
                <c:pt idx="143">
                  <c:v>95.000000000000014</c:v>
                </c:pt>
                <c:pt idx="144">
                  <c:v>100</c:v>
                </c:pt>
                <c:pt idx="145">
                  <c:v>150</c:v>
                </c:pt>
                <c:pt idx="146">
                  <c:v>200</c:v>
                </c:pt>
                <c:pt idx="147">
                  <c:v>250</c:v>
                </c:pt>
                <c:pt idx="148">
                  <c:v>300</c:v>
                </c:pt>
                <c:pt idx="149">
                  <c:v>350</c:v>
                </c:pt>
                <c:pt idx="150">
                  <c:v>400</c:v>
                </c:pt>
                <c:pt idx="151">
                  <c:v>450.00000000000006</c:v>
                </c:pt>
                <c:pt idx="152">
                  <c:v>500</c:v>
                </c:pt>
                <c:pt idx="153">
                  <c:v>549.99999999999989</c:v>
                </c:pt>
                <c:pt idx="154">
                  <c:v>600</c:v>
                </c:pt>
                <c:pt idx="155">
                  <c:v>650</c:v>
                </c:pt>
                <c:pt idx="156">
                  <c:v>700</c:v>
                </c:pt>
                <c:pt idx="157">
                  <c:v>750</c:v>
                </c:pt>
                <c:pt idx="158">
                  <c:v>800</c:v>
                </c:pt>
                <c:pt idx="159">
                  <c:v>850</c:v>
                </c:pt>
                <c:pt idx="160">
                  <c:v>900.00000000000011</c:v>
                </c:pt>
                <c:pt idx="161">
                  <c:v>950.00000000000011</c:v>
                </c:pt>
                <c:pt idx="162">
                  <c:v>1000</c:v>
                </c:pt>
                <c:pt idx="163">
                  <c:v>1500</c:v>
                </c:pt>
                <c:pt idx="164">
                  <c:v>2000</c:v>
                </c:pt>
                <c:pt idx="165">
                  <c:v>2500</c:v>
                </c:pt>
                <c:pt idx="166">
                  <c:v>3000</c:v>
                </c:pt>
                <c:pt idx="167">
                  <c:v>3500</c:v>
                </c:pt>
                <c:pt idx="168">
                  <c:v>4000</c:v>
                </c:pt>
                <c:pt idx="169">
                  <c:v>4500.0000000000009</c:v>
                </c:pt>
              </c:numCache>
            </c:numRef>
          </c:xVal>
          <c:yVal>
            <c:numRef>
              <c:f>Comparison!$BQ$11:$BQ$180</c:f>
            </c:numRef>
          </c:yVal>
          <c:smooth val="1"/>
          <c:extLst>
            <c:ext xmlns:c16="http://schemas.microsoft.com/office/drawing/2014/chart" uri="{C3380CC4-5D6E-409C-BE32-E72D297353CC}">
              <c16:uniqueId val="{00000006-D749-4CED-ABCA-C97B8EEF335E}"/>
            </c:ext>
          </c:extLst>
        </c:ser>
        <c:ser>
          <c:idx val="7"/>
          <c:order val="7"/>
          <c:tx>
            <c:strRef>
              <c:f>Comparison!$BR$6</c:f>
              <c:strCache>
                <c:ptCount val="1"/>
                <c:pt idx="0">
                  <c:v>INA296B3 @ 60 °C</c:v>
                </c:pt>
              </c:strCache>
            </c:strRef>
          </c:tx>
          <c:spPr>
            <a:ln w="25400">
              <a:solidFill>
                <a:srgbClr val="00B0F0"/>
              </a:solidFill>
              <a:prstDash val="sysDash"/>
            </a:ln>
          </c:spPr>
          <c:marker>
            <c:symbol val="none"/>
          </c:marker>
          <c:xVal>
            <c:numRef>
              <c:f>Comparison!$P$11:$P$180</c:f>
              <c:numCache>
                <c:formatCode>General</c:formatCode>
                <c:ptCount val="170"/>
                <c:pt idx="0">
                  <c:v>9.9999999999999995E-7</c:v>
                </c:pt>
                <c:pt idx="1">
                  <c:v>1.5E-6</c:v>
                </c:pt>
                <c:pt idx="2">
                  <c:v>1.9999999999999999E-6</c:v>
                </c:pt>
                <c:pt idx="3">
                  <c:v>2.5000000000000002E-6</c:v>
                </c:pt>
                <c:pt idx="4">
                  <c:v>3.0000000000000001E-6</c:v>
                </c:pt>
                <c:pt idx="5">
                  <c:v>3.4999999999999999E-6</c:v>
                </c:pt>
                <c:pt idx="6">
                  <c:v>3.9999999999999998E-6</c:v>
                </c:pt>
                <c:pt idx="7">
                  <c:v>4.5000000000000001E-6</c:v>
                </c:pt>
                <c:pt idx="8">
                  <c:v>5.0000000000000004E-6</c:v>
                </c:pt>
                <c:pt idx="9">
                  <c:v>5.4999999999999999E-6</c:v>
                </c:pt>
                <c:pt idx="10">
                  <c:v>6.0000000000000002E-6</c:v>
                </c:pt>
                <c:pt idx="11">
                  <c:v>6.4999999999999996E-6</c:v>
                </c:pt>
                <c:pt idx="12">
                  <c:v>6.9999999999999999E-6</c:v>
                </c:pt>
                <c:pt idx="13">
                  <c:v>7.5000000000000002E-6</c:v>
                </c:pt>
                <c:pt idx="14">
                  <c:v>7.9999999999999996E-6</c:v>
                </c:pt>
                <c:pt idx="15">
                  <c:v>8.4999999999999999E-6</c:v>
                </c:pt>
                <c:pt idx="16">
                  <c:v>9.0000000000000002E-6</c:v>
                </c:pt>
                <c:pt idx="17">
                  <c:v>9.5000000000000005E-6</c:v>
                </c:pt>
                <c:pt idx="18">
                  <c:v>9.9999999999999991E-6</c:v>
                </c:pt>
                <c:pt idx="19">
                  <c:v>1.5E-5</c:v>
                </c:pt>
                <c:pt idx="20">
                  <c:v>1.9999999999999998E-5</c:v>
                </c:pt>
                <c:pt idx="21">
                  <c:v>2.5000000000000001E-5</c:v>
                </c:pt>
                <c:pt idx="22">
                  <c:v>3.0000000000000001E-5</c:v>
                </c:pt>
                <c:pt idx="23">
                  <c:v>3.4999999999999997E-5</c:v>
                </c:pt>
                <c:pt idx="24">
                  <c:v>3.9999999999999996E-5</c:v>
                </c:pt>
                <c:pt idx="25">
                  <c:v>4.5000000000000003E-5</c:v>
                </c:pt>
                <c:pt idx="26">
                  <c:v>5.0000000000000002E-5</c:v>
                </c:pt>
                <c:pt idx="27">
                  <c:v>5.4999999999999995E-5</c:v>
                </c:pt>
                <c:pt idx="28">
                  <c:v>6.0000000000000002E-5</c:v>
                </c:pt>
                <c:pt idx="29">
                  <c:v>6.4999999999999994E-5</c:v>
                </c:pt>
                <c:pt idx="30">
                  <c:v>6.9999999999999994E-5</c:v>
                </c:pt>
                <c:pt idx="31">
                  <c:v>7.5000000000000007E-5</c:v>
                </c:pt>
                <c:pt idx="32">
                  <c:v>7.9999999999999993E-5</c:v>
                </c:pt>
                <c:pt idx="33">
                  <c:v>8.5000000000000006E-5</c:v>
                </c:pt>
                <c:pt idx="34">
                  <c:v>9.0000000000000006E-5</c:v>
                </c:pt>
                <c:pt idx="35">
                  <c:v>9.5000000000000005E-5</c:v>
                </c:pt>
                <c:pt idx="36">
                  <c:v>9.9999999999999991E-5</c:v>
                </c:pt>
                <c:pt idx="37">
                  <c:v>1.5000000000000001E-4</c:v>
                </c:pt>
                <c:pt idx="38">
                  <c:v>1.9999999999999998E-4</c:v>
                </c:pt>
                <c:pt idx="39">
                  <c:v>2.5000000000000001E-4</c:v>
                </c:pt>
                <c:pt idx="40">
                  <c:v>3.0000000000000003E-4</c:v>
                </c:pt>
                <c:pt idx="41">
                  <c:v>3.4999999999999994E-4</c:v>
                </c:pt>
                <c:pt idx="42">
                  <c:v>3.9999999999999996E-4</c:v>
                </c:pt>
                <c:pt idx="43">
                  <c:v>4.5000000000000004E-4</c:v>
                </c:pt>
                <c:pt idx="44">
                  <c:v>5.0000000000000001E-4</c:v>
                </c:pt>
                <c:pt idx="45">
                  <c:v>5.4999999999999992E-4</c:v>
                </c:pt>
                <c:pt idx="46">
                  <c:v>6.0000000000000006E-4</c:v>
                </c:pt>
                <c:pt idx="47">
                  <c:v>6.4999999999999997E-4</c:v>
                </c:pt>
                <c:pt idx="48">
                  <c:v>6.9999999999999988E-4</c:v>
                </c:pt>
                <c:pt idx="49">
                  <c:v>7.5000000000000002E-4</c:v>
                </c:pt>
                <c:pt idx="50">
                  <c:v>7.9999999999999993E-4</c:v>
                </c:pt>
                <c:pt idx="51">
                  <c:v>8.5000000000000006E-4</c:v>
                </c:pt>
                <c:pt idx="52">
                  <c:v>9.0000000000000008E-4</c:v>
                </c:pt>
                <c:pt idx="53">
                  <c:v>9.5000000000000011E-4</c:v>
                </c:pt>
                <c:pt idx="54">
                  <c:v>1E-3</c:v>
                </c:pt>
                <c:pt idx="55">
                  <c:v>1.5E-3</c:v>
                </c:pt>
                <c:pt idx="56">
                  <c:v>2E-3</c:v>
                </c:pt>
                <c:pt idx="57">
                  <c:v>2.5000000000000001E-3</c:v>
                </c:pt>
                <c:pt idx="58">
                  <c:v>3.0000000000000001E-3</c:v>
                </c:pt>
                <c:pt idx="59">
                  <c:v>3.4999999999999996E-3</c:v>
                </c:pt>
                <c:pt idx="60">
                  <c:v>4.0000000000000001E-3</c:v>
                </c:pt>
                <c:pt idx="61">
                  <c:v>4.5000000000000005E-3</c:v>
                </c:pt>
                <c:pt idx="62">
                  <c:v>5.0000000000000001E-3</c:v>
                </c:pt>
                <c:pt idx="63">
                  <c:v>5.4999999999999997E-3</c:v>
                </c:pt>
                <c:pt idx="64">
                  <c:v>6.0000000000000001E-3</c:v>
                </c:pt>
                <c:pt idx="65">
                  <c:v>6.4999999999999997E-3</c:v>
                </c:pt>
                <c:pt idx="66">
                  <c:v>6.9999999999999993E-3</c:v>
                </c:pt>
                <c:pt idx="67">
                  <c:v>7.4999999999999997E-3</c:v>
                </c:pt>
                <c:pt idx="68">
                  <c:v>8.0000000000000002E-3</c:v>
                </c:pt>
                <c:pt idx="69">
                  <c:v>8.5000000000000006E-3</c:v>
                </c:pt>
                <c:pt idx="70">
                  <c:v>9.0000000000000011E-3</c:v>
                </c:pt>
                <c:pt idx="71">
                  <c:v>9.5000000000000015E-3</c:v>
                </c:pt>
                <c:pt idx="72">
                  <c:v>0.01</c:v>
                </c:pt>
                <c:pt idx="73">
                  <c:v>1.4999999999999999E-2</c:v>
                </c:pt>
                <c:pt idx="74">
                  <c:v>0.02</c:v>
                </c:pt>
                <c:pt idx="75">
                  <c:v>2.5000000000000001E-2</c:v>
                </c:pt>
                <c:pt idx="76">
                  <c:v>0.03</c:v>
                </c:pt>
                <c:pt idx="77">
                  <c:v>3.4999999999999996E-2</c:v>
                </c:pt>
                <c:pt idx="78">
                  <c:v>0.04</c:v>
                </c:pt>
                <c:pt idx="79">
                  <c:v>4.5000000000000005E-2</c:v>
                </c:pt>
                <c:pt idx="80">
                  <c:v>0.05</c:v>
                </c:pt>
                <c:pt idx="81">
                  <c:v>5.4999999999999993E-2</c:v>
                </c:pt>
                <c:pt idx="82">
                  <c:v>0.06</c:v>
                </c:pt>
                <c:pt idx="83">
                  <c:v>6.5000000000000002E-2</c:v>
                </c:pt>
                <c:pt idx="84">
                  <c:v>6.9999999999999993E-2</c:v>
                </c:pt>
                <c:pt idx="85">
                  <c:v>7.4999999999999997E-2</c:v>
                </c:pt>
                <c:pt idx="86">
                  <c:v>0.08</c:v>
                </c:pt>
                <c:pt idx="87">
                  <c:v>8.5000000000000006E-2</c:v>
                </c:pt>
                <c:pt idx="88">
                  <c:v>9.0000000000000011E-2</c:v>
                </c:pt>
                <c:pt idx="89">
                  <c:v>9.5000000000000015E-2</c:v>
                </c:pt>
                <c:pt idx="90">
                  <c:v>0.1</c:v>
                </c:pt>
                <c:pt idx="91">
                  <c:v>0.15</c:v>
                </c:pt>
                <c:pt idx="92">
                  <c:v>0.2</c:v>
                </c:pt>
                <c:pt idx="93">
                  <c:v>0.25</c:v>
                </c:pt>
                <c:pt idx="94">
                  <c:v>0.3</c:v>
                </c:pt>
                <c:pt idx="95">
                  <c:v>0.35</c:v>
                </c:pt>
                <c:pt idx="96">
                  <c:v>0.4</c:v>
                </c:pt>
                <c:pt idx="97">
                  <c:v>0.45000000000000007</c:v>
                </c:pt>
                <c:pt idx="98">
                  <c:v>0.5</c:v>
                </c:pt>
                <c:pt idx="99">
                  <c:v>0.54999999999999993</c:v>
                </c:pt>
                <c:pt idx="100">
                  <c:v>0.6</c:v>
                </c:pt>
                <c:pt idx="101">
                  <c:v>0.65</c:v>
                </c:pt>
                <c:pt idx="102">
                  <c:v>0.7</c:v>
                </c:pt>
                <c:pt idx="103">
                  <c:v>0.75</c:v>
                </c:pt>
                <c:pt idx="104">
                  <c:v>0.8</c:v>
                </c:pt>
                <c:pt idx="105">
                  <c:v>0.85000000000000009</c:v>
                </c:pt>
                <c:pt idx="106">
                  <c:v>0.90000000000000013</c:v>
                </c:pt>
                <c:pt idx="107">
                  <c:v>0.95000000000000018</c:v>
                </c:pt>
                <c:pt idx="108">
                  <c:v>1</c:v>
                </c:pt>
                <c:pt idx="109">
                  <c:v>1.5</c:v>
                </c:pt>
                <c:pt idx="110">
                  <c:v>2</c:v>
                </c:pt>
                <c:pt idx="111">
                  <c:v>2.5</c:v>
                </c:pt>
                <c:pt idx="112">
                  <c:v>3</c:v>
                </c:pt>
                <c:pt idx="113">
                  <c:v>3.5</c:v>
                </c:pt>
                <c:pt idx="114">
                  <c:v>4</c:v>
                </c:pt>
                <c:pt idx="115">
                  <c:v>4.5000000000000009</c:v>
                </c:pt>
                <c:pt idx="116">
                  <c:v>5</c:v>
                </c:pt>
                <c:pt idx="117">
                  <c:v>5.4999999999999991</c:v>
                </c:pt>
                <c:pt idx="118">
                  <c:v>6</c:v>
                </c:pt>
                <c:pt idx="119">
                  <c:v>6.5</c:v>
                </c:pt>
                <c:pt idx="120">
                  <c:v>7</c:v>
                </c:pt>
                <c:pt idx="121">
                  <c:v>7.5</c:v>
                </c:pt>
                <c:pt idx="122">
                  <c:v>8</c:v>
                </c:pt>
                <c:pt idx="123">
                  <c:v>8.5</c:v>
                </c:pt>
                <c:pt idx="124">
                  <c:v>9.0000000000000018</c:v>
                </c:pt>
                <c:pt idx="125">
                  <c:v>9.5000000000000018</c:v>
                </c:pt>
                <c:pt idx="126">
                  <c:v>10</c:v>
                </c:pt>
                <c:pt idx="127">
                  <c:v>15</c:v>
                </c:pt>
                <c:pt idx="128">
                  <c:v>20</c:v>
                </c:pt>
                <c:pt idx="129">
                  <c:v>25</c:v>
                </c:pt>
                <c:pt idx="130">
                  <c:v>30</c:v>
                </c:pt>
                <c:pt idx="131">
                  <c:v>35</c:v>
                </c:pt>
                <c:pt idx="132">
                  <c:v>40</c:v>
                </c:pt>
                <c:pt idx="133">
                  <c:v>45.000000000000007</c:v>
                </c:pt>
                <c:pt idx="134">
                  <c:v>50</c:v>
                </c:pt>
                <c:pt idx="135">
                  <c:v>54.999999999999993</c:v>
                </c:pt>
                <c:pt idx="136">
                  <c:v>60</c:v>
                </c:pt>
                <c:pt idx="137">
                  <c:v>65</c:v>
                </c:pt>
                <c:pt idx="138">
                  <c:v>70</c:v>
                </c:pt>
                <c:pt idx="139">
                  <c:v>75</c:v>
                </c:pt>
                <c:pt idx="140">
                  <c:v>80</c:v>
                </c:pt>
                <c:pt idx="141">
                  <c:v>85</c:v>
                </c:pt>
                <c:pt idx="142">
                  <c:v>90.000000000000014</c:v>
                </c:pt>
                <c:pt idx="143">
                  <c:v>95.000000000000014</c:v>
                </c:pt>
                <c:pt idx="144">
                  <c:v>100</c:v>
                </c:pt>
                <c:pt idx="145">
                  <c:v>150</c:v>
                </c:pt>
                <c:pt idx="146">
                  <c:v>200</c:v>
                </c:pt>
                <c:pt idx="147">
                  <c:v>250</c:v>
                </c:pt>
                <c:pt idx="148">
                  <c:v>300</c:v>
                </c:pt>
                <c:pt idx="149">
                  <c:v>350</c:v>
                </c:pt>
                <c:pt idx="150">
                  <c:v>400</c:v>
                </c:pt>
                <c:pt idx="151">
                  <c:v>450.00000000000006</c:v>
                </c:pt>
                <c:pt idx="152">
                  <c:v>500</c:v>
                </c:pt>
                <c:pt idx="153">
                  <c:v>549.99999999999989</c:v>
                </c:pt>
                <c:pt idx="154">
                  <c:v>600</c:v>
                </c:pt>
                <c:pt idx="155">
                  <c:v>650</c:v>
                </c:pt>
                <c:pt idx="156">
                  <c:v>700</c:v>
                </c:pt>
                <c:pt idx="157">
                  <c:v>750</c:v>
                </c:pt>
                <c:pt idx="158">
                  <c:v>800</c:v>
                </c:pt>
                <c:pt idx="159">
                  <c:v>850</c:v>
                </c:pt>
                <c:pt idx="160">
                  <c:v>900.00000000000011</c:v>
                </c:pt>
                <c:pt idx="161">
                  <c:v>950.00000000000011</c:v>
                </c:pt>
                <c:pt idx="162">
                  <c:v>1000</c:v>
                </c:pt>
                <c:pt idx="163">
                  <c:v>1500</c:v>
                </c:pt>
                <c:pt idx="164">
                  <c:v>2000</c:v>
                </c:pt>
                <c:pt idx="165">
                  <c:v>2500</c:v>
                </c:pt>
                <c:pt idx="166">
                  <c:v>3000</c:v>
                </c:pt>
                <c:pt idx="167">
                  <c:v>3500</c:v>
                </c:pt>
                <c:pt idx="168">
                  <c:v>4000</c:v>
                </c:pt>
                <c:pt idx="169">
                  <c:v>4500.0000000000009</c:v>
                </c:pt>
              </c:numCache>
            </c:numRef>
          </c:xVal>
          <c:yVal>
            <c:numRef>
              <c:f>Comparison!$BX$11:$BX$180</c:f>
            </c:numRef>
          </c:yVal>
          <c:smooth val="1"/>
          <c:extLst>
            <c:ext xmlns:c16="http://schemas.microsoft.com/office/drawing/2014/chart" uri="{C3380CC4-5D6E-409C-BE32-E72D297353CC}">
              <c16:uniqueId val="{00000007-D749-4CED-ABCA-C97B8EEF335E}"/>
            </c:ext>
          </c:extLst>
        </c:ser>
        <c:ser>
          <c:idx val="8"/>
          <c:order val="8"/>
          <c:tx>
            <c:strRef>
              <c:f>Comparison!$BZ$6</c:f>
              <c:strCache>
                <c:ptCount val="1"/>
                <c:pt idx="0">
                  <c:v>INA240A2 @ 25°C</c:v>
                </c:pt>
              </c:strCache>
            </c:strRef>
          </c:tx>
          <c:spPr>
            <a:ln w="25400">
              <a:solidFill>
                <a:srgbClr val="00B050"/>
              </a:solidFill>
            </a:ln>
          </c:spPr>
          <c:marker>
            <c:symbol val="none"/>
          </c:marker>
          <c:xVal>
            <c:numRef>
              <c:f>Comparison!$P$11:$P$180</c:f>
              <c:numCache>
                <c:formatCode>General</c:formatCode>
                <c:ptCount val="170"/>
                <c:pt idx="0">
                  <c:v>9.9999999999999995E-7</c:v>
                </c:pt>
                <c:pt idx="1">
                  <c:v>1.5E-6</c:v>
                </c:pt>
                <c:pt idx="2">
                  <c:v>1.9999999999999999E-6</c:v>
                </c:pt>
                <c:pt idx="3">
                  <c:v>2.5000000000000002E-6</c:v>
                </c:pt>
                <c:pt idx="4">
                  <c:v>3.0000000000000001E-6</c:v>
                </c:pt>
                <c:pt idx="5">
                  <c:v>3.4999999999999999E-6</c:v>
                </c:pt>
                <c:pt idx="6">
                  <c:v>3.9999999999999998E-6</c:v>
                </c:pt>
                <c:pt idx="7">
                  <c:v>4.5000000000000001E-6</c:v>
                </c:pt>
                <c:pt idx="8">
                  <c:v>5.0000000000000004E-6</c:v>
                </c:pt>
                <c:pt idx="9">
                  <c:v>5.4999999999999999E-6</c:v>
                </c:pt>
                <c:pt idx="10">
                  <c:v>6.0000000000000002E-6</c:v>
                </c:pt>
                <c:pt idx="11">
                  <c:v>6.4999999999999996E-6</c:v>
                </c:pt>
                <c:pt idx="12">
                  <c:v>6.9999999999999999E-6</c:v>
                </c:pt>
                <c:pt idx="13">
                  <c:v>7.5000000000000002E-6</c:v>
                </c:pt>
                <c:pt idx="14">
                  <c:v>7.9999999999999996E-6</c:v>
                </c:pt>
                <c:pt idx="15">
                  <c:v>8.4999999999999999E-6</c:v>
                </c:pt>
                <c:pt idx="16">
                  <c:v>9.0000000000000002E-6</c:v>
                </c:pt>
                <c:pt idx="17">
                  <c:v>9.5000000000000005E-6</c:v>
                </c:pt>
                <c:pt idx="18">
                  <c:v>9.9999999999999991E-6</c:v>
                </c:pt>
                <c:pt idx="19">
                  <c:v>1.5E-5</c:v>
                </c:pt>
                <c:pt idx="20">
                  <c:v>1.9999999999999998E-5</c:v>
                </c:pt>
                <c:pt idx="21">
                  <c:v>2.5000000000000001E-5</c:v>
                </c:pt>
                <c:pt idx="22">
                  <c:v>3.0000000000000001E-5</c:v>
                </c:pt>
                <c:pt idx="23">
                  <c:v>3.4999999999999997E-5</c:v>
                </c:pt>
                <c:pt idx="24">
                  <c:v>3.9999999999999996E-5</c:v>
                </c:pt>
                <c:pt idx="25">
                  <c:v>4.5000000000000003E-5</c:v>
                </c:pt>
                <c:pt idx="26">
                  <c:v>5.0000000000000002E-5</c:v>
                </c:pt>
                <c:pt idx="27">
                  <c:v>5.4999999999999995E-5</c:v>
                </c:pt>
                <c:pt idx="28">
                  <c:v>6.0000000000000002E-5</c:v>
                </c:pt>
                <c:pt idx="29">
                  <c:v>6.4999999999999994E-5</c:v>
                </c:pt>
                <c:pt idx="30">
                  <c:v>6.9999999999999994E-5</c:v>
                </c:pt>
                <c:pt idx="31">
                  <c:v>7.5000000000000007E-5</c:v>
                </c:pt>
                <c:pt idx="32">
                  <c:v>7.9999999999999993E-5</c:v>
                </c:pt>
                <c:pt idx="33">
                  <c:v>8.5000000000000006E-5</c:v>
                </c:pt>
                <c:pt idx="34">
                  <c:v>9.0000000000000006E-5</c:v>
                </c:pt>
                <c:pt idx="35">
                  <c:v>9.5000000000000005E-5</c:v>
                </c:pt>
                <c:pt idx="36">
                  <c:v>9.9999999999999991E-5</c:v>
                </c:pt>
                <c:pt idx="37">
                  <c:v>1.5000000000000001E-4</c:v>
                </c:pt>
                <c:pt idx="38">
                  <c:v>1.9999999999999998E-4</c:v>
                </c:pt>
                <c:pt idx="39">
                  <c:v>2.5000000000000001E-4</c:v>
                </c:pt>
                <c:pt idx="40">
                  <c:v>3.0000000000000003E-4</c:v>
                </c:pt>
                <c:pt idx="41">
                  <c:v>3.4999999999999994E-4</c:v>
                </c:pt>
                <c:pt idx="42">
                  <c:v>3.9999999999999996E-4</c:v>
                </c:pt>
                <c:pt idx="43">
                  <c:v>4.5000000000000004E-4</c:v>
                </c:pt>
                <c:pt idx="44">
                  <c:v>5.0000000000000001E-4</c:v>
                </c:pt>
                <c:pt idx="45">
                  <c:v>5.4999999999999992E-4</c:v>
                </c:pt>
                <c:pt idx="46">
                  <c:v>6.0000000000000006E-4</c:v>
                </c:pt>
                <c:pt idx="47">
                  <c:v>6.4999999999999997E-4</c:v>
                </c:pt>
                <c:pt idx="48">
                  <c:v>6.9999999999999988E-4</c:v>
                </c:pt>
                <c:pt idx="49">
                  <c:v>7.5000000000000002E-4</c:v>
                </c:pt>
                <c:pt idx="50">
                  <c:v>7.9999999999999993E-4</c:v>
                </c:pt>
                <c:pt idx="51">
                  <c:v>8.5000000000000006E-4</c:v>
                </c:pt>
                <c:pt idx="52">
                  <c:v>9.0000000000000008E-4</c:v>
                </c:pt>
                <c:pt idx="53">
                  <c:v>9.5000000000000011E-4</c:v>
                </c:pt>
                <c:pt idx="54">
                  <c:v>1E-3</c:v>
                </c:pt>
                <c:pt idx="55">
                  <c:v>1.5E-3</c:v>
                </c:pt>
                <c:pt idx="56">
                  <c:v>2E-3</c:v>
                </c:pt>
                <c:pt idx="57">
                  <c:v>2.5000000000000001E-3</c:v>
                </c:pt>
                <c:pt idx="58">
                  <c:v>3.0000000000000001E-3</c:v>
                </c:pt>
                <c:pt idx="59">
                  <c:v>3.4999999999999996E-3</c:v>
                </c:pt>
                <c:pt idx="60">
                  <c:v>4.0000000000000001E-3</c:v>
                </c:pt>
                <c:pt idx="61">
                  <c:v>4.5000000000000005E-3</c:v>
                </c:pt>
                <c:pt idx="62">
                  <c:v>5.0000000000000001E-3</c:v>
                </c:pt>
                <c:pt idx="63">
                  <c:v>5.4999999999999997E-3</c:v>
                </c:pt>
                <c:pt idx="64">
                  <c:v>6.0000000000000001E-3</c:v>
                </c:pt>
                <c:pt idx="65">
                  <c:v>6.4999999999999997E-3</c:v>
                </c:pt>
                <c:pt idx="66">
                  <c:v>6.9999999999999993E-3</c:v>
                </c:pt>
                <c:pt idx="67">
                  <c:v>7.4999999999999997E-3</c:v>
                </c:pt>
                <c:pt idx="68">
                  <c:v>8.0000000000000002E-3</c:v>
                </c:pt>
                <c:pt idx="69">
                  <c:v>8.5000000000000006E-3</c:v>
                </c:pt>
                <c:pt idx="70">
                  <c:v>9.0000000000000011E-3</c:v>
                </c:pt>
                <c:pt idx="71">
                  <c:v>9.5000000000000015E-3</c:v>
                </c:pt>
                <c:pt idx="72">
                  <c:v>0.01</c:v>
                </c:pt>
                <c:pt idx="73">
                  <c:v>1.4999999999999999E-2</c:v>
                </c:pt>
                <c:pt idx="74">
                  <c:v>0.02</c:v>
                </c:pt>
                <c:pt idx="75">
                  <c:v>2.5000000000000001E-2</c:v>
                </c:pt>
                <c:pt idx="76">
                  <c:v>0.03</c:v>
                </c:pt>
                <c:pt idx="77">
                  <c:v>3.4999999999999996E-2</c:v>
                </c:pt>
                <c:pt idx="78">
                  <c:v>0.04</c:v>
                </c:pt>
                <c:pt idx="79">
                  <c:v>4.5000000000000005E-2</c:v>
                </c:pt>
                <c:pt idx="80">
                  <c:v>0.05</c:v>
                </c:pt>
                <c:pt idx="81">
                  <c:v>5.4999999999999993E-2</c:v>
                </c:pt>
                <c:pt idx="82">
                  <c:v>0.06</c:v>
                </c:pt>
                <c:pt idx="83">
                  <c:v>6.5000000000000002E-2</c:v>
                </c:pt>
                <c:pt idx="84">
                  <c:v>6.9999999999999993E-2</c:v>
                </c:pt>
                <c:pt idx="85">
                  <c:v>7.4999999999999997E-2</c:v>
                </c:pt>
                <c:pt idx="86">
                  <c:v>0.08</c:v>
                </c:pt>
                <c:pt idx="87">
                  <c:v>8.5000000000000006E-2</c:v>
                </c:pt>
                <c:pt idx="88">
                  <c:v>9.0000000000000011E-2</c:v>
                </c:pt>
                <c:pt idx="89">
                  <c:v>9.5000000000000015E-2</c:v>
                </c:pt>
                <c:pt idx="90">
                  <c:v>0.1</c:v>
                </c:pt>
                <c:pt idx="91">
                  <c:v>0.15</c:v>
                </c:pt>
                <c:pt idx="92">
                  <c:v>0.2</c:v>
                </c:pt>
                <c:pt idx="93">
                  <c:v>0.25</c:v>
                </c:pt>
                <c:pt idx="94">
                  <c:v>0.3</c:v>
                </c:pt>
                <c:pt idx="95">
                  <c:v>0.35</c:v>
                </c:pt>
                <c:pt idx="96">
                  <c:v>0.4</c:v>
                </c:pt>
                <c:pt idx="97">
                  <c:v>0.45000000000000007</c:v>
                </c:pt>
                <c:pt idx="98">
                  <c:v>0.5</c:v>
                </c:pt>
                <c:pt idx="99">
                  <c:v>0.54999999999999993</c:v>
                </c:pt>
                <c:pt idx="100">
                  <c:v>0.6</c:v>
                </c:pt>
                <c:pt idx="101">
                  <c:v>0.65</c:v>
                </c:pt>
                <c:pt idx="102">
                  <c:v>0.7</c:v>
                </c:pt>
                <c:pt idx="103">
                  <c:v>0.75</c:v>
                </c:pt>
                <c:pt idx="104">
                  <c:v>0.8</c:v>
                </c:pt>
                <c:pt idx="105">
                  <c:v>0.85000000000000009</c:v>
                </c:pt>
                <c:pt idx="106">
                  <c:v>0.90000000000000013</c:v>
                </c:pt>
                <c:pt idx="107">
                  <c:v>0.95000000000000018</c:v>
                </c:pt>
                <c:pt idx="108">
                  <c:v>1</c:v>
                </c:pt>
                <c:pt idx="109">
                  <c:v>1.5</c:v>
                </c:pt>
                <c:pt idx="110">
                  <c:v>2</c:v>
                </c:pt>
                <c:pt idx="111">
                  <c:v>2.5</c:v>
                </c:pt>
                <c:pt idx="112">
                  <c:v>3</c:v>
                </c:pt>
                <c:pt idx="113">
                  <c:v>3.5</c:v>
                </c:pt>
                <c:pt idx="114">
                  <c:v>4</c:v>
                </c:pt>
                <c:pt idx="115">
                  <c:v>4.5000000000000009</c:v>
                </c:pt>
                <c:pt idx="116">
                  <c:v>5</c:v>
                </c:pt>
                <c:pt idx="117">
                  <c:v>5.4999999999999991</c:v>
                </c:pt>
                <c:pt idx="118">
                  <c:v>6</c:v>
                </c:pt>
                <c:pt idx="119">
                  <c:v>6.5</c:v>
                </c:pt>
                <c:pt idx="120">
                  <c:v>7</c:v>
                </c:pt>
                <c:pt idx="121">
                  <c:v>7.5</c:v>
                </c:pt>
                <c:pt idx="122">
                  <c:v>8</c:v>
                </c:pt>
                <c:pt idx="123">
                  <c:v>8.5</c:v>
                </c:pt>
                <c:pt idx="124">
                  <c:v>9.0000000000000018</c:v>
                </c:pt>
                <c:pt idx="125">
                  <c:v>9.5000000000000018</c:v>
                </c:pt>
                <c:pt idx="126">
                  <c:v>10</c:v>
                </c:pt>
                <c:pt idx="127">
                  <c:v>15</c:v>
                </c:pt>
                <c:pt idx="128">
                  <c:v>20</c:v>
                </c:pt>
                <c:pt idx="129">
                  <c:v>25</c:v>
                </c:pt>
                <c:pt idx="130">
                  <c:v>30</c:v>
                </c:pt>
                <c:pt idx="131">
                  <c:v>35</c:v>
                </c:pt>
                <c:pt idx="132">
                  <c:v>40</c:v>
                </c:pt>
                <c:pt idx="133">
                  <c:v>45.000000000000007</c:v>
                </c:pt>
                <c:pt idx="134">
                  <c:v>50</c:v>
                </c:pt>
                <c:pt idx="135">
                  <c:v>54.999999999999993</c:v>
                </c:pt>
                <c:pt idx="136">
                  <c:v>60</c:v>
                </c:pt>
                <c:pt idx="137">
                  <c:v>65</c:v>
                </c:pt>
                <c:pt idx="138">
                  <c:v>70</c:v>
                </c:pt>
                <c:pt idx="139">
                  <c:v>75</c:v>
                </c:pt>
                <c:pt idx="140">
                  <c:v>80</c:v>
                </c:pt>
                <c:pt idx="141">
                  <c:v>85</c:v>
                </c:pt>
                <c:pt idx="142">
                  <c:v>90.000000000000014</c:v>
                </c:pt>
                <c:pt idx="143">
                  <c:v>95.000000000000014</c:v>
                </c:pt>
                <c:pt idx="144">
                  <c:v>100</c:v>
                </c:pt>
                <c:pt idx="145">
                  <c:v>150</c:v>
                </c:pt>
                <c:pt idx="146">
                  <c:v>200</c:v>
                </c:pt>
                <c:pt idx="147">
                  <c:v>250</c:v>
                </c:pt>
                <c:pt idx="148">
                  <c:v>300</c:v>
                </c:pt>
                <c:pt idx="149">
                  <c:v>350</c:v>
                </c:pt>
                <c:pt idx="150">
                  <c:v>400</c:v>
                </c:pt>
                <c:pt idx="151">
                  <c:v>450.00000000000006</c:v>
                </c:pt>
                <c:pt idx="152">
                  <c:v>500</c:v>
                </c:pt>
                <c:pt idx="153">
                  <c:v>549.99999999999989</c:v>
                </c:pt>
                <c:pt idx="154">
                  <c:v>600</c:v>
                </c:pt>
                <c:pt idx="155">
                  <c:v>650</c:v>
                </c:pt>
                <c:pt idx="156">
                  <c:v>700</c:v>
                </c:pt>
                <c:pt idx="157">
                  <c:v>750</c:v>
                </c:pt>
                <c:pt idx="158">
                  <c:v>800</c:v>
                </c:pt>
                <c:pt idx="159">
                  <c:v>850</c:v>
                </c:pt>
                <c:pt idx="160">
                  <c:v>900.00000000000011</c:v>
                </c:pt>
                <c:pt idx="161">
                  <c:v>950.00000000000011</c:v>
                </c:pt>
                <c:pt idx="162">
                  <c:v>1000</c:v>
                </c:pt>
                <c:pt idx="163">
                  <c:v>1500</c:v>
                </c:pt>
                <c:pt idx="164">
                  <c:v>2000</c:v>
                </c:pt>
                <c:pt idx="165">
                  <c:v>2500</c:v>
                </c:pt>
                <c:pt idx="166">
                  <c:v>3000</c:v>
                </c:pt>
                <c:pt idx="167">
                  <c:v>3500</c:v>
                </c:pt>
                <c:pt idx="168">
                  <c:v>4000</c:v>
                </c:pt>
                <c:pt idx="169">
                  <c:v>4500.0000000000009</c:v>
                </c:pt>
              </c:numCache>
            </c:numRef>
          </c:xVal>
          <c:yVal>
            <c:numRef>
              <c:f>Comparison!$CF$11:$CF$180</c:f>
            </c:numRef>
          </c:yVal>
          <c:smooth val="1"/>
          <c:extLst>
            <c:ext xmlns:c16="http://schemas.microsoft.com/office/drawing/2014/chart" uri="{C3380CC4-5D6E-409C-BE32-E72D297353CC}">
              <c16:uniqueId val="{00000008-D749-4CED-ABCA-C97B8EEF335E}"/>
            </c:ext>
          </c:extLst>
        </c:ser>
        <c:ser>
          <c:idx val="9"/>
          <c:order val="9"/>
          <c:tx>
            <c:strRef>
              <c:f>Comparison!$CG$6</c:f>
              <c:strCache>
                <c:ptCount val="1"/>
                <c:pt idx="0">
                  <c:v>INA240A2 @ 60 °C</c:v>
                </c:pt>
              </c:strCache>
            </c:strRef>
          </c:tx>
          <c:spPr>
            <a:ln w="25400">
              <a:solidFill>
                <a:srgbClr val="00B050"/>
              </a:solidFill>
              <a:prstDash val="sysDash"/>
            </a:ln>
          </c:spPr>
          <c:marker>
            <c:symbol val="none"/>
          </c:marker>
          <c:xVal>
            <c:numRef>
              <c:f>Comparison!$P$11:$P$180</c:f>
              <c:numCache>
                <c:formatCode>General</c:formatCode>
                <c:ptCount val="170"/>
                <c:pt idx="0">
                  <c:v>9.9999999999999995E-7</c:v>
                </c:pt>
                <c:pt idx="1">
                  <c:v>1.5E-6</c:v>
                </c:pt>
                <c:pt idx="2">
                  <c:v>1.9999999999999999E-6</c:v>
                </c:pt>
                <c:pt idx="3">
                  <c:v>2.5000000000000002E-6</c:v>
                </c:pt>
                <c:pt idx="4">
                  <c:v>3.0000000000000001E-6</c:v>
                </c:pt>
                <c:pt idx="5">
                  <c:v>3.4999999999999999E-6</c:v>
                </c:pt>
                <c:pt idx="6">
                  <c:v>3.9999999999999998E-6</c:v>
                </c:pt>
                <c:pt idx="7">
                  <c:v>4.5000000000000001E-6</c:v>
                </c:pt>
                <c:pt idx="8">
                  <c:v>5.0000000000000004E-6</c:v>
                </c:pt>
                <c:pt idx="9">
                  <c:v>5.4999999999999999E-6</c:v>
                </c:pt>
                <c:pt idx="10">
                  <c:v>6.0000000000000002E-6</c:v>
                </c:pt>
                <c:pt idx="11">
                  <c:v>6.4999999999999996E-6</c:v>
                </c:pt>
                <c:pt idx="12">
                  <c:v>6.9999999999999999E-6</c:v>
                </c:pt>
                <c:pt idx="13">
                  <c:v>7.5000000000000002E-6</c:v>
                </c:pt>
                <c:pt idx="14">
                  <c:v>7.9999999999999996E-6</c:v>
                </c:pt>
                <c:pt idx="15">
                  <c:v>8.4999999999999999E-6</c:v>
                </c:pt>
                <c:pt idx="16">
                  <c:v>9.0000000000000002E-6</c:v>
                </c:pt>
                <c:pt idx="17">
                  <c:v>9.5000000000000005E-6</c:v>
                </c:pt>
                <c:pt idx="18">
                  <c:v>9.9999999999999991E-6</c:v>
                </c:pt>
                <c:pt idx="19">
                  <c:v>1.5E-5</c:v>
                </c:pt>
                <c:pt idx="20">
                  <c:v>1.9999999999999998E-5</c:v>
                </c:pt>
                <c:pt idx="21">
                  <c:v>2.5000000000000001E-5</c:v>
                </c:pt>
                <c:pt idx="22">
                  <c:v>3.0000000000000001E-5</c:v>
                </c:pt>
                <c:pt idx="23">
                  <c:v>3.4999999999999997E-5</c:v>
                </c:pt>
                <c:pt idx="24">
                  <c:v>3.9999999999999996E-5</c:v>
                </c:pt>
                <c:pt idx="25">
                  <c:v>4.5000000000000003E-5</c:v>
                </c:pt>
                <c:pt idx="26">
                  <c:v>5.0000000000000002E-5</c:v>
                </c:pt>
                <c:pt idx="27">
                  <c:v>5.4999999999999995E-5</c:v>
                </c:pt>
                <c:pt idx="28">
                  <c:v>6.0000000000000002E-5</c:v>
                </c:pt>
                <c:pt idx="29">
                  <c:v>6.4999999999999994E-5</c:v>
                </c:pt>
                <c:pt idx="30">
                  <c:v>6.9999999999999994E-5</c:v>
                </c:pt>
                <c:pt idx="31">
                  <c:v>7.5000000000000007E-5</c:v>
                </c:pt>
                <c:pt idx="32">
                  <c:v>7.9999999999999993E-5</c:v>
                </c:pt>
                <c:pt idx="33">
                  <c:v>8.5000000000000006E-5</c:v>
                </c:pt>
                <c:pt idx="34">
                  <c:v>9.0000000000000006E-5</c:v>
                </c:pt>
                <c:pt idx="35">
                  <c:v>9.5000000000000005E-5</c:v>
                </c:pt>
                <c:pt idx="36">
                  <c:v>9.9999999999999991E-5</c:v>
                </c:pt>
                <c:pt idx="37">
                  <c:v>1.5000000000000001E-4</c:v>
                </c:pt>
                <c:pt idx="38">
                  <c:v>1.9999999999999998E-4</c:v>
                </c:pt>
                <c:pt idx="39">
                  <c:v>2.5000000000000001E-4</c:v>
                </c:pt>
                <c:pt idx="40">
                  <c:v>3.0000000000000003E-4</c:v>
                </c:pt>
                <c:pt idx="41">
                  <c:v>3.4999999999999994E-4</c:v>
                </c:pt>
                <c:pt idx="42">
                  <c:v>3.9999999999999996E-4</c:v>
                </c:pt>
                <c:pt idx="43">
                  <c:v>4.5000000000000004E-4</c:v>
                </c:pt>
                <c:pt idx="44">
                  <c:v>5.0000000000000001E-4</c:v>
                </c:pt>
                <c:pt idx="45">
                  <c:v>5.4999999999999992E-4</c:v>
                </c:pt>
                <c:pt idx="46">
                  <c:v>6.0000000000000006E-4</c:v>
                </c:pt>
                <c:pt idx="47">
                  <c:v>6.4999999999999997E-4</c:v>
                </c:pt>
                <c:pt idx="48">
                  <c:v>6.9999999999999988E-4</c:v>
                </c:pt>
                <c:pt idx="49">
                  <c:v>7.5000000000000002E-4</c:v>
                </c:pt>
                <c:pt idx="50">
                  <c:v>7.9999999999999993E-4</c:v>
                </c:pt>
                <c:pt idx="51">
                  <c:v>8.5000000000000006E-4</c:v>
                </c:pt>
                <c:pt idx="52">
                  <c:v>9.0000000000000008E-4</c:v>
                </c:pt>
                <c:pt idx="53">
                  <c:v>9.5000000000000011E-4</c:v>
                </c:pt>
                <c:pt idx="54">
                  <c:v>1E-3</c:v>
                </c:pt>
                <c:pt idx="55">
                  <c:v>1.5E-3</c:v>
                </c:pt>
                <c:pt idx="56">
                  <c:v>2E-3</c:v>
                </c:pt>
                <c:pt idx="57">
                  <c:v>2.5000000000000001E-3</c:v>
                </c:pt>
                <c:pt idx="58">
                  <c:v>3.0000000000000001E-3</c:v>
                </c:pt>
                <c:pt idx="59">
                  <c:v>3.4999999999999996E-3</c:v>
                </c:pt>
                <c:pt idx="60">
                  <c:v>4.0000000000000001E-3</c:v>
                </c:pt>
                <c:pt idx="61">
                  <c:v>4.5000000000000005E-3</c:v>
                </c:pt>
                <c:pt idx="62">
                  <c:v>5.0000000000000001E-3</c:v>
                </c:pt>
                <c:pt idx="63">
                  <c:v>5.4999999999999997E-3</c:v>
                </c:pt>
                <c:pt idx="64">
                  <c:v>6.0000000000000001E-3</c:v>
                </c:pt>
                <c:pt idx="65">
                  <c:v>6.4999999999999997E-3</c:v>
                </c:pt>
                <c:pt idx="66">
                  <c:v>6.9999999999999993E-3</c:v>
                </c:pt>
                <c:pt idx="67">
                  <c:v>7.4999999999999997E-3</c:v>
                </c:pt>
                <c:pt idx="68">
                  <c:v>8.0000000000000002E-3</c:v>
                </c:pt>
                <c:pt idx="69">
                  <c:v>8.5000000000000006E-3</c:v>
                </c:pt>
                <c:pt idx="70">
                  <c:v>9.0000000000000011E-3</c:v>
                </c:pt>
                <c:pt idx="71">
                  <c:v>9.5000000000000015E-3</c:v>
                </c:pt>
                <c:pt idx="72">
                  <c:v>0.01</c:v>
                </c:pt>
                <c:pt idx="73">
                  <c:v>1.4999999999999999E-2</c:v>
                </c:pt>
                <c:pt idx="74">
                  <c:v>0.02</c:v>
                </c:pt>
                <c:pt idx="75">
                  <c:v>2.5000000000000001E-2</c:v>
                </c:pt>
                <c:pt idx="76">
                  <c:v>0.03</c:v>
                </c:pt>
                <c:pt idx="77">
                  <c:v>3.4999999999999996E-2</c:v>
                </c:pt>
                <c:pt idx="78">
                  <c:v>0.04</c:v>
                </c:pt>
                <c:pt idx="79">
                  <c:v>4.5000000000000005E-2</c:v>
                </c:pt>
                <c:pt idx="80">
                  <c:v>0.05</c:v>
                </c:pt>
                <c:pt idx="81">
                  <c:v>5.4999999999999993E-2</c:v>
                </c:pt>
                <c:pt idx="82">
                  <c:v>0.06</c:v>
                </c:pt>
                <c:pt idx="83">
                  <c:v>6.5000000000000002E-2</c:v>
                </c:pt>
                <c:pt idx="84">
                  <c:v>6.9999999999999993E-2</c:v>
                </c:pt>
                <c:pt idx="85">
                  <c:v>7.4999999999999997E-2</c:v>
                </c:pt>
                <c:pt idx="86">
                  <c:v>0.08</c:v>
                </c:pt>
                <c:pt idx="87">
                  <c:v>8.5000000000000006E-2</c:v>
                </c:pt>
                <c:pt idx="88">
                  <c:v>9.0000000000000011E-2</c:v>
                </c:pt>
                <c:pt idx="89">
                  <c:v>9.5000000000000015E-2</c:v>
                </c:pt>
                <c:pt idx="90">
                  <c:v>0.1</c:v>
                </c:pt>
                <c:pt idx="91">
                  <c:v>0.15</c:v>
                </c:pt>
                <c:pt idx="92">
                  <c:v>0.2</c:v>
                </c:pt>
                <c:pt idx="93">
                  <c:v>0.25</c:v>
                </c:pt>
                <c:pt idx="94">
                  <c:v>0.3</c:v>
                </c:pt>
                <c:pt idx="95">
                  <c:v>0.35</c:v>
                </c:pt>
                <c:pt idx="96">
                  <c:v>0.4</c:v>
                </c:pt>
                <c:pt idx="97">
                  <c:v>0.45000000000000007</c:v>
                </c:pt>
                <c:pt idx="98">
                  <c:v>0.5</c:v>
                </c:pt>
                <c:pt idx="99">
                  <c:v>0.54999999999999993</c:v>
                </c:pt>
                <c:pt idx="100">
                  <c:v>0.6</c:v>
                </c:pt>
                <c:pt idx="101">
                  <c:v>0.65</c:v>
                </c:pt>
                <c:pt idx="102">
                  <c:v>0.7</c:v>
                </c:pt>
                <c:pt idx="103">
                  <c:v>0.75</c:v>
                </c:pt>
                <c:pt idx="104">
                  <c:v>0.8</c:v>
                </c:pt>
                <c:pt idx="105">
                  <c:v>0.85000000000000009</c:v>
                </c:pt>
                <c:pt idx="106">
                  <c:v>0.90000000000000013</c:v>
                </c:pt>
                <c:pt idx="107">
                  <c:v>0.95000000000000018</c:v>
                </c:pt>
                <c:pt idx="108">
                  <c:v>1</c:v>
                </c:pt>
                <c:pt idx="109">
                  <c:v>1.5</c:v>
                </c:pt>
                <c:pt idx="110">
                  <c:v>2</c:v>
                </c:pt>
                <c:pt idx="111">
                  <c:v>2.5</c:v>
                </c:pt>
                <c:pt idx="112">
                  <c:v>3</c:v>
                </c:pt>
                <c:pt idx="113">
                  <c:v>3.5</c:v>
                </c:pt>
                <c:pt idx="114">
                  <c:v>4</c:v>
                </c:pt>
                <c:pt idx="115">
                  <c:v>4.5000000000000009</c:v>
                </c:pt>
                <c:pt idx="116">
                  <c:v>5</c:v>
                </c:pt>
                <c:pt idx="117">
                  <c:v>5.4999999999999991</c:v>
                </c:pt>
                <c:pt idx="118">
                  <c:v>6</c:v>
                </c:pt>
                <c:pt idx="119">
                  <c:v>6.5</c:v>
                </c:pt>
                <c:pt idx="120">
                  <c:v>7</c:v>
                </c:pt>
                <c:pt idx="121">
                  <c:v>7.5</c:v>
                </c:pt>
                <c:pt idx="122">
                  <c:v>8</c:v>
                </c:pt>
                <c:pt idx="123">
                  <c:v>8.5</c:v>
                </c:pt>
                <c:pt idx="124">
                  <c:v>9.0000000000000018</c:v>
                </c:pt>
                <c:pt idx="125">
                  <c:v>9.5000000000000018</c:v>
                </c:pt>
                <c:pt idx="126">
                  <c:v>10</c:v>
                </c:pt>
                <c:pt idx="127">
                  <c:v>15</c:v>
                </c:pt>
                <c:pt idx="128">
                  <c:v>20</c:v>
                </c:pt>
                <c:pt idx="129">
                  <c:v>25</c:v>
                </c:pt>
                <c:pt idx="130">
                  <c:v>30</c:v>
                </c:pt>
                <c:pt idx="131">
                  <c:v>35</c:v>
                </c:pt>
                <c:pt idx="132">
                  <c:v>40</c:v>
                </c:pt>
                <c:pt idx="133">
                  <c:v>45.000000000000007</c:v>
                </c:pt>
                <c:pt idx="134">
                  <c:v>50</c:v>
                </c:pt>
                <c:pt idx="135">
                  <c:v>54.999999999999993</c:v>
                </c:pt>
                <c:pt idx="136">
                  <c:v>60</c:v>
                </c:pt>
                <c:pt idx="137">
                  <c:v>65</c:v>
                </c:pt>
                <c:pt idx="138">
                  <c:v>70</c:v>
                </c:pt>
                <c:pt idx="139">
                  <c:v>75</c:v>
                </c:pt>
                <c:pt idx="140">
                  <c:v>80</c:v>
                </c:pt>
                <c:pt idx="141">
                  <c:v>85</c:v>
                </c:pt>
                <c:pt idx="142">
                  <c:v>90.000000000000014</c:v>
                </c:pt>
                <c:pt idx="143">
                  <c:v>95.000000000000014</c:v>
                </c:pt>
                <c:pt idx="144">
                  <c:v>100</c:v>
                </c:pt>
                <c:pt idx="145">
                  <c:v>150</c:v>
                </c:pt>
                <c:pt idx="146">
                  <c:v>200</c:v>
                </c:pt>
                <c:pt idx="147">
                  <c:v>250</c:v>
                </c:pt>
                <c:pt idx="148">
                  <c:v>300</c:v>
                </c:pt>
                <c:pt idx="149">
                  <c:v>350</c:v>
                </c:pt>
                <c:pt idx="150">
                  <c:v>400</c:v>
                </c:pt>
                <c:pt idx="151">
                  <c:v>450.00000000000006</c:v>
                </c:pt>
                <c:pt idx="152">
                  <c:v>500</c:v>
                </c:pt>
                <c:pt idx="153">
                  <c:v>549.99999999999989</c:v>
                </c:pt>
                <c:pt idx="154">
                  <c:v>600</c:v>
                </c:pt>
                <c:pt idx="155">
                  <c:v>650</c:v>
                </c:pt>
                <c:pt idx="156">
                  <c:v>700</c:v>
                </c:pt>
                <c:pt idx="157">
                  <c:v>750</c:v>
                </c:pt>
                <c:pt idx="158">
                  <c:v>800</c:v>
                </c:pt>
                <c:pt idx="159">
                  <c:v>850</c:v>
                </c:pt>
                <c:pt idx="160">
                  <c:v>900.00000000000011</c:v>
                </c:pt>
                <c:pt idx="161">
                  <c:v>950.00000000000011</c:v>
                </c:pt>
                <c:pt idx="162">
                  <c:v>1000</c:v>
                </c:pt>
                <c:pt idx="163">
                  <c:v>1500</c:v>
                </c:pt>
                <c:pt idx="164">
                  <c:v>2000</c:v>
                </c:pt>
                <c:pt idx="165">
                  <c:v>2500</c:v>
                </c:pt>
                <c:pt idx="166">
                  <c:v>3000</c:v>
                </c:pt>
                <c:pt idx="167">
                  <c:v>3500</c:v>
                </c:pt>
                <c:pt idx="168">
                  <c:v>4000</c:v>
                </c:pt>
                <c:pt idx="169">
                  <c:v>4500.0000000000009</c:v>
                </c:pt>
              </c:numCache>
            </c:numRef>
          </c:xVal>
          <c:yVal>
            <c:numRef>
              <c:f>Comparison!$CM$11:$CM$180</c:f>
            </c:numRef>
          </c:yVal>
          <c:smooth val="1"/>
          <c:extLst>
            <c:ext xmlns:c16="http://schemas.microsoft.com/office/drawing/2014/chart" uri="{C3380CC4-5D6E-409C-BE32-E72D297353CC}">
              <c16:uniqueId val="{00000009-D749-4CED-ABCA-C97B8EEF335E}"/>
            </c:ext>
          </c:extLst>
        </c:ser>
        <c:dLbls>
          <c:showLegendKey val="0"/>
          <c:showVal val="0"/>
          <c:showCatName val="0"/>
          <c:showSerName val="0"/>
          <c:showPercent val="0"/>
          <c:showBubbleSize val="0"/>
        </c:dLbls>
        <c:axId val="93029120"/>
        <c:axId val="93031040"/>
        <c:extLst>
          <c:ext xmlns:c15="http://schemas.microsoft.com/office/drawing/2012/chart" uri="{02D57815-91ED-43cb-92C2-25804820EDAC}">
            <c15:filteredScatterSeries>
              <c15:ser>
                <c:idx val="1"/>
                <c:order val="1"/>
                <c:tx>
                  <c:strRef>
                    <c:extLst>
                      <c:ext uri="{02D57815-91ED-43cb-92C2-25804820EDAC}">
                        <c15:formulaRef>
                          <c15:sqref>Comparison!$Y$6</c15:sqref>
                        </c15:formulaRef>
                      </c:ext>
                    </c:extLst>
                    <c:strCache>
                      <c:ptCount val="1"/>
                      <c:pt idx="0">
                        <c:v>INA2180A4 (High side) @ 60 °C</c:v>
                      </c:pt>
                    </c:strCache>
                  </c:strRef>
                </c:tx>
                <c:spPr>
                  <a:ln w="25400">
                    <a:solidFill>
                      <a:srgbClr val="FF0000"/>
                    </a:solidFill>
                    <a:prstDash val="sysDash"/>
                  </a:ln>
                </c:spPr>
                <c:marker>
                  <c:symbol val="none"/>
                </c:marker>
                <c:xVal>
                  <c:numRef>
                    <c:extLst>
                      <c:ext uri="{02D57815-91ED-43cb-92C2-25804820EDAC}">
                        <c15:formulaRef>
                          <c15:sqref>Comparison!$P$11:$P$180</c15:sqref>
                        </c15:formulaRef>
                      </c:ext>
                    </c:extLst>
                    <c:numCache>
                      <c:formatCode>General</c:formatCode>
                      <c:ptCount val="170"/>
                      <c:pt idx="0">
                        <c:v>9.9999999999999995E-7</c:v>
                      </c:pt>
                      <c:pt idx="1">
                        <c:v>1.5E-6</c:v>
                      </c:pt>
                      <c:pt idx="2">
                        <c:v>1.9999999999999999E-6</c:v>
                      </c:pt>
                      <c:pt idx="3">
                        <c:v>2.5000000000000002E-6</c:v>
                      </c:pt>
                      <c:pt idx="4">
                        <c:v>3.0000000000000001E-6</c:v>
                      </c:pt>
                      <c:pt idx="5">
                        <c:v>3.4999999999999999E-6</c:v>
                      </c:pt>
                      <c:pt idx="6">
                        <c:v>3.9999999999999998E-6</c:v>
                      </c:pt>
                      <c:pt idx="7">
                        <c:v>4.5000000000000001E-6</c:v>
                      </c:pt>
                      <c:pt idx="8">
                        <c:v>5.0000000000000004E-6</c:v>
                      </c:pt>
                      <c:pt idx="9">
                        <c:v>5.4999999999999999E-6</c:v>
                      </c:pt>
                      <c:pt idx="10">
                        <c:v>6.0000000000000002E-6</c:v>
                      </c:pt>
                      <c:pt idx="11">
                        <c:v>6.4999999999999996E-6</c:v>
                      </c:pt>
                      <c:pt idx="12">
                        <c:v>6.9999999999999999E-6</c:v>
                      </c:pt>
                      <c:pt idx="13">
                        <c:v>7.5000000000000002E-6</c:v>
                      </c:pt>
                      <c:pt idx="14">
                        <c:v>7.9999999999999996E-6</c:v>
                      </c:pt>
                      <c:pt idx="15">
                        <c:v>8.4999999999999999E-6</c:v>
                      </c:pt>
                      <c:pt idx="16">
                        <c:v>9.0000000000000002E-6</c:v>
                      </c:pt>
                      <c:pt idx="17">
                        <c:v>9.5000000000000005E-6</c:v>
                      </c:pt>
                      <c:pt idx="18">
                        <c:v>9.9999999999999991E-6</c:v>
                      </c:pt>
                      <c:pt idx="19">
                        <c:v>1.5E-5</c:v>
                      </c:pt>
                      <c:pt idx="20">
                        <c:v>1.9999999999999998E-5</c:v>
                      </c:pt>
                      <c:pt idx="21">
                        <c:v>2.5000000000000001E-5</c:v>
                      </c:pt>
                      <c:pt idx="22">
                        <c:v>3.0000000000000001E-5</c:v>
                      </c:pt>
                      <c:pt idx="23">
                        <c:v>3.4999999999999997E-5</c:v>
                      </c:pt>
                      <c:pt idx="24">
                        <c:v>3.9999999999999996E-5</c:v>
                      </c:pt>
                      <c:pt idx="25">
                        <c:v>4.5000000000000003E-5</c:v>
                      </c:pt>
                      <c:pt idx="26">
                        <c:v>5.0000000000000002E-5</c:v>
                      </c:pt>
                      <c:pt idx="27">
                        <c:v>5.4999999999999995E-5</c:v>
                      </c:pt>
                      <c:pt idx="28">
                        <c:v>6.0000000000000002E-5</c:v>
                      </c:pt>
                      <c:pt idx="29">
                        <c:v>6.4999999999999994E-5</c:v>
                      </c:pt>
                      <c:pt idx="30">
                        <c:v>6.9999999999999994E-5</c:v>
                      </c:pt>
                      <c:pt idx="31">
                        <c:v>7.5000000000000007E-5</c:v>
                      </c:pt>
                      <c:pt idx="32">
                        <c:v>7.9999999999999993E-5</c:v>
                      </c:pt>
                      <c:pt idx="33">
                        <c:v>8.5000000000000006E-5</c:v>
                      </c:pt>
                      <c:pt idx="34">
                        <c:v>9.0000000000000006E-5</c:v>
                      </c:pt>
                      <c:pt idx="35">
                        <c:v>9.5000000000000005E-5</c:v>
                      </c:pt>
                      <c:pt idx="36">
                        <c:v>9.9999999999999991E-5</c:v>
                      </c:pt>
                      <c:pt idx="37">
                        <c:v>1.5000000000000001E-4</c:v>
                      </c:pt>
                      <c:pt idx="38">
                        <c:v>1.9999999999999998E-4</c:v>
                      </c:pt>
                      <c:pt idx="39">
                        <c:v>2.5000000000000001E-4</c:v>
                      </c:pt>
                      <c:pt idx="40">
                        <c:v>3.0000000000000003E-4</c:v>
                      </c:pt>
                      <c:pt idx="41">
                        <c:v>3.4999999999999994E-4</c:v>
                      </c:pt>
                      <c:pt idx="42">
                        <c:v>3.9999999999999996E-4</c:v>
                      </c:pt>
                      <c:pt idx="43">
                        <c:v>4.5000000000000004E-4</c:v>
                      </c:pt>
                      <c:pt idx="44">
                        <c:v>5.0000000000000001E-4</c:v>
                      </c:pt>
                      <c:pt idx="45">
                        <c:v>5.4999999999999992E-4</c:v>
                      </c:pt>
                      <c:pt idx="46">
                        <c:v>6.0000000000000006E-4</c:v>
                      </c:pt>
                      <c:pt idx="47">
                        <c:v>6.4999999999999997E-4</c:v>
                      </c:pt>
                      <c:pt idx="48">
                        <c:v>6.9999999999999988E-4</c:v>
                      </c:pt>
                      <c:pt idx="49">
                        <c:v>7.5000000000000002E-4</c:v>
                      </c:pt>
                      <c:pt idx="50">
                        <c:v>7.9999999999999993E-4</c:v>
                      </c:pt>
                      <c:pt idx="51">
                        <c:v>8.5000000000000006E-4</c:v>
                      </c:pt>
                      <c:pt idx="52">
                        <c:v>9.0000000000000008E-4</c:v>
                      </c:pt>
                      <c:pt idx="53">
                        <c:v>9.5000000000000011E-4</c:v>
                      </c:pt>
                      <c:pt idx="54">
                        <c:v>1E-3</c:v>
                      </c:pt>
                      <c:pt idx="55">
                        <c:v>1.5E-3</c:v>
                      </c:pt>
                      <c:pt idx="56">
                        <c:v>2E-3</c:v>
                      </c:pt>
                      <c:pt idx="57">
                        <c:v>2.5000000000000001E-3</c:v>
                      </c:pt>
                      <c:pt idx="58">
                        <c:v>3.0000000000000001E-3</c:v>
                      </c:pt>
                      <c:pt idx="59">
                        <c:v>3.4999999999999996E-3</c:v>
                      </c:pt>
                      <c:pt idx="60">
                        <c:v>4.0000000000000001E-3</c:v>
                      </c:pt>
                      <c:pt idx="61">
                        <c:v>4.5000000000000005E-3</c:v>
                      </c:pt>
                      <c:pt idx="62">
                        <c:v>5.0000000000000001E-3</c:v>
                      </c:pt>
                      <c:pt idx="63">
                        <c:v>5.4999999999999997E-3</c:v>
                      </c:pt>
                      <c:pt idx="64">
                        <c:v>6.0000000000000001E-3</c:v>
                      </c:pt>
                      <c:pt idx="65">
                        <c:v>6.4999999999999997E-3</c:v>
                      </c:pt>
                      <c:pt idx="66">
                        <c:v>6.9999999999999993E-3</c:v>
                      </c:pt>
                      <c:pt idx="67">
                        <c:v>7.4999999999999997E-3</c:v>
                      </c:pt>
                      <c:pt idx="68">
                        <c:v>8.0000000000000002E-3</c:v>
                      </c:pt>
                      <c:pt idx="69">
                        <c:v>8.5000000000000006E-3</c:v>
                      </c:pt>
                      <c:pt idx="70">
                        <c:v>9.0000000000000011E-3</c:v>
                      </c:pt>
                      <c:pt idx="71">
                        <c:v>9.5000000000000015E-3</c:v>
                      </c:pt>
                      <c:pt idx="72">
                        <c:v>0.01</c:v>
                      </c:pt>
                      <c:pt idx="73">
                        <c:v>1.4999999999999999E-2</c:v>
                      </c:pt>
                      <c:pt idx="74">
                        <c:v>0.02</c:v>
                      </c:pt>
                      <c:pt idx="75">
                        <c:v>2.5000000000000001E-2</c:v>
                      </c:pt>
                      <c:pt idx="76">
                        <c:v>0.03</c:v>
                      </c:pt>
                      <c:pt idx="77">
                        <c:v>3.4999999999999996E-2</c:v>
                      </c:pt>
                      <c:pt idx="78">
                        <c:v>0.04</c:v>
                      </c:pt>
                      <c:pt idx="79">
                        <c:v>4.5000000000000005E-2</c:v>
                      </c:pt>
                      <c:pt idx="80">
                        <c:v>0.05</c:v>
                      </c:pt>
                      <c:pt idx="81">
                        <c:v>5.4999999999999993E-2</c:v>
                      </c:pt>
                      <c:pt idx="82">
                        <c:v>0.06</c:v>
                      </c:pt>
                      <c:pt idx="83">
                        <c:v>6.5000000000000002E-2</c:v>
                      </c:pt>
                      <c:pt idx="84">
                        <c:v>6.9999999999999993E-2</c:v>
                      </c:pt>
                      <c:pt idx="85">
                        <c:v>7.4999999999999997E-2</c:v>
                      </c:pt>
                      <c:pt idx="86">
                        <c:v>0.08</c:v>
                      </c:pt>
                      <c:pt idx="87">
                        <c:v>8.5000000000000006E-2</c:v>
                      </c:pt>
                      <c:pt idx="88">
                        <c:v>9.0000000000000011E-2</c:v>
                      </c:pt>
                      <c:pt idx="89">
                        <c:v>9.5000000000000015E-2</c:v>
                      </c:pt>
                      <c:pt idx="90">
                        <c:v>0.1</c:v>
                      </c:pt>
                      <c:pt idx="91">
                        <c:v>0.15</c:v>
                      </c:pt>
                      <c:pt idx="92">
                        <c:v>0.2</c:v>
                      </c:pt>
                      <c:pt idx="93">
                        <c:v>0.25</c:v>
                      </c:pt>
                      <c:pt idx="94">
                        <c:v>0.3</c:v>
                      </c:pt>
                      <c:pt idx="95">
                        <c:v>0.35</c:v>
                      </c:pt>
                      <c:pt idx="96">
                        <c:v>0.4</c:v>
                      </c:pt>
                      <c:pt idx="97">
                        <c:v>0.45000000000000007</c:v>
                      </c:pt>
                      <c:pt idx="98">
                        <c:v>0.5</c:v>
                      </c:pt>
                      <c:pt idx="99">
                        <c:v>0.54999999999999993</c:v>
                      </c:pt>
                      <c:pt idx="100">
                        <c:v>0.6</c:v>
                      </c:pt>
                      <c:pt idx="101">
                        <c:v>0.65</c:v>
                      </c:pt>
                      <c:pt idx="102">
                        <c:v>0.7</c:v>
                      </c:pt>
                      <c:pt idx="103">
                        <c:v>0.75</c:v>
                      </c:pt>
                      <c:pt idx="104">
                        <c:v>0.8</c:v>
                      </c:pt>
                      <c:pt idx="105">
                        <c:v>0.85000000000000009</c:v>
                      </c:pt>
                      <c:pt idx="106">
                        <c:v>0.90000000000000013</c:v>
                      </c:pt>
                      <c:pt idx="107">
                        <c:v>0.95000000000000018</c:v>
                      </c:pt>
                      <c:pt idx="108">
                        <c:v>1</c:v>
                      </c:pt>
                      <c:pt idx="109">
                        <c:v>1.5</c:v>
                      </c:pt>
                      <c:pt idx="110">
                        <c:v>2</c:v>
                      </c:pt>
                      <c:pt idx="111">
                        <c:v>2.5</c:v>
                      </c:pt>
                      <c:pt idx="112">
                        <c:v>3</c:v>
                      </c:pt>
                      <c:pt idx="113">
                        <c:v>3.5</c:v>
                      </c:pt>
                      <c:pt idx="114">
                        <c:v>4</c:v>
                      </c:pt>
                      <c:pt idx="115">
                        <c:v>4.5000000000000009</c:v>
                      </c:pt>
                      <c:pt idx="116">
                        <c:v>5</c:v>
                      </c:pt>
                      <c:pt idx="117">
                        <c:v>5.4999999999999991</c:v>
                      </c:pt>
                      <c:pt idx="118">
                        <c:v>6</c:v>
                      </c:pt>
                      <c:pt idx="119">
                        <c:v>6.5</c:v>
                      </c:pt>
                      <c:pt idx="120">
                        <c:v>7</c:v>
                      </c:pt>
                      <c:pt idx="121">
                        <c:v>7.5</c:v>
                      </c:pt>
                      <c:pt idx="122">
                        <c:v>8</c:v>
                      </c:pt>
                      <c:pt idx="123">
                        <c:v>8.5</c:v>
                      </c:pt>
                      <c:pt idx="124">
                        <c:v>9.0000000000000018</c:v>
                      </c:pt>
                      <c:pt idx="125">
                        <c:v>9.5000000000000018</c:v>
                      </c:pt>
                      <c:pt idx="126">
                        <c:v>10</c:v>
                      </c:pt>
                      <c:pt idx="127">
                        <c:v>15</c:v>
                      </c:pt>
                      <c:pt idx="128">
                        <c:v>20</c:v>
                      </c:pt>
                      <c:pt idx="129">
                        <c:v>25</c:v>
                      </c:pt>
                      <c:pt idx="130">
                        <c:v>30</c:v>
                      </c:pt>
                      <c:pt idx="131">
                        <c:v>35</c:v>
                      </c:pt>
                      <c:pt idx="132">
                        <c:v>40</c:v>
                      </c:pt>
                      <c:pt idx="133">
                        <c:v>45.000000000000007</c:v>
                      </c:pt>
                      <c:pt idx="134">
                        <c:v>50</c:v>
                      </c:pt>
                      <c:pt idx="135">
                        <c:v>54.999999999999993</c:v>
                      </c:pt>
                      <c:pt idx="136">
                        <c:v>60</c:v>
                      </c:pt>
                      <c:pt idx="137">
                        <c:v>65</c:v>
                      </c:pt>
                      <c:pt idx="138">
                        <c:v>70</c:v>
                      </c:pt>
                      <c:pt idx="139">
                        <c:v>75</c:v>
                      </c:pt>
                      <c:pt idx="140">
                        <c:v>80</c:v>
                      </c:pt>
                      <c:pt idx="141">
                        <c:v>85</c:v>
                      </c:pt>
                      <c:pt idx="142">
                        <c:v>90.000000000000014</c:v>
                      </c:pt>
                      <c:pt idx="143">
                        <c:v>95.000000000000014</c:v>
                      </c:pt>
                      <c:pt idx="144">
                        <c:v>100</c:v>
                      </c:pt>
                      <c:pt idx="145">
                        <c:v>150</c:v>
                      </c:pt>
                      <c:pt idx="146">
                        <c:v>200</c:v>
                      </c:pt>
                      <c:pt idx="147">
                        <c:v>250</c:v>
                      </c:pt>
                      <c:pt idx="148">
                        <c:v>300</c:v>
                      </c:pt>
                      <c:pt idx="149">
                        <c:v>350</c:v>
                      </c:pt>
                      <c:pt idx="150">
                        <c:v>400</c:v>
                      </c:pt>
                      <c:pt idx="151">
                        <c:v>450.00000000000006</c:v>
                      </c:pt>
                      <c:pt idx="152">
                        <c:v>500</c:v>
                      </c:pt>
                      <c:pt idx="153">
                        <c:v>549.99999999999989</c:v>
                      </c:pt>
                      <c:pt idx="154">
                        <c:v>600</c:v>
                      </c:pt>
                      <c:pt idx="155">
                        <c:v>650</c:v>
                      </c:pt>
                      <c:pt idx="156">
                        <c:v>700</c:v>
                      </c:pt>
                      <c:pt idx="157">
                        <c:v>750</c:v>
                      </c:pt>
                      <c:pt idx="158">
                        <c:v>800</c:v>
                      </c:pt>
                      <c:pt idx="159">
                        <c:v>850</c:v>
                      </c:pt>
                      <c:pt idx="160">
                        <c:v>900.00000000000011</c:v>
                      </c:pt>
                      <c:pt idx="161">
                        <c:v>950.00000000000011</c:v>
                      </c:pt>
                      <c:pt idx="162">
                        <c:v>1000</c:v>
                      </c:pt>
                      <c:pt idx="163">
                        <c:v>1500</c:v>
                      </c:pt>
                      <c:pt idx="164">
                        <c:v>2000</c:v>
                      </c:pt>
                      <c:pt idx="165">
                        <c:v>2500</c:v>
                      </c:pt>
                      <c:pt idx="166">
                        <c:v>3000</c:v>
                      </c:pt>
                      <c:pt idx="167">
                        <c:v>3500</c:v>
                      </c:pt>
                      <c:pt idx="168">
                        <c:v>4000</c:v>
                      </c:pt>
                      <c:pt idx="169">
                        <c:v>4500.0000000000009</c:v>
                      </c:pt>
                    </c:numCache>
                  </c:numRef>
                </c:xVal>
                <c:yVal>
                  <c:numRef>
                    <c:extLst>
                      <c:ext uri="{02D57815-91ED-43cb-92C2-25804820EDAC}">
                        <c15:formulaRef>
                          <c15:sqref>Comparison!$AE$11:$AE$180</c15:sqref>
                        </c15:formulaRef>
                      </c:ext>
                    </c:extLst>
                    <c:numCache>
                      <c:formatCode>0.00%</c:formatCode>
                      <c:ptCount val="170"/>
                      <c:pt idx="0">
                        <c:v>107800.02968459825</c:v>
                      </c:pt>
                      <c:pt idx="1">
                        <c:v>71866.68645639981</c:v>
                      </c:pt>
                      <c:pt idx="2">
                        <c:v>53900.014842300916</c:v>
                      </c:pt>
                      <c:pt idx="3">
                        <c:v>43120.011873841802</c:v>
                      </c:pt>
                      <c:pt idx="4">
                        <c:v>35933.34322820259</c:v>
                      </c:pt>
                      <c:pt idx="5">
                        <c:v>30800.008481317629</c:v>
                      </c:pt>
                      <c:pt idx="6">
                        <c:v>26950.007421154049</c:v>
                      </c:pt>
                      <c:pt idx="7">
                        <c:v>23955.562152138053</c:v>
                      </c:pt>
                      <c:pt idx="8">
                        <c:v>21560.005936925387</c:v>
                      </c:pt>
                      <c:pt idx="9">
                        <c:v>19600.005397206041</c:v>
                      </c:pt>
                      <c:pt idx="10">
                        <c:v>17966.671614106683</c:v>
                      </c:pt>
                      <c:pt idx="11">
                        <c:v>16584.619951484241</c:v>
                      </c:pt>
                      <c:pt idx="12">
                        <c:v>15400.004240665095</c:v>
                      </c:pt>
                      <c:pt idx="13">
                        <c:v>14373.337291288575</c:v>
                      </c:pt>
                      <c:pt idx="14">
                        <c:v>13475.003710584202</c:v>
                      </c:pt>
                      <c:pt idx="15">
                        <c:v>12682.356433492172</c:v>
                      </c:pt>
                      <c:pt idx="16">
                        <c:v>11977.781076077101</c:v>
                      </c:pt>
                      <c:pt idx="17">
                        <c:v>11347.37154575842</c:v>
                      </c:pt>
                      <c:pt idx="18">
                        <c:v>10780.002968471666</c:v>
                      </c:pt>
                      <c:pt idx="19">
                        <c:v>7186.6686456577472</c:v>
                      </c:pt>
                      <c:pt idx="20">
                        <c:v>5390.0014842537785</c:v>
                      </c:pt>
                      <c:pt idx="21">
                        <c:v>4312.0011874137899</c:v>
                      </c:pt>
                      <c:pt idx="22">
                        <c:v>3593.3343228557924</c:v>
                      </c:pt>
                      <c:pt idx="23">
                        <c:v>3080.0008481732175</c:v>
                      </c:pt>
                      <c:pt idx="24">
                        <c:v>2695.0007421627811</c:v>
                      </c:pt>
                      <c:pt idx="25">
                        <c:v>2395.5562152671046</c:v>
                      </c:pt>
                      <c:pt idx="26">
                        <c:v>2156.0005937517594</c:v>
                      </c:pt>
                      <c:pt idx="27">
                        <c:v>1960.0005397857472</c:v>
                      </c:pt>
                      <c:pt idx="28">
                        <c:v>1796.6671614817333</c:v>
                      </c:pt>
                      <c:pt idx="29">
                        <c:v>1658.4619952254118</c:v>
                      </c:pt>
                      <c:pt idx="30">
                        <c:v>1540.0004241494187</c:v>
                      </c:pt>
                      <c:pt idx="31">
                        <c:v>1437.3337292176891</c:v>
                      </c:pt>
                      <c:pt idx="32">
                        <c:v>1347.5003711531733</c:v>
                      </c:pt>
                      <c:pt idx="33">
                        <c:v>1268.2356434498927</c:v>
                      </c:pt>
                      <c:pt idx="34">
                        <c:v>1197.7781077143081</c:v>
                      </c:pt>
                      <c:pt idx="35">
                        <c:v>1134.7371546883619</c:v>
                      </c:pt>
                      <c:pt idx="36">
                        <c:v>1078.0002969656084</c:v>
                      </c:pt>
                      <c:pt idx="37">
                        <c:v>718.66686474343749</c:v>
                      </c:pt>
                      <c:pt idx="38">
                        <c:v>539.00014866226149</c:v>
                      </c:pt>
                      <c:pt idx="39">
                        <c:v>431.2001190374836</c:v>
                      </c:pt>
                      <c:pt idx="40">
                        <c:v>359.33343264090462</c:v>
                      </c:pt>
                      <c:pt idx="41">
                        <c:v>308.00008523186807</c:v>
                      </c:pt>
                      <c:pt idx="42">
                        <c:v>269.50007469004532</c:v>
                      </c:pt>
                      <c:pt idx="43">
                        <c:v>239.55562205969855</c:v>
                      </c:pt>
                      <c:pt idx="44">
                        <c:v>215.60005996738496</c:v>
                      </c:pt>
                      <c:pt idx="45">
                        <c:v>196.00005463000457</c:v>
                      </c:pt>
                      <c:pt idx="46">
                        <c:v>179.66671685882417</c:v>
                      </c:pt>
                      <c:pt idx="47">
                        <c:v>165.8462002924129</c:v>
                      </c:pt>
                      <c:pt idx="48">
                        <c:v>154.00004324403452</c:v>
                      </c:pt>
                      <c:pt idx="49">
                        <c:v>143.73337381008244</c:v>
                      </c:pt>
                      <c:pt idx="50">
                        <c:v>134.75003806285176</c:v>
                      </c:pt>
                      <c:pt idx="51">
                        <c:v>126.82356535174462</c:v>
                      </c:pt>
                      <c:pt idx="52">
                        <c:v>119.77781183740703</c:v>
                      </c:pt>
                      <c:pt idx="53">
                        <c:v>113.47371659403329</c:v>
                      </c:pt>
                      <c:pt idx="54">
                        <c:v>107.80003088097888</c:v>
                      </c:pt>
                      <c:pt idx="55">
                        <c:v>71.866688250970796</c:v>
                      </c:pt>
                      <c:pt idx="56">
                        <c:v>53.90001723506218</c:v>
                      </c:pt>
                      <c:pt idx="57">
                        <c:v>43.120014864793355</c:v>
                      </c:pt>
                      <c:pt idx="58">
                        <c:v>35.933346817344415</c:v>
                      </c:pt>
                      <c:pt idx="59">
                        <c:v>30.800012668649661</c:v>
                      </c:pt>
                      <c:pt idx="60">
                        <c:v>26.95001220667627</c:v>
                      </c:pt>
                      <c:pt idx="61">
                        <c:v>23.955567535850435</c:v>
                      </c:pt>
                      <c:pt idx="62">
                        <c:v>21.560011918827872</c:v>
                      </c:pt>
                      <c:pt idx="63">
                        <c:v>19.600011977298585</c:v>
                      </c:pt>
                      <c:pt idx="64">
                        <c:v>17.966678792389231</c:v>
                      </c:pt>
                      <c:pt idx="65">
                        <c:v>16.584627727956732</c:v>
                      </c:pt>
                      <c:pt idx="66">
                        <c:v>15.40001261532746</c:v>
                      </c:pt>
                      <c:pt idx="67">
                        <c:v>14.37334626414075</c:v>
                      </c:pt>
                      <c:pt idx="68">
                        <c:v>13.475013281626108</c:v>
                      </c:pt>
                      <c:pt idx="69">
                        <c:v>12.682366602723732</c:v>
                      </c:pt>
                      <c:pt idx="70">
                        <c:v>11.977791843498233</c:v>
                      </c:pt>
                      <c:pt idx="71">
                        <c:v>11.347382911369031</c:v>
                      </c:pt>
                      <c:pt idx="72">
                        <c:v>10.78001493227166</c:v>
                      </c:pt>
                      <c:pt idx="73">
                        <c:v>7.1866865913452926</c:v>
                      </c:pt>
                      <c:pt idx="74">
                        <c:v>5.3900254118139364</c:v>
                      </c:pt>
                      <c:pt idx="75">
                        <c:v>4.3120310968266455</c:v>
                      </c:pt>
                      <c:pt idx="76">
                        <c:v>3.5933702140964483</c:v>
                      </c:pt>
                      <c:pt idx="77">
                        <c:v>3.0800427212118007</c:v>
                      </c:pt>
                      <c:pt idx="78">
                        <c:v>2.6950485969644404</c:v>
                      </c:pt>
                      <c:pt idx="79">
                        <c:v>2.3956100517920089</c:v>
                      </c:pt>
                      <c:pt idx="80">
                        <c:v>2.1560604119551012</c:v>
                      </c:pt>
                      <c:pt idx="81">
                        <c:v>1.9600663396177385</c:v>
                      </c:pt>
                      <c:pt idx="82">
                        <c:v>1.7967389428876108</c:v>
                      </c:pt>
                      <c:pt idx="83">
                        <c:v>1.6585397581454335</c:v>
                      </c:pt>
                      <c:pt idx="84">
                        <c:v>1.5400841685188666</c:v>
                      </c:pt>
                      <c:pt idx="85">
                        <c:v>1.4374234549668683</c:v>
                      </c:pt>
                      <c:pt idx="86">
                        <c:v>1.3475960782074128</c:v>
                      </c:pt>
                      <c:pt idx="87">
                        <c:v>1.2683373317295457</c:v>
                      </c:pt>
                      <c:pt idx="88">
                        <c:v>1.1978857771347518</c:v>
                      </c:pt>
                      <c:pt idx="89">
                        <c:v>1.1348508051599993</c:v>
                      </c:pt>
                      <c:pt idx="90">
                        <c:v>1.0781199283938685</c:v>
                      </c:pt>
                      <c:pt idx="91">
                        <c:v>0.71884629944253176</c:v>
                      </c:pt>
                      <c:pt idx="92">
                        <c:v>0.53923937170796432</c:v>
                      </c:pt>
                      <c:pt idx="93">
                        <c:v>0.43149911054369511</c:v>
                      </c:pt>
                      <c:pt idx="94">
                        <c:v>0.35969216777065843</c:v>
                      </c:pt>
                      <c:pt idx="95">
                        <c:v>0.30841853421105869</c:v>
                      </c:pt>
                      <c:pt idx="96">
                        <c:v>0.26997820282385765</c:v>
                      </c:pt>
                      <c:pt idx="97">
                        <c:v>0.2400933897517154</c:v>
                      </c:pt>
                      <c:pt idx="98">
                        <c:v>0.2161974227413454</c:v>
                      </c:pt>
                      <c:pt idx="99">
                        <c:v>0.19665696315418077</c:v>
                      </c:pt>
                      <c:pt idx="100">
                        <c:v>0.18038311697298304</c:v>
                      </c:pt>
                      <c:pt idx="101">
                        <c:v>0.16662203303732412</c:v>
                      </c:pt>
                      <c:pt idx="102">
                        <c:v>0.15483524489348183</c:v>
                      </c:pt>
                      <c:pt idx="103">
                        <c:v>0.14462787590533469</c:v>
                      </c:pt>
                      <c:pt idx="104">
                        <c:v>0.13570376744954432</c:v>
                      </c:pt>
                      <c:pt idx="105">
                        <c:v>0.12783644421912022</c:v>
                      </c:pt>
                      <c:pt idx="106">
                        <c:v>0.12084975775986181</c:v>
                      </c:pt>
                      <c:pt idx="107">
                        <c:v>0.11460464257491049</c:v>
                      </c:pt>
                      <c:pt idx="108">
                        <c:v>0.10898984539855079</c:v>
                      </c:pt>
                      <c:pt idx="109">
                        <c:v>7.3639395857259871E-2</c:v>
                      </c:pt>
                      <c:pt idx="110">
                        <c:v>5.6241902528275128E-2</c:v>
                      </c:pt>
                      <c:pt idx="111">
                        <c:v>4.6013861215942309E-2</c:v>
                      </c:pt>
                      <c:pt idx="112">
                        <c:v>3.9359181337466298E-2</c:v>
                      </c:pt>
                      <c:pt idx="113">
                        <c:v>3.4735867953010466E-2</c:v>
                      </c:pt>
                      <c:pt idx="114">
                        <c:v>3.1372645728404869E-2</c:v>
                      </c:pt>
                      <c:pt idx="115">
                        <c:v>2.8841098419177643E-2</c:v>
                      </c:pt>
                      <c:pt idx="116">
                        <c:v>2.6884453797687613E-2</c:v>
                      </c:pt>
                      <c:pt idx="117">
                        <c:v>2.5339696359077551E-2</c:v>
                      </c:pt>
                      <c:pt idx="118">
                        <c:v>2.4098574416112021E-2</c:v>
                      </c:pt>
                      <c:pt idx="119">
                        <c:v>2.3086567933214137E-2</c:v>
                      </c:pt>
                      <c:pt idx="120">
                        <c:v>2.2250845615666943E-2</c:v>
                      </c:pt>
                      <c:pt idx="121">
                        <c:v>2.1553023567214159E-2</c:v>
                      </c:pt>
                      <c:pt idx="122">
                        <c:v>2.0964630333015651E-2</c:v>
                      </c:pt>
                      <c:pt idx="123">
                        <c:v>2.0464167823439152E-2</c:v>
                      </c:pt>
                      <c:pt idx="124">
                        <c:v>2.0035150099417094E-2</c:v>
                      </c:pt>
                      <c:pt idx="125">
                        <c:v>1.9664761401990867E-2</c:v>
                      </c:pt>
                      <c:pt idx="126">
                        <c:v>1.9342917670299897E-2</c:v>
                      </c:pt>
                      <c:pt idx="127">
                        <c:v>1.7595118818076284E-2</c:v>
                      </c:pt>
                      <c:pt idx="128">
                        <c:v>1.694084165559669E-2</c:v>
                      </c:pt>
                      <c:pt idx="129">
                        <c:v>1.6629292054684709E-2</c:v>
                      </c:pt>
                      <c:pt idx="130">
                        <c:v>1.64575834056995E-2</c:v>
                      </c:pt>
                      <c:pt idx="131">
                        <c:v>1.6353177221093453E-2</c:v>
                      </c:pt>
                      <c:pt idx="132">
                        <c:v>1.6285055388300034E-2</c:v>
                      </c:pt>
                      <c:pt idx="133">
                        <c:v>1.6238186154255249E-2</c:v>
                      </c:pt>
                      <c:pt idx="134">
                        <c:v>1.6204577703846527E-2</c:v>
                      </c:pt>
                      <c:pt idx="135">
                        <c:v>1.6179666316574717E-2</c:v>
                      </c:pt>
                      <c:pt idx="136">
                        <c:v>1.6160693453218175E-2</c:v>
                      </c:pt>
                      <c:pt idx="137">
                        <c:v>1.6145912677496713E-2</c:v>
                      </c:pt>
                      <c:pt idx="138">
                        <c:v>1.6134174949656473E-2</c:v>
                      </c:pt>
                      <c:pt idx="139">
                        <c:v>1.612469932274363E-2</c:v>
                      </c:pt>
                      <c:pt idx="140">
                        <c:v>1.6116940070931576E-2</c:v>
                      </c:pt>
                      <c:pt idx="141">
                        <c:v>1.6110506560845901E-2</c:v>
                      </c:pt>
                      <c:pt idx="142">
                        <c:v>1.6105113237573392E-2</c:v>
                      </c:pt>
                      <c:pt idx="143">
                        <c:v>1.6100547456840475E-2</c:v>
                      </c:pt>
                      <c:pt idx="144">
                        <c:v>1.6096648242413698E-2</c:v>
                      </c:pt>
                      <c:pt idx="145">
                        <c:v>1.6076581790362719E-2</c:v>
                      </c:pt>
                      <c:pt idx="146">
                        <c:v>1.6069552612316247E-2</c:v>
                      </c:pt>
                      <c:pt idx="147">
                        <c:v>1.6066298065901801E-2</c:v>
                      </c:pt>
                      <c:pt idx="148">
                        <c:v>1.6064529887785561E-2</c:v>
                      </c:pt>
                      <c:pt idx="149">
                        <c:v>1.6063463638090164E-2</c:v>
                      </c:pt>
                      <c:pt idx="150">
                        <c:v>1.6062771563151855E-2</c:v>
                      </c:pt>
                      <c:pt idx="151">
                        <c:v>1.6062297061622363E-2</c:v>
                      </c:pt>
                      <c:pt idx="152">
                        <c:v>1.6061957644870065E-2</c:v>
                      </c:pt>
                      <c:pt idx="153">
                        <c:v>1.6061706510242212E-2</c:v>
                      </c:pt>
                      <c:pt idx="154">
                        <c:v>1.6061515499132976E-2</c:v>
                      </c:pt>
                      <c:pt idx="155">
                        <c:v>1.6061366846003285E-2</c:v>
                      </c:pt>
                      <c:pt idx="156">
                        <c:v>1.6061248893316522E-2</c:v>
                      </c:pt>
                      <c:pt idx="157">
                        <c:v>1.6061153734476512E-2</c:v>
                      </c:pt>
                      <c:pt idx="158">
                        <c:v>1.6061075853519277E-2</c:v>
                      </c:pt>
                      <c:pt idx="159">
                        <c:v>1.6061011307401243E-2</c:v>
                      </c:pt>
                      <c:pt idx="160">
                        <c:v>1.6060957216926724E-2</c:v>
                      </c:pt>
                      <c:pt idx="161">
                        <c:v>1.6060911440017957E-2</c:v>
                      </c:pt>
                      <c:pt idx="162">
                        <c:v>1.6060872356332329E-2</c:v>
                      </c:pt>
                      <c:pt idx="163">
                        <c:v>1.6060671368925465E-2</c:v>
                      </c:pt>
                      <c:pt idx="164">
                        <c:v>1.6060601022738843E-2</c:v>
                      </c:pt>
                      <c:pt idx="165">
                        <c:v>1.6060568462399578E-2</c:v>
                      </c:pt>
                      <c:pt idx="166">
                        <c:v>1.6060550775274039E-2</c:v>
                      </c:pt>
                      <c:pt idx="167">
                        <c:v>1.6060540110485775E-2</c:v>
                      </c:pt>
                      <c:pt idx="168">
                        <c:v>1.6060533188624219E-2</c:v>
                      </c:pt>
                      <c:pt idx="169">
                        <c:v>1.6060528443016999E-2</c:v>
                      </c:pt>
                    </c:numCache>
                  </c:numRef>
                </c:yVal>
                <c:smooth val="1"/>
                <c:extLst>
                  <c:ext xmlns:c16="http://schemas.microsoft.com/office/drawing/2014/chart" uri="{C3380CC4-5D6E-409C-BE32-E72D297353CC}">
                    <c16:uniqueId val="{00000001-D749-4CED-ABCA-C97B8EEF335E}"/>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Comparison!$AN$6</c15:sqref>
                        </c15:formulaRef>
                      </c:ext>
                    </c:extLst>
                    <c:strCache>
                      <c:ptCount val="1"/>
                      <c:pt idx="0">
                        <c:v>INA296A5 @ 60 °C</c:v>
                      </c:pt>
                    </c:strCache>
                  </c:strRef>
                </c:tx>
                <c:spPr>
                  <a:ln w="25400">
                    <a:solidFill>
                      <a:schemeClr val="accent1"/>
                    </a:solidFill>
                    <a:prstDash val="sysDash"/>
                  </a:ln>
                </c:spPr>
                <c:marker>
                  <c:symbol val="none"/>
                </c:marker>
                <c:xVal>
                  <c:numRef>
                    <c:extLst xmlns:c15="http://schemas.microsoft.com/office/drawing/2012/chart">
                      <c:ext xmlns:c15="http://schemas.microsoft.com/office/drawing/2012/chart" uri="{02D57815-91ED-43cb-92C2-25804820EDAC}">
                        <c15:formulaRef>
                          <c15:sqref>Comparison!$P$11:$P$180</c15:sqref>
                        </c15:formulaRef>
                      </c:ext>
                    </c:extLst>
                    <c:numCache>
                      <c:formatCode>General</c:formatCode>
                      <c:ptCount val="170"/>
                      <c:pt idx="0">
                        <c:v>9.9999999999999995E-7</c:v>
                      </c:pt>
                      <c:pt idx="1">
                        <c:v>1.5E-6</c:v>
                      </c:pt>
                      <c:pt idx="2">
                        <c:v>1.9999999999999999E-6</c:v>
                      </c:pt>
                      <c:pt idx="3">
                        <c:v>2.5000000000000002E-6</c:v>
                      </c:pt>
                      <c:pt idx="4">
                        <c:v>3.0000000000000001E-6</c:v>
                      </c:pt>
                      <c:pt idx="5">
                        <c:v>3.4999999999999999E-6</c:v>
                      </c:pt>
                      <c:pt idx="6">
                        <c:v>3.9999999999999998E-6</c:v>
                      </c:pt>
                      <c:pt idx="7">
                        <c:v>4.5000000000000001E-6</c:v>
                      </c:pt>
                      <c:pt idx="8">
                        <c:v>5.0000000000000004E-6</c:v>
                      </c:pt>
                      <c:pt idx="9">
                        <c:v>5.4999999999999999E-6</c:v>
                      </c:pt>
                      <c:pt idx="10">
                        <c:v>6.0000000000000002E-6</c:v>
                      </c:pt>
                      <c:pt idx="11">
                        <c:v>6.4999999999999996E-6</c:v>
                      </c:pt>
                      <c:pt idx="12">
                        <c:v>6.9999999999999999E-6</c:v>
                      </c:pt>
                      <c:pt idx="13">
                        <c:v>7.5000000000000002E-6</c:v>
                      </c:pt>
                      <c:pt idx="14">
                        <c:v>7.9999999999999996E-6</c:v>
                      </c:pt>
                      <c:pt idx="15">
                        <c:v>8.4999999999999999E-6</c:v>
                      </c:pt>
                      <c:pt idx="16">
                        <c:v>9.0000000000000002E-6</c:v>
                      </c:pt>
                      <c:pt idx="17">
                        <c:v>9.5000000000000005E-6</c:v>
                      </c:pt>
                      <c:pt idx="18">
                        <c:v>9.9999999999999991E-6</c:v>
                      </c:pt>
                      <c:pt idx="19">
                        <c:v>1.5E-5</c:v>
                      </c:pt>
                      <c:pt idx="20">
                        <c:v>1.9999999999999998E-5</c:v>
                      </c:pt>
                      <c:pt idx="21">
                        <c:v>2.5000000000000001E-5</c:v>
                      </c:pt>
                      <c:pt idx="22">
                        <c:v>3.0000000000000001E-5</c:v>
                      </c:pt>
                      <c:pt idx="23">
                        <c:v>3.4999999999999997E-5</c:v>
                      </c:pt>
                      <c:pt idx="24">
                        <c:v>3.9999999999999996E-5</c:v>
                      </c:pt>
                      <c:pt idx="25">
                        <c:v>4.5000000000000003E-5</c:v>
                      </c:pt>
                      <c:pt idx="26">
                        <c:v>5.0000000000000002E-5</c:v>
                      </c:pt>
                      <c:pt idx="27">
                        <c:v>5.4999999999999995E-5</c:v>
                      </c:pt>
                      <c:pt idx="28">
                        <c:v>6.0000000000000002E-5</c:v>
                      </c:pt>
                      <c:pt idx="29">
                        <c:v>6.4999999999999994E-5</c:v>
                      </c:pt>
                      <c:pt idx="30">
                        <c:v>6.9999999999999994E-5</c:v>
                      </c:pt>
                      <c:pt idx="31">
                        <c:v>7.5000000000000007E-5</c:v>
                      </c:pt>
                      <c:pt idx="32">
                        <c:v>7.9999999999999993E-5</c:v>
                      </c:pt>
                      <c:pt idx="33">
                        <c:v>8.5000000000000006E-5</c:v>
                      </c:pt>
                      <c:pt idx="34">
                        <c:v>9.0000000000000006E-5</c:v>
                      </c:pt>
                      <c:pt idx="35">
                        <c:v>9.5000000000000005E-5</c:v>
                      </c:pt>
                      <c:pt idx="36">
                        <c:v>9.9999999999999991E-5</c:v>
                      </c:pt>
                      <c:pt idx="37">
                        <c:v>1.5000000000000001E-4</c:v>
                      </c:pt>
                      <c:pt idx="38">
                        <c:v>1.9999999999999998E-4</c:v>
                      </c:pt>
                      <c:pt idx="39">
                        <c:v>2.5000000000000001E-4</c:v>
                      </c:pt>
                      <c:pt idx="40">
                        <c:v>3.0000000000000003E-4</c:v>
                      </c:pt>
                      <c:pt idx="41">
                        <c:v>3.4999999999999994E-4</c:v>
                      </c:pt>
                      <c:pt idx="42">
                        <c:v>3.9999999999999996E-4</c:v>
                      </c:pt>
                      <c:pt idx="43">
                        <c:v>4.5000000000000004E-4</c:v>
                      </c:pt>
                      <c:pt idx="44">
                        <c:v>5.0000000000000001E-4</c:v>
                      </c:pt>
                      <c:pt idx="45">
                        <c:v>5.4999999999999992E-4</c:v>
                      </c:pt>
                      <c:pt idx="46">
                        <c:v>6.0000000000000006E-4</c:v>
                      </c:pt>
                      <c:pt idx="47">
                        <c:v>6.4999999999999997E-4</c:v>
                      </c:pt>
                      <c:pt idx="48">
                        <c:v>6.9999999999999988E-4</c:v>
                      </c:pt>
                      <c:pt idx="49">
                        <c:v>7.5000000000000002E-4</c:v>
                      </c:pt>
                      <c:pt idx="50">
                        <c:v>7.9999999999999993E-4</c:v>
                      </c:pt>
                      <c:pt idx="51">
                        <c:v>8.5000000000000006E-4</c:v>
                      </c:pt>
                      <c:pt idx="52">
                        <c:v>9.0000000000000008E-4</c:v>
                      </c:pt>
                      <c:pt idx="53">
                        <c:v>9.5000000000000011E-4</c:v>
                      </c:pt>
                      <c:pt idx="54">
                        <c:v>1E-3</c:v>
                      </c:pt>
                      <c:pt idx="55">
                        <c:v>1.5E-3</c:v>
                      </c:pt>
                      <c:pt idx="56">
                        <c:v>2E-3</c:v>
                      </c:pt>
                      <c:pt idx="57">
                        <c:v>2.5000000000000001E-3</c:v>
                      </c:pt>
                      <c:pt idx="58">
                        <c:v>3.0000000000000001E-3</c:v>
                      </c:pt>
                      <c:pt idx="59">
                        <c:v>3.4999999999999996E-3</c:v>
                      </c:pt>
                      <c:pt idx="60">
                        <c:v>4.0000000000000001E-3</c:v>
                      </c:pt>
                      <c:pt idx="61">
                        <c:v>4.5000000000000005E-3</c:v>
                      </c:pt>
                      <c:pt idx="62">
                        <c:v>5.0000000000000001E-3</c:v>
                      </c:pt>
                      <c:pt idx="63">
                        <c:v>5.4999999999999997E-3</c:v>
                      </c:pt>
                      <c:pt idx="64">
                        <c:v>6.0000000000000001E-3</c:v>
                      </c:pt>
                      <c:pt idx="65">
                        <c:v>6.4999999999999997E-3</c:v>
                      </c:pt>
                      <c:pt idx="66">
                        <c:v>6.9999999999999993E-3</c:v>
                      </c:pt>
                      <c:pt idx="67">
                        <c:v>7.4999999999999997E-3</c:v>
                      </c:pt>
                      <c:pt idx="68">
                        <c:v>8.0000000000000002E-3</c:v>
                      </c:pt>
                      <c:pt idx="69">
                        <c:v>8.5000000000000006E-3</c:v>
                      </c:pt>
                      <c:pt idx="70">
                        <c:v>9.0000000000000011E-3</c:v>
                      </c:pt>
                      <c:pt idx="71">
                        <c:v>9.5000000000000015E-3</c:v>
                      </c:pt>
                      <c:pt idx="72">
                        <c:v>0.01</c:v>
                      </c:pt>
                      <c:pt idx="73">
                        <c:v>1.4999999999999999E-2</c:v>
                      </c:pt>
                      <c:pt idx="74">
                        <c:v>0.02</c:v>
                      </c:pt>
                      <c:pt idx="75">
                        <c:v>2.5000000000000001E-2</c:v>
                      </c:pt>
                      <c:pt idx="76">
                        <c:v>0.03</c:v>
                      </c:pt>
                      <c:pt idx="77">
                        <c:v>3.4999999999999996E-2</c:v>
                      </c:pt>
                      <c:pt idx="78">
                        <c:v>0.04</c:v>
                      </c:pt>
                      <c:pt idx="79">
                        <c:v>4.5000000000000005E-2</c:v>
                      </c:pt>
                      <c:pt idx="80">
                        <c:v>0.05</c:v>
                      </c:pt>
                      <c:pt idx="81">
                        <c:v>5.4999999999999993E-2</c:v>
                      </c:pt>
                      <c:pt idx="82">
                        <c:v>0.06</c:v>
                      </c:pt>
                      <c:pt idx="83">
                        <c:v>6.5000000000000002E-2</c:v>
                      </c:pt>
                      <c:pt idx="84">
                        <c:v>6.9999999999999993E-2</c:v>
                      </c:pt>
                      <c:pt idx="85">
                        <c:v>7.4999999999999997E-2</c:v>
                      </c:pt>
                      <c:pt idx="86">
                        <c:v>0.08</c:v>
                      </c:pt>
                      <c:pt idx="87">
                        <c:v>8.5000000000000006E-2</c:v>
                      </c:pt>
                      <c:pt idx="88">
                        <c:v>9.0000000000000011E-2</c:v>
                      </c:pt>
                      <c:pt idx="89">
                        <c:v>9.5000000000000015E-2</c:v>
                      </c:pt>
                      <c:pt idx="90">
                        <c:v>0.1</c:v>
                      </c:pt>
                      <c:pt idx="91">
                        <c:v>0.15</c:v>
                      </c:pt>
                      <c:pt idx="92">
                        <c:v>0.2</c:v>
                      </c:pt>
                      <c:pt idx="93">
                        <c:v>0.25</c:v>
                      </c:pt>
                      <c:pt idx="94">
                        <c:v>0.3</c:v>
                      </c:pt>
                      <c:pt idx="95">
                        <c:v>0.35</c:v>
                      </c:pt>
                      <c:pt idx="96">
                        <c:v>0.4</c:v>
                      </c:pt>
                      <c:pt idx="97">
                        <c:v>0.45000000000000007</c:v>
                      </c:pt>
                      <c:pt idx="98">
                        <c:v>0.5</c:v>
                      </c:pt>
                      <c:pt idx="99">
                        <c:v>0.54999999999999993</c:v>
                      </c:pt>
                      <c:pt idx="100">
                        <c:v>0.6</c:v>
                      </c:pt>
                      <c:pt idx="101">
                        <c:v>0.65</c:v>
                      </c:pt>
                      <c:pt idx="102">
                        <c:v>0.7</c:v>
                      </c:pt>
                      <c:pt idx="103">
                        <c:v>0.75</c:v>
                      </c:pt>
                      <c:pt idx="104">
                        <c:v>0.8</c:v>
                      </c:pt>
                      <c:pt idx="105">
                        <c:v>0.85000000000000009</c:v>
                      </c:pt>
                      <c:pt idx="106">
                        <c:v>0.90000000000000013</c:v>
                      </c:pt>
                      <c:pt idx="107">
                        <c:v>0.95000000000000018</c:v>
                      </c:pt>
                      <c:pt idx="108">
                        <c:v>1</c:v>
                      </c:pt>
                      <c:pt idx="109">
                        <c:v>1.5</c:v>
                      </c:pt>
                      <c:pt idx="110">
                        <c:v>2</c:v>
                      </c:pt>
                      <c:pt idx="111">
                        <c:v>2.5</c:v>
                      </c:pt>
                      <c:pt idx="112">
                        <c:v>3</c:v>
                      </c:pt>
                      <c:pt idx="113">
                        <c:v>3.5</c:v>
                      </c:pt>
                      <c:pt idx="114">
                        <c:v>4</c:v>
                      </c:pt>
                      <c:pt idx="115">
                        <c:v>4.5000000000000009</c:v>
                      </c:pt>
                      <c:pt idx="116">
                        <c:v>5</c:v>
                      </c:pt>
                      <c:pt idx="117">
                        <c:v>5.4999999999999991</c:v>
                      </c:pt>
                      <c:pt idx="118">
                        <c:v>6</c:v>
                      </c:pt>
                      <c:pt idx="119">
                        <c:v>6.5</c:v>
                      </c:pt>
                      <c:pt idx="120">
                        <c:v>7</c:v>
                      </c:pt>
                      <c:pt idx="121">
                        <c:v>7.5</c:v>
                      </c:pt>
                      <c:pt idx="122">
                        <c:v>8</c:v>
                      </c:pt>
                      <c:pt idx="123">
                        <c:v>8.5</c:v>
                      </c:pt>
                      <c:pt idx="124">
                        <c:v>9.0000000000000018</c:v>
                      </c:pt>
                      <c:pt idx="125">
                        <c:v>9.5000000000000018</c:v>
                      </c:pt>
                      <c:pt idx="126">
                        <c:v>10</c:v>
                      </c:pt>
                      <c:pt idx="127">
                        <c:v>15</c:v>
                      </c:pt>
                      <c:pt idx="128">
                        <c:v>20</c:v>
                      </c:pt>
                      <c:pt idx="129">
                        <c:v>25</c:v>
                      </c:pt>
                      <c:pt idx="130">
                        <c:v>30</c:v>
                      </c:pt>
                      <c:pt idx="131">
                        <c:v>35</c:v>
                      </c:pt>
                      <c:pt idx="132">
                        <c:v>40</c:v>
                      </c:pt>
                      <c:pt idx="133">
                        <c:v>45.000000000000007</c:v>
                      </c:pt>
                      <c:pt idx="134">
                        <c:v>50</c:v>
                      </c:pt>
                      <c:pt idx="135">
                        <c:v>54.999999999999993</c:v>
                      </c:pt>
                      <c:pt idx="136">
                        <c:v>60</c:v>
                      </c:pt>
                      <c:pt idx="137">
                        <c:v>65</c:v>
                      </c:pt>
                      <c:pt idx="138">
                        <c:v>70</c:v>
                      </c:pt>
                      <c:pt idx="139">
                        <c:v>75</c:v>
                      </c:pt>
                      <c:pt idx="140">
                        <c:v>80</c:v>
                      </c:pt>
                      <c:pt idx="141">
                        <c:v>85</c:v>
                      </c:pt>
                      <c:pt idx="142">
                        <c:v>90.000000000000014</c:v>
                      </c:pt>
                      <c:pt idx="143">
                        <c:v>95.000000000000014</c:v>
                      </c:pt>
                      <c:pt idx="144">
                        <c:v>100</c:v>
                      </c:pt>
                      <c:pt idx="145">
                        <c:v>150</c:v>
                      </c:pt>
                      <c:pt idx="146">
                        <c:v>200</c:v>
                      </c:pt>
                      <c:pt idx="147">
                        <c:v>250</c:v>
                      </c:pt>
                      <c:pt idx="148">
                        <c:v>300</c:v>
                      </c:pt>
                      <c:pt idx="149">
                        <c:v>350</c:v>
                      </c:pt>
                      <c:pt idx="150">
                        <c:v>400</c:v>
                      </c:pt>
                      <c:pt idx="151">
                        <c:v>450.00000000000006</c:v>
                      </c:pt>
                      <c:pt idx="152">
                        <c:v>500</c:v>
                      </c:pt>
                      <c:pt idx="153">
                        <c:v>549.99999999999989</c:v>
                      </c:pt>
                      <c:pt idx="154">
                        <c:v>600</c:v>
                      </c:pt>
                      <c:pt idx="155">
                        <c:v>650</c:v>
                      </c:pt>
                      <c:pt idx="156">
                        <c:v>700</c:v>
                      </c:pt>
                      <c:pt idx="157">
                        <c:v>750</c:v>
                      </c:pt>
                      <c:pt idx="158">
                        <c:v>800</c:v>
                      </c:pt>
                      <c:pt idx="159">
                        <c:v>850</c:v>
                      </c:pt>
                      <c:pt idx="160">
                        <c:v>900.00000000000011</c:v>
                      </c:pt>
                      <c:pt idx="161">
                        <c:v>950.00000000000011</c:v>
                      </c:pt>
                      <c:pt idx="162">
                        <c:v>1000</c:v>
                      </c:pt>
                      <c:pt idx="163">
                        <c:v>1500</c:v>
                      </c:pt>
                      <c:pt idx="164">
                        <c:v>2000</c:v>
                      </c:pt>
                      <c:pt idx="165">
                        <c:v>2500</c:v>
                      </c:pt>
                      <c:pt idx="166">
                        <c:v>3000</c:v>
                      </c:pt>
                      <c:pt idx="167">
                        <c:v>3500</c:v>
                      </c:pt>
                      <c:pt idx="168">
                        <c:v>4000</c:v>
                      </c:pt>
                      <c:pt idx="169">
                        <c:v>4500.0000000000009</c:v>
                      </c:pt>
                    </c:numCache>
                  </c:numRef>
                </c:xVal>
                <c:yVal>
                  <c:numRef>
                    <c:extLst xmlns:c15="http://schemas.microsoft.com/office/drawing/2012/chart">
                      <c:ext xmlns:c15="http://schemas.microsoft.com/office/drawing/2012/chart" uri="{02D57815-91ED-43cb-92C2-25804820EDAC}">
                        <c15:formulaRef>
                          <c15:sqref>Comparison!$AT$11:$AT$180</c15:sqref>
                        </c15:formulaRef>
                      </c:ext>
                    </c:extLst>
                    <c:numCache>
                      <c:formatCode>0.00%</c:formatCode>
                      <c:ptCount val="170"/>
                      <c:pt idx="0">
                        <c:v>2538.1066869962974</c:v>
                      </c:pt>
                      <c:pt idx="1">
                        <c:v>1692.0711246941246</c:v>
                      </c:pt>
                      <c:pt idx="2">
                        <c:v>1269.0533435520172</c:v>
                      </c:pt>
                      <c:pt idx="3">
                        <c:v>1015.2426748739346</c:v>
                      </c:pt>
                      <c:pt idx="4">
                        <c:v>846.03556242786499</c:v>
                      </c:pt>
                      <c:pt idx="5">
                        <c:v>725.17333925723165</c:v>
                      </c:pt>
                      <c:pt idx="6">
                        <c:v>634.52667188374551</c:v>
                      </c:pt>
                      <c:pt idx="7">
                        <c:v>564.02370837502406</c:v>
                      </c:pt>
                      <c:pt idx="8">
                        <c:v>507.62133757163832</c:v>
                      </c:pt>
                      <c:pt idx="9">
                        <c:v>461.47394328122391</c:v>
                      </c:pt>
                      <c:pt idx="10">
                        <c:v>423.01778137553771</c:v>
                      </c:pt>
                      <c:pt idx="11">
                        <c:v>390.47795207348901</c:v>
                      </c:pt>
                      <c:pt idx="12">
                        <c:v>362.58666981715527</c:v>
                      </c:pt>
                      <c:pt idx="13">
                        <c:v>338.41422519739336</c:v>
                      </c:pt>
                      <c:pt idx="14">
                        <c:v>317.26333615734643</c:v>
                      </c:pt>
                      <c:pt idx="15">
                        <c:v>298.60078700647614</c:v>
                      </c:pt>
                      <c:pt idx="16">
                        <c:v>282.01185442991994</c:v>
                      </c:pt>
                      <c:pt idx="17">
                        <c:v>267.16912528436501</c:v>
                      </c:pt>
                      <c:pt idx="18">
                        <c:v>253.8106690551613</c:v>
                      </c:pt>
                      <c:pt idx="19">
                        <c:v>169.20711300270986</c:v>
                      </c:pt>
                      <c:pt idx="20">
                        <c:v>126.90533506626487</c:v>
                      </c:pt>
                      <c:pt idx="21">
                        <c:v>101.52426837622241</c:v>
                      </c:pt>
                      <c:pt idx="22">
                        <c:v>84.60355730938123</c:v>
                      </c:pt>
                      <c:pt idx="23">
                        <c:v>72.517335170083669</c:v>
                      </c:pt>
                      <c:pt idx="24">
                        <c:v>63.452668610500844</c:v>
                      </c:pt>
                      <c:pt idx="25">
                        <c:v>56.402372437394483</c:v>
                      </c:pt>
                      <c:pt idx="26">
                        <c:v>50.762135534821702</c:v>
                      </c:pt>
                      <c:pt idx="27">
                        <c:v>46.147396283546037</c:v>
                      </c:pt>
                      <c:pt idx="28">
                        <c:v>42.301780270743201</c:v>
                      </c:pt>
                      <c:pt idx="29">
                        <c:v>39.047797518304108</c:v>
                      </c:pt>
                      <c:pt idx="30">
                        <c:v>36.258669470436494</c:v>
                      </c:pt>
                      <c:pt idx="31">
                        <c:v>33.841425186226076</c:v>
                      </c:pt>
                      <c:pt idx="32">
                        <c:v>31.726336459987145</c:v>
                      </c:pt>
                      <c:pt idx="33">
                        <c:v>29.860081722665882</c:v>
                      </c:pt>
                      <c:pt idx="34">
                        <c:v>28.201188642776021</c:v>
                      </c:pt>
                      <c:pt idx="35">
                        <c:v>26.716915905986294</c:v>
                      </c:pt>
                      <c:pt idx="36">
                        <c:v>25.381070460831673</c:v>
                      </c:pt>
                      <c:pt idx="37">
                        <c:v>16.920716633243824</c:v>
                      </c:pt>
                      <c:pt idx="38">
                        <c:v>12.690540617256049</c:v>
                      </c:pt>
                      <c:pt idx="39">
                        <c:v>10.152435725907763</c:v>
                      </c:pt>
                      <c:pt idx="40">
                        <c:v>8.4603663968786567</c:v>
                      </c:pt>
                      <c:pt idx="41">
                        <c:v>7.2517459606027685</c:v>
                      </c:pt>
                      <c:pt idx="42">
                        <c:v>6.3452810822970154</c:v>
                      </c:pt>
                      <c:pt idx="43">
                        <c:v>5.6402532426373897</c:v>
                      </c:pt>
                      <c:pt idx="44">
                        <c:v>5.0762313300294029</c:v>
                      </c:pt>
                      <c:pt idx="45">
                        <c:v>4.6147591825492249</c:v>
                      </c:pt>
                      <c:pt idx="46">
                        <c:v>4.2301993589142333</c:v>
                      </c:pt>
                      <c:pt idx="47">
                        <c:v>3.9048028613133288</c:v>
                      </c:pt>
                      <c:pt idx="48">
                        <c:v>3.6258918341670983</c:v>
                      </c:pt>
                      <c:pt idx="49">
                        <c:v>3.3841691833839174</c:v>
                      </c:pt>
                      <c:pt idx="50">
                        <c:v>3.1726620883950272</c:v>
                      </c:pt>
                      <c:pt idx="51">
                        <c:v>2.9860383922948572</c:v>
                      </c:pt>
                      <c:pt idx="52">
                        <c:v>2.8201508619345872</c:v>
                      </c:pt>
                      <c:pt idx="53">
                        <c:v>2.6717253658809006</c:v>
                      </c:pt>
                      <c:pt idx="54">
                        <c:v>2.5381425989871054</c:v>
                      </c:pt>
                      <c:pt idx="55">
                        <c:v>1.6921249922039867</c:v>
                      </c:pt>
                      <c:pt idx="56">
                        <c:v>1.2691251660093479</c:v>
                      </c:pt>
                      <c:pt idx="57">
                        <c:v>1.0153324515166859</c:v>
                      </c:pt>
                      <c:pt idx="58">
                        <c:v>0.84614329230357643</c:v>
                      </c:pt>
                      <c:pt idx="59">
                        <c:v>0.72529902122309919</c:v>
                      </c:pt>
                      <c:pt idx="60">
                        <c:v>0.63467030460670182</c:v>
                      </c:pt>
                      <c:pt idx="61">
                        <c:v>0.56418529033183396</c:v>
                      </c:pt>
                      <c:pt idx="62">
                        <c:v>0.50780086704900462</c:v>
                      </c:pt>
                      <c:pt idx="63">
                        <c:v>0.46167141837590925</c:v>
                      </c:pt>
                      <c:pt idx="64">
                        <c:v>0.42323319999449938</c:v>
                      </c:pt>
                      <c:pt idx="65">
                        <c:v>0.39071131193402575</c:v>
                      </c:pt>
                      <c:pt idx="66">
                        <c:v>0.36283796844706923</c:v>
                      </c:pt>
                      <c:pt idx="67">
                        <c:v>0.33868345993516386</c:v>
                      </c:pt>
                      <c:pt idx="68">
                        <c:v>0.31755050415231734</c:v>
                      </c:pt>
                      <c:pt idx="69">
                        <c:v>0.2989058852190577</c:v>
                      </c:pt>
                      <c:pt idx="70">
                        <c:v>0.28233487963180165</c:v>
                      </c:pt>
                      <c:pt idx="71">
                        <c:v>0.26751007405874327</c:v>
                      </c:pt>
                      <c:pt idx="72">
                        <c:v>0.25416953779697948</c:v>
                      </c:pt>
                      <c:pt idx="73">
                        <c:v>0.16974494192291395</c:v>
                      </c:pt>
                      <c:pt idx="74">
                        <c:v>0.12762155886049406</c:v>
                      </c:pt>
                      <c:pt idx="75">
                        <c:v>0.10241813944330777</c:v>
                      </c:pt>
                      <c:pt idx="76">
                        <c:v>8.5674150868878529E-2</c:v>
                      </c:pt>
                      <c:pt idx="77">
                        <c:v>7.3763555485563834E-2</c:v>
                      </c:pt>
                      <c:pt idx="78">
                        <c:v>6.4873256211597993E-2</c:v>
                      </c:pt>
                      <c:pt idx="79">
                        <c:v>5.7995912220329439E-2</c:v>
                      </c:pt>
                      <c:pt idx="80">
                        <c:v>5.2527065611522684E-2</c:v>
                      </c:pt>
                      <c:pt idx="81">
                        <c:v>4.808201744365808E-2</c:v>
                      </c:pt>
                      <c:pt idx="82">
                        <c:v>4.4404265918668667E-2</c:v>
                      </c:pt>
                      <c:pt idx="83">
                        <c:v>4.1316203948718183E-2</c:v>
                      </c:pt>
                      <c:pt idx="84">
                        <c:v>3.8690946350121283E-2</c:v>
                      </c:pt>
                      <c:pt idx="85">
                        <c:v>3.6435426117125858E-2</c:v>
                      </c:pt>
                      <c:pt idx="86">
                        <c:v>3.4479829507610811E-2</c:v>
                      </c:pt>
                      <c:pt idx="87">
                        <c:v>3.2770759804830359E-2</c:v>
                      </c:pt>
                      <c:pt idx="88">
                        <c:v>3.1266679685681996E-2</c:v>
                      </c:pt>
                      <c:pt idx="89">
                        <c:v>2.9934792687258474E-2</c:v>
                      </c:pt>
                      <c:pt idx="90">
                        <c:v>2.8748860071997676E-2</c:v>
                      </c:pt>
                      <c:pt idx="91">
                        <c:v>2.1647375570358042E-2</c:v>
                      </c:pt>
                      <c:pt idx="92">
                        <c:v>1.8529652961127619E-2</c:v>
                      </c:pt>
                      <c:pt idx="93">
                        <c:v>1.6892902914250361E-2</c:v>
                      </c:pt>
                      <c:pt idx="94">
                        <c:v>1.5933487291582893E-2</c:v>
                      </c:pt>
                      <c:pt idx="95">
                        <c:v>1.5325992208621225E-2</c:v>
                      </c:pt>
                      <c:pt idx="96">
                        <c:v>1.4918472097200717E-2</c:v>
                      </c:pt>
                      <c:pt idx="97">
                        <c:v>1.4632521120527438E-2</c:v>
                      </c:pt>
                      <c:pt idx="98">
                        <c:v>1.4424504921056115E-2</c:v>
                      </c:pt>
                      <c:pt idx="99">
                        <c:v>1.426864464532362E-2</c:v>
                      </c:pt>
                      <c:pt idx="100">
                        <c:v>1.4148950643696456E-2</c:v>
                      </c:pt>
                      <c:pt idx="101">
                        <c:v>1.4055095271371188E-2</c:v>
                      </c:pt>
                      <c:pt idx="102">
                        <c:v>1.3980175581682786E-2</c:v>
                      </c:pt>
                      <c:pt idx="103">
                        <c:v>1.3919440317892287E-2</c:v>
                      </c:pt>
                      <c:pt idx="104">
                        <c:v>1.3869535047316441E-2</c:v>
                      </c:pt>
                      <c:pt idx="105">
                        <c:v>1.3828038291162591E-2</c:v>
                      </c:pt>
                      <c:pt idx="106">
                        <c:v>1.3793167460219947E-2</c:v>
                      </c:pt>
                      <c:pt idx="107">
                        <c:v>1.376358725522861E-2</c:v>
                      </c:pt>
                      <c:pt idx="108">
                        <c:v>1.3738281754076563E-2</c:v>
                      </c:pt>
                      <c:pt idx="109">
                        <c:v>1.3607406244058465E-2</c:v>
                      </c:pt>
                      <c:pt idx="110">
                        <c:v>1.35613014268026E-2</c:v>
                      </c:pt>
                      <c:pt idx="111">
                        <c:v>1.3539908333836786E-2</c:v>
                      </c:pt>
                      <c:pt idx="112">
                        <c:v>1.3528273214742165E-2</c:v>
                      </c:pt>
                      <c:pt idx="113">
                        <c:v>1.3521252766359602E-2</c:v>
                      </c:pt>
                      <c:pt idx="114">
                        <c:v>1.3516694274013507E-2</c:v>
                      </c:pt>
                      <c:pt idx="115">
                        <c:v>1.3513568098153309E-2</c:v>
                      </c:pt>
                      <c:pt idx="116">
                        <c:v>1.3511331519216591E-2</c:v>
                      </c:pt>
                      <c:pt idx="117">
                        <c:v>1.350967646541342E-2</c:v>
                      </c:pt>
                      <c:pt idx="118">
                        <c:v>1.3508417525497855E-2</c:v>
                      </c:pt>
                      <c:pt idx="119">
                        <c:v>1.3507437693022064E-2</c:v>
                      </c:pt>
                      <c:pt idx="120">
                        <c:v>1.3506660175370772E-2</c:v>
                      </c:pt>
                      <c:pt idx="121">
                        <c:v>1.350603288118438E-2</c:v>
                      </c:pt>
                      <c:pt idx="122">
                        <c:v>1.3505519465177463E-2</c:v>
                      </c:pt>
                      <c:pt idx="123">
                        <c:v>1.3505093943761315E-2</c:v>
                      </c:pt>
                      <c:pt idx="124">
                        <c:v>1.3504737342349783E-2</c:v>
                      </c:pt>
                      <c:pt idx="125">
                        <c:v>1.350443554323256E-2</c:v>
                      </c:pt>
                      <c:pt idx="126">
                        <c:v>1.3504177866702731E-2</c:v>
                      </c:pt>
                      <c:pt idx="127">
                        <c:v>1.3502852700333674E-2</c:v>
                      </c:pt>
                      <c:pt idx="128">
                        <c:v>1.3502388861378788E-2</c:v>
                      </c:pt>
                      <c:pt idx="129">
                        <c:v>1.3502174164810903E-2</c:v>
                      </c:pt>
                      <c:pt idx="130">
                        <c:v>1.3502057538083857E-2</c:v>
                      </c:pt>
                      <c:pt idx="131">
                        <c:v>1.3501987215358998E-2</c:v>
                      </c:pt>
                      <c:pt idx="132">
                        <c:v>1.3501941573009843E-2</c:v>
                      </c:pt>
                      <c:pt idx="133">
                        <c:v>1.350191028067637E-2</c:v>
                      </c:pt>
                      <c:pt idx="134">
                        <c:v>1.3501887897409819E-2</c:v>
                      </c:pt>
                      <c:pt idx="135">
                        <c:v>1.350187133630007E-2</c:v>
                      </c:pt>
                      <c:pt idx="136">
                        <c:v>1.3501858740204318E-2</c:v>
                      </c:pt>
                      <c:pt idx="137">
                        <c:v>1.3501848937471812E-2</c:v>
                      </c:pt>
                      <c:pt idx="138">
                        <c:v>1.3501841159298589E-2</c:v>
                      </c:pt>
                      <c:pt idx="139">
                        <c:v>1.3501834884262078E-2</c:v>
                      </c:pt>
                      <c:pt idx="140">
                        <c:v>1.3501829748602329E-2</c:v>
                      </c:pt>
                      <c:pt idx="141">
                        <c:v>1.3501825492291706E-2</c:v>
                      </c:pt>
                      <c:pt idx="142">
                        <c:v>1.3501821925460969E-2</c:v>
                      </c:pt>
                      <c:pt idx="143">
                        <c:v>1.3501818906851521E-2</c:v>
                      </c:pt>
                      <c:pt idx="144">
                        <c:v>1.3501816329611192E-2</c:v>
                      </c:pt>
                      <c:pt idx="145">
                        <c:v>1.350180307627352E-2</c:v>
                      </c:pt>
                      <c:pt idx="146">
                        <c:v>1.3501798437602261E-2</c:v>
                      </c:pt>
                      <c:pt idx="147">
                        <c:v>1.3501796290559595E-2</c:v>
                      </c:pt>
                      <c:pt idx="148">
                        <c:v>1.350179512426467E-2</c:v>
                      </c:pt>
                      <c:pt idx="149">
                        <c:v>1.3501794421025568E-2</c:v>
                      </c:pt>
                      <c:pt idx="150">
                        <c:v>1.3501793964596323E-2</c:v>
                      </c:pt>
                      <c:pt idx="151">
                        <c:v>1.3501793651669926E-2</c:v>
                      </c:pt>
                      <c:pt idx="152">
                        <c:v>1.3501793427835512E-2</c:v>
                      </c:pt>
                      <c:pt idx="153">
                        <c:v>1.3501793262223356E-2</c:v>
                      </c:pt>
                      <c:pt idx="154">
                        <c:v>1.3501793136261727E-2</c:v>
                      </c:pt>
                      <c:pt idx="155">
                        <c:v>1.3501793038233963E-2</c:v>
                      </c:pt>
                      <c:pt idx="156">
                        <c:v>1.3501792960451928E-2</c:v>
                      </c:pt>
                      <c:pt idx="157">
                        <c:v>1.3501792897701355E-2</c:v>
                      </c:pt>
                      <c:pt idx="158">
                        <c:v>1.3501792846344608E-2</c:v>
                      </c:pt>
                      <c:pt idx="159">
                        <c:v>1.3501792803781391E-2</c:v>
                      </c:pt>
                      <c:pt idx="160">
                        <c:v>1.3501792768113002E-2</c:v>
                      </c:pt>
                      <c:pt idx="161">
                        <c:v>1.3501792737926845E-2</c:v>
                      </c:pt>
                      <c:pt idx="162">
                        <c:v>1.3501792712154395E-2</c:v>
                      </c:pt>
                      <c:pt idx="163">
                        <c:v>1.3501792579620852E-2</c:v>
                      </c:pt>
                      <c:pt idx="164">
                        <c:v>1.350179253323411E-2</c:v>
                      </c:pt>
                      <c:pt idx="165">
                        <c:v>1.3501792511763677E-2</c:v>
                      </c:pt>
                      <c:pt idx="166">
                        <c:v>1.3501792500100723E-2</c:v>
                      </c:pt>
                      <c:pt idx="167">
                        <c:v>1.3501792493068331E-2</c:v>
                      </c:pt>
                      <c:pt idx="168">
                        <c:v>1.3501792488504038E-2</c:v>
                      </c:pt>
                      <c:pt idx="169">
                        <c:v>1.3501792485374775E-2</c:v>
                      </c:pt>
                    </c:numCache>
                  </c:numRef>
                </c:yVal>
                <c:smooth val="1"/>
                <c:extLst xmlns:c15="http://schemas.microsoft.com/office/drawing/2012/chart">
                  <c:ext xmlns:c16="http://schemas.microsoft.com/office/drawing/2014/chart" uri="{C3380CC4-5D6E-409C-BE32-E72D297353CC}">
                    <c16:uniqueId val="{00000003-D749-4CED-ABCA-C97B8EEF335E}"/>
                  </c:ext>
                </c:extLst>
              </c15:ser>
            </c15:filteredScatterSeries>
          </c:ext>
        </c:extLst>
      </c:scatterChart>
      <c:valAx>
        <c:axId val="93029120"/>
        <c:scaling>
          <c:orientation val="minMax"/>
          <c:max val="10"/>
          <c:min val="0"/>
        </c:scaling>
        <c:delete val="0"/>
        <c:axPos val="b"/>
        <c:majorGridlines/>
        <c:minorGridlines/>
        <c:title>
          <c:tx>
            <c:rich>
              <a:bodyPr/>
              <a:lstStyle/>
              <a:p>
                <a:pPr>
                  <a:defRPr sz="1800">
                    <a:latin typeface="Roman"/>
                  </a:defRPr>
                </a:pPr>
                <a:r>
                  <a:rPr lang="en-US" sz="1800">
                    <a:latin typeface="Roman"/>
                  </a:rPr>
                  <a:t>Input Current (A)</a:t>
                </a:r>
              </a:p>
            </c:rich>
          </c:tx>
          <c:overlay val="0"/>
        </c:title>
        <c:numFmt formatCode="General" sourceLinked="1"/>
        <c:majorTickMark val="out"/>
        <c:minorTickMark val="none"/>
        <c:tickLblPos val="nextTo"/>
        <c:txPr>
          <a:bodyPr/>
          <a:lstStyle/>
          <a:p>
            <a:pPr>
              <a:defRPr sz="1400"/>
            </a:pPr>
            <a:endParaRPr lang="en-US"/>
          </a:p>
        </c:txPr>
        <c:crossAx val="93031040"/>
        <c:crosses val="autoZero"/>
        <c:crossBetween val="midCat"/>
        <c:majorUnit val="1"/>
      </c:valAx>
      <c:valAx>
        <c:axId val="93031040"/>
        <c:scaling>
          <c:orientation val="minMax"/>
          <c:max val="0.60000000000000009"/>
          <c:min val="0"/>
        </c:scaling>
        <c:delete val="0"/>
        <c:axPos val="l"/>
        <c:majorGridlines/>
        <c:title>
          <c:tx>
            <c:rich>
              <a:bodyPr rot="-5400000" vert="horz"/>
              <a:lstStyle/>
              <a:p>
                <a:pPr>
                  <a:defRPr sz="1800">
                    <a:latin typeface="Roman"/>
                  </a:defRPr>
                </a:pPr>
                <a:r>
                  <a:rPr lang="en-US" sz="1800">
                    <a:latin typeface="Roman"/>
                  </a:rPr>
                  <a:t>Error (%)</a:t>
                </a:r>
              </a:p>
            </c:rich>
          </c:tx>
          <c:overlay val="0"/>
        </c:title>
        <c:numFmt formatCode="0%" sourceLinked="0"/>
        <c:majorTickMark val="out"/>
        <c:minorTickMark val="none"/>
        <c:tickLblPos val="nextTo"/>
        <c:txPr>
          <a:bodyPr/>
          <a:lstStyle/>
          <a:p>
            <a:pPr>
              <a:defRPr sz="1400"/>
            </a:pPr>
            <a:endParaRPr lang="en-US"/>
          </a:p>
        </c:txPr>
        <c:crossAx val="93029120"/>
        <c:crosses val="autoZero"/>
        <c:crossBetween val="midCat"/>
        <c:majorUnit val="5.000000000000001E-2"/>
      </c:valAx>
    </c:plotArea>
    <c:legend>
      <c:legendPos val="tr"/>
      <c:layout>
        <c:manualLayout>
          <c:xMode val="edge"/>
          <c:yMode val="edge"/>
          <c:x val="0.68017730205599303"/>
          <c:y val="0.10325486657917761"/>
          <c:w val="0.28565589457567803"/>
          <c:h val="0.23464934860752454"/>
        </c:manualLayout>
      </c:layout>
      <c:overlay val="1"/>
      <c:spPr>
        <a:solidFill>
          <a:schemeClr val="bg1"/>
        </a:solidFill>
        <a:ln>
          <a:solidFill>
            <a:sysClr val="windowText" lastClr="000000"/>
          </a:solidFill>
        </a:ln>
      </c:spPr>
      <c:txPr>
        <a:bodyPr anchor="ctr" anchorCtr="0"/>
        <a:lstStyle/>
        <a:p>
          <a:pPr>
            <a:defRPr sz="1400"/>
          </a:pPr>
          <a:endParaRPr lang="en-US"/>
        </a:p>
      </c:txPr>
    </c:legend>
    <c:plotVisOnly val="1"/>
    <c:dispBlanksAs val="gap"/>
    <c:showDLblsOverMax val="0"/>
  </c:chart>
  <c:printSettings>
    <c:headerFooter/>
    <c:pageMargins b="0.75" l="0.7" r="0.7" t="0.75" header="0.3" footer="0.3"/>
    <c:pageSetup/>
  </c:printSettings>
</c:chartSpace>
</file>

<file path=xl/drawings/_rels/drawing1.xml.rels><?xml version="1.0" encoding="UTF-8" standalone="yes"?>
<Relationships xmlns="http://schemas.openxmlformats.org/package/2006/relationships"><Relationship Id="rId2" Type="http://schemas.openxmlformats.org/officeDocument/2006/relationships/image" Target="../media/image1.gif"/><Relationship Id="rId1" Type="http://schemas.openxmlformats.org/officeDocument/2006/relationships/hyperlink" Target="http://www.ti.com" TargetMode="External"/></Relationships>
</file>

<file path=xl/drawings/_rels/drawing2.xml.rels><?xml version="1.0" encoding="UTF-8" standalone="yes"?>
<Relationships xmlns="http://schemas.openxmlformats.org/package/2006/relationships"><Relationship Id="rId3" Type="http://schemas.openxmlformats.org/officeDocument/2006/relationships/image" Target="../media/image1.gif"/><Relationship Id="rId2" Type="http://schemas.openxmlformats.org/officeDocument/2006/relationships/hyperlink" Target="http://www.ti.com" TargetMode="External"/><Relationship Id="rId1" Type="http://schemas.openxmlformats.org/officeDocument/2006/relationships/chart" Target="../charts/chart1.xml"/><Relationship Id="rId4" Type="http://schemas.openxmlformats.org/officeDocument/2006/relationships/image" Target="../media/image3.png"/></Relationships>
</file>

<file path=xl/drawings/_rels/drawing3.xml.rels><?xml version="1.0" encoding="UTF-8" standalone="yes"?>
<Relationships xmlns="http://schemas.openxmlformats.org/package/2006/relationships"><Relationship Id="rId3" Type="http://schemas.openxmlformats.org/officeDocument/2006/relationships/hyperlink" Target="http://www.ti.com/corp/docs/legal/copyright.shtml" TargetMode="External"/><Relationship Id="rId2" Type="http://schemas.openxmlformats.org/officeDocument/2006/relationships/image" Target="../media/image1.gif"/><Relationship Id="rId1" Type="http://schemas.openxmlformats.org/officeDocument/2006/relationships/hyperlink" Target="http://www.ti.com" TargetMode="External"/></Relationships>
</file>

<file path=xl/drawings/_rels/drawing4.xml.rels><?xml version="1.0" encoding="UTF-8" standalone="yes"?>
<Relationships xmlns="http://schemas.openxmlformats.org/package/2006/relationships"><Relationship Id="rId3" Type="http://schemas.openxmlformats.org/officeDocument/2006/relationships/hyperlink" Target="http://e2e.ti.com/" TargetMode="External"/><Relationship Id="rId7" Type="http://schemas.openxmlformats.org/officeDocument/2006/relationships/image" Target="../media/image7.png"/><Relationship Id="rId2" Type="http://schemas.openxmlformats.org/officeDocument/2006/relationships/image" Target="../media/image1.gif"/><Relationship Id="rId1" Type="http://schemas.openxmlformats.org/officeDocument/2006/relationships/hyperlink" Target="http://www.ti.com" TargetMode="External"/><Relationship Id="rId6" Type="http://schemas.openxmlformats.org/officeDocument/2006/relationships/image" Target="../media/image6.png"/><Relationship Id="rId5" Type="http://schemas.openxmlformats.org/officeDocument/2006/relationships/image" Target="../media/image5.png"/><Relationship Id="rId4" Type="http://schemas.openxmlformats.org/officeDocument/2006/relationships/image" Target="../media/image4.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2.emf"/></Relationships>
</file>

<file path=xl/drawings/drawing1.xml><?xml version="1.0" encoding="utf-8"?>
<xdr:wsDr xmlns:xdr="http://schemas.openxmlformats.org/drawingml/2006/spreadsheetDrawing" xmlns:a="http://schemas.openxmlformats.org/drawingml/2006/main">
  <xdr:oneCellAnchor>
    <xdr:from>
      <xdr:col>0</xdr:col>
      <xdr:colOff>85725</xdr:colOff>
      <xdr:row>0</xdr:row>
      <xdr:rowOff>152400</xdr:rowOff>
    </xdr:from>
    <xdr:ext cx="2314575" cy="295226"/>
    <xdr:pic>
      <xdr:nvPicPr>
        <xdr:cNvPr id="2" name="Picture 1" descr="ti logo">
          <a:hlinkClick xmlns:r="http://schemas.openxmlformats.org/officeDocument/2006/relationships" r:id="rId1"/>
          <a:extLst>
            <a:ext uri="{FF2B5EF4-FFF2-40B4-BE49-F238E27FC236}">
              <a16:creationId xmlns:a16="http://schemas.microsoft.com/office/drawing/2014/main" id="{00000000-0008-0000-0000-000002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5725" y="152400"/>
          <a:ext cx="2314575" cy="29522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904875</xdr:colOff>
      <xdr:row>0</xdr:row>
      <xdr:rowOff>104775</xdr:rowOff>
    </xdr:from>
    <xdr:ext cx="7334250" cy="381708"/>
    <xdr:sp macro="" textlink="">
      <xdr:nvSpPr>
        <xdr:cNvPr id="3" name="TextBox 2">
          <a:extLst>
            <a:ext uri="{FF2B5EF4-FFF2-40B4-BE49-F238E27FC236}">
              <a16:creationId xmlns:a16="http://schemas.microsoft.com/office/drawing/2014/main" id="{00000000-0008-0000-0000-000003000000}"/>
            </a:ext>
          </a:extLst>
        </xdr:cNvPr>
        <xdr:cNvSpPr txBox="1"/>
      </xdr:nvSpPr>
      <xdr:spPr>
        <a:xfrm>
          <a:off x="2914650" y="104775"/>
          <a:ext cx="7334250" cy="38170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pPr algn="ctr"/>
          <a:r>
            <a:rPr lang="en-US" sz="1600">
              <a:latin typeface="Arial Black" panose="020B0A04020102020204" pitchFamily="34" charset="0"/>
            </a:rPr>
            <a:t>Current Sense Amplifier Comparison and Error Calculator</a:t>
          </a:r>
        </a:p>
      </xdr:txBody>
    </xdr:sp>
    <xdr:clientData/>
  </xdr:one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161925</xdr:colOff>
          <xdr:row>6</xdr:row>
          <xdr:rowOff>152400</xdr:rowOff>
        </xdr:from>
        <xdr:to>
          <xdr:col>3</xdr:col>
          <xdr:colOff>1228725</xdr:colOff>
          <xdr:row>8</xdr:row>
          <xdr:rowOff>104775</xdr:rowOff>
        </xdr:to>
        <xdr:sp macro="" textlink="">
          <xdr:nvSpPr>
            <xdr:cNvPr id="18442" name="CommandButton1" hidden="1">
              <a:extLst>
                <a:ext uri="{63B3BB69-23CF-44E3-9099-C40C66FF867C}">
                  <a14:compatExt spid="_x0000_s18442"/>
                </a:ext>
                <a:ext uri="{FF2B5EF4-FFF2-40B4-BE49-F238E27FC236}">
                  <a16:creationId xmlns:a16="http://schemas.microsoft.com/office/drawing/2014/main" id="{00000000-0008-0000-0100-00000A4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8</xdr:col>
      <xdr:colOff>6349</xdr:colOff>
      <xdr:row>23</xdr:row>
      <xdr:rowOff>123825</xdr:rowOff>
    </xdr:from>
    <xdr:to>
      <xdr:col>13</xdr:col>
      <xdr:colOff>749299</xdr:colOff>
      <xdr:row>50</xdr:row>
      <xdr:rowOff>28575</xdr:rowOff>
    </xdr:to>
    <xdr:graphicFrame macro="">
      <xdr:nvGraphicFramePr>
        <xdr:cNvPr id="5" name="Chart 4">
          <a:extLst>
            <a:ext uri="{FF2B5EF4-FFF2-40B4-BE49-F238E27FC236}">
              <a16:creationId xmlns:a16="http://schemas.microsoft.com/office/drawing/2014/main" id="{00000000-0008-0000-01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fLocksWithSheet="0"/>
  </xdr:twoCellAnchor>
  <xdr:twoCellAnchor editAs="oneCell">
    <xdr:from>
      <xdr:col>0</xdr:col>
      <xdr:colOff>47625</xdr:colOff>
      <xdr:row>0</xdr:row>
      <xdr:rowOff>57150</xdr:rowOff>
    </xdr:from>
    <xdr:to>
      <xdr:col>3</xdr:col>
      <xdr:colOff>171450</xdr:colOff>
      <xdr:row>3</xdr:row>
      <xdr:rowOff>104775</xdr:rowOff>
    </xdr:to>
    <xdr:pic>
      <xdr:nvPicPr>
        <xdr:cNvPr id="4" name="Picture 3" descr="ti logo">
          <a:hlinkClick xmlns:r="http://schemas.openxmlformats.org/officeDocument/2006/relationships" r:id="rId2"/>
          <a:extLst>
            <a:ext uri="{FF2B5EF4-FFF2-40B4-BE49-F238E27FC236}">
              <a16:creationId xmlns:a16="http://schemas.microsoft.com/office/drawing/2014/main" id="{00000000-0008-0000-0100-000004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bwMode="auto">
        <a:xfrm>
          <a:off x="47625" y="57150"/>
          <a:ext cx="3733800" cy="4762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oneCellAnchor>
    <xdr:from>
      <xdr:col>0</xdr:col>
      <xdr:colOff>76200</xdr:colOff>
      <xdr:row>2</xdr:row>
      <xdr:rowOff>104775</xdr:rowOff>
    </xdr:from>
    <xdr:ext cx="6581775" cy="381708"/>
    <xdr:sp macro="" textlink="">
      <xdr:nvSpPr>
        <xdr:cNvPr id="6" name="TextBox 5">
          <a:extLst>
            <a:ext uri="{FF2B5EF4-FFF2-40B4-BE49-F238E27FC236}">
              <a16:creationId xmlns:a16="http://schemas.microsoft.com/office/drawing/2014/main" id="{00000000-0008-0000-0100-000006000000}"/>
            </a:ext>
          </a:extLst>
        </xdr:cNvPr>
        <xdr:cNvSpPr txBox="1"/>
      </xdr:nvSpPr>
      <xdr:spPr>
        <a:xfrm>
          <a:off x="76200" y="485775"/>
          <a:ext cx="6581775" cy="38170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pPr algn="ctr"/>
          <a:r>
            <a:rPr lang="en-US" sz="1600">
              <a:latin typeface="Arial Black" panose="020B0A04020102020204" pitchFamily="34" charset="0"/>
            </a:rPr>
            <a:t>Current Sense Amplifier Comparison and Error Calculator</a:t>
          </a:r>
        </a:p>
      </xdr:txBody>
    </xdr:sp>
    <xdr:clientData/>
  </xdr:oneCellAnchor>
  <xdr:twoCellAnchor editAs="oneCell">
    <xdr:from>
      <xdr:col>8</xdr:col>
      <xdr:colOff>38100</xdr:colOff>
      <xdr:row>21</xdr:row>
      <xdr:rowOff>9526</xdr:rowOff>
    </xdr:from>
    <xdr:to>
      <xdr:col>11</xdr:col>
      <xdr:colOff>1347182</xdr:colOff>
      <xdr:row>23</xdr:row>
      <xdr:rowOff>114300</xdr:rowOff>
    </xdr:to>
    <xdr:pic>
      <xdr:nvPicPr>
        <xdr:cNvPr id="7" name="Picture 6">
          <a:extLst>
            <a:ext uri="{FF2B5EF4-FFF2-40B4-BE49-F238E27FC236}">
              <a16:creationId xmlns:a16="http://schemas.microsoft.com/office/drawing/2014/main" id="{00000000-0008-0000-0100-000007000000}"/>
            </a:ext>
          </a:extLst>
        </xdr:cNvPr>
        <xdr:cNvPicPr>
          <a:picLocks noChangeAspect="1"/>
        </xdr:cNvPicPr>
      </xdr:nvPicPr>
      <xdr:blipFill rotWithShape="1">
        <a:blip xmlns:r="http://schemas.openxmlformats.org/officeDocument/2006/relationships" r:embed="rId4" cstate="print">
          <a:extLst>
            <a:ext uri="{28A0092B-C50C-407E-A947-70E740481C1C}">
              <a14:useLocalDpi xmlns:a14="http://schemas.microsoft.com/office/drawing/2010/main" val="0"/>
            </a:ext>
          </a:extLst>
        </a:blip>
        <a:srcRect t="22077" b="19334"/>
        <a:stretch/>
      </xdr:blipFill>
      <xdr:spPr>
        <a:xfrm>
          <a:off x="9353550" y="3209926"/>
          <a:ext cx="3785582" cy="390524"/>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85725</xdr:colOff>
      <xdr:row>0</xdr:row>
      <xdr:rowOff>152400</xdr:rowOff>
    </xdr:from>
    <xdr:to>
      <xdr:col>1</xdr:col>
      <xdr:colOff>1352550</xdr:colOff>
      <xdr:row>2</xdr:row>
      <xdr:rowOff>66626</xdr:rowOff>
    </xdr:to>
    <xdr:pic>
      <xdr:nvPicPr>
        <xdr:cNvPr id="2" name="Picture 1" descr="ti logo">
          <a:hlinkClick xmlns:r="http://schemas.openxmlformats.org/officeDocument/2006/relationships" r:id="rId1"/>
          <a:extLst>
            <a:ext uri="{FF2B5EF4-FFF2-40B4-BE49-F238E27FC236}">
              <a16:creationId xmlns:a16="http://schemas.microsoft.com/office/drawing/2014/main" id="{00000000-0008-0000-0300-000002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5725" y="152400"/>
          <a:ext cx="2314575" cy="29522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oneCellAnchor>
    <xdr:from>
      <xdr:col>1</xdr:col>
      <xdr:colOff>1485900</xdr:colOff>
      <xdr:row>0</xdr:row>
      <xdr:rowOff>114300</xdr:rowOff>
    </xdr:from>
    <xdr:ext cx="7153275" cy="381708"/>
    <xdr:sp macro="" textlink="">
      <xdr:nvSpPr>
        <xdr:cNvPr id="3" name="TextBox 2">
          <a:extLst>
            <a:ext uri="{FF2B5EF4-FFF2-40B4-BE49-F238E27FC236}">
              <a16:creationId xmlns:a16="http://schemas.microsoft.com/office/drawing/2014/main" id="{00000000-0008-0000-0300-000003000000}"/>
            </a:ext>
          </a:extLst>
        </xdr:cNvPr>
        <xdr:cNvSpPr txBox="1"/>
      </xdr:nvSpPr>
      <xdr:spPr>
        <a:xfrm>
          <a:off x="2533650" y="114300"/>
          <a:ext cx="7153275" cy="38170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pPr algn="ctr"/>
          <a:r>
            <a:rPr lang="en-US" sz="1600">
              <a:latin typeface="Arial Black" panose="020B0A04020102020204" pitchFamily="34" charset="0"/>
            </a:rPr>
            <a:t>Current Sense Amplifier Comparison and Error Calculator</a:t>
          </a:r>
        </a:p>
      </xdr:txBody>
    </xdr:sp>
    <xdr:clientData/>
  </xdr:oneCellAnchor>
  <xdr:oneCellAnchor>
    <xdr:from>
      <xdr:col>4</xdr:col>
      <xdr:colOff>161925</xdr:colOff>
      <xdr:row>1</xdr:row>
      <xdr:rowOff>28575</xdr:rowOff>
    </xdr:from>
    <xdr:ext cx="4540730" cy="264560"/>
    <xdr:sp macro="" textlink="">
      <xdr:nvSpPr>
        <xdr:cNvPr id="4" name="TextBox 3">
          <a:hlinkClick xmlns:r="http://schemas.openxmlformats.org/officeDocument/2006/relationships" r:id="rId3"/>
          <a:extLst>
            <a:ext uri="{FF2B5EF4-FFF2-40B4-BE49-F238E27FC236}">
              <a16:creationId xmlns:a16="http://schemas.microsoft.com/office/drawing/2014/main" id="{00000000-0008-0000-0300-000004000000}"/>
            </a:ext>
          </a:extLst>
        </xdr:cNvPr>
        <xdr:cNvSpPr txBox="1"/>
      </xdr:nvSpPr>
      <xdr:spPr>
        <a:xfrm>
          <a:off x="9658350" y="219075"/>
          <a:ext cx="4540730"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1100" b="0" i="0" u="none" strike="noStrike">
              <a:solidFill>
                <a:schemeClr val="tx1"/>
              </a:solidFill>
              <a:effectLst/>
              <a:latin typeface="+mn-lt"/>
              <a:ea typeface="+mn-ea"/>
              <a:cs typeface="+mn-cs"/>
              <a:hlinkClick xmlns:r="http://schemas.openxmlformats.org/officeDocument/2006/relationships" r:id=""/>
            </a:rPr>
            <a:t>© Copyright 1995-2014</a:t>
          </a:r>
          <a:r>
            <a:rPr lang="en-US" sz="1100" b="0" i="0">
              <a:solidFill>
                <a:schemeClr val="tx1"/>
              </a:solidFill>
              <a:effectLst/>
              <a:latin typeface="+mn-lt"/>
              <a:ea typeface="+mn-ea"/>
              <a:cs typeface="+mn-cs"/>
            </a:rPr>
            <a:t> Texas Instruments Incorporated. All rights reserved.</a:t>
          </a:r>
          <a:endParaRPr lang="en-US" sz="1100"/>
        </a:p>
      </xdr:txBody>
    </xdr:sp>
    <xdr:clientData/>
  </xdr:oneCellAnchor>
  <xdr:oneCellAnchor>
    <xdr:from>
      <xdr:col>0</xdr:col>
      <xdr:colOff>285749</xdr:colOff>
      <xdr:row>6</xdr:row>
      <xdr:rowOff>19050</xdr:rowOff>
    </xdr:from>
    <xdr:ext cx="7343775" cy="8690199"/>
    <xdr:sp macro="" textlink="">
      <xdr:nvSpPr>
        <xdr:cNvPr id="5" name="TextBox 4">
          <a:extLst>
            <a:ext uri="{FF2B5EF4-FFF2-40B4-BE49-F238E27FC236}">
              <a16:creationId xmlns:a16="http://schemas.microsoft.com/office/drawing/2014/main" id="{00000000-0008-0000-0300-000005000000}"/>
            </a:ext>
          </a:extLst>
        </xdr:cNvPr>
        <xdr:cNvSpPr txBox="1"/>
      </xdr:nvSpPr>
      <xdr:spPr>
        <a:xfrm>
          <a:off x="285749" y="1133475"/>
          <a:ext cx="7343775" cy="8690199"/>
        </a:xfrm>
        <a:prstGeom prst="rect">
          <a:avLst/>
        </a:prstGeom>
        <a:solidFill>
          <a:srgbClr val="AAAAAA"/>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US" sz="1100" b="1">
              <a:solidFill>
                <a:schemeClr val="tx1"/>
              </a:solidFill>
              <a:effectLst/>
              <a:latin typeface="Arial" panose="020B0604020202020204" pitchFamily="34" charset="0"/>
              <a:ea typeface="+mn-ea"/>
              <a:cs typeface="Arial" panose="020B0604020202020204" pitchFamily="34" charset="0"/>
            </a:rPr>
            <a:t>TEXAS INSTRUMENTS TEXT FILE LICENSE</a:t>
          </a:r>
          <a:endParaRPr lang="en-US">
            <a:effectLst/>
            <a:latin typeface="Arial" panose="020B0604020202020204" pitchFamily="34" charset="0"/>
            <a:cs typeface="Arial" panose="020B0604020202020204" pitchFamily="34" charset="0"/>
          </a:endParaRPr>
        </a:p>
        <a:p>
          <a:r>
            <a:rPr lang="en-US" sz="1100">
              <a:solidFill>
                <a:schemeClr val="tx1"/>
              </a:solidFill>
              <a:effectLst/>
              <a:latin typeface="Arial" panose="020B0604020202020204" pitchFamily="34" charset="0"/>
              <a:ea typeface="+mn-ea"/>
              <a:cs typeface="Arial" panose="020B0604020202020204" pitchFamily="34" charset="0"/>
            </a:rPr>
            <a:t> </a:t>
          </a:r>
          <a:endParaRPr lang="en-US">
            <a:effectLst/>
            <a:latin typeface="Arial" panose="020B0604020202020204" pitchFamily="34" charset="0"/>
            <a:cs typeface="Arial" panose="020B0604020202020204" pitchFamily="34" charset="0"/>
          </a:endParaRPr>
        </a:p>
        <a:p>
          <a:r>
            <a:rPr lang="en-US" sz="1100">
              <a:solidFill>
                <a:schemeClr val="tx1"/>
              </a:solidFill>
              <a:effectLst/>
              <a:latin typeface="Arial" panose="020B0604020202020204" pitchFamily="34" charset="0"/>
              <a:ea typeface="+mn-ea"/>
              <a:cs typeface="Arial" panose="020B0604020202020204" pitchFamily="34" charset="0"/>
            </a:rPr>
            <a:t>Copyright (c) 2015 Texas Instruments Incorporated</a:t>
          </a:r>
          <a:endParaRPr lang="en-US">
            <a:effectLst/>
            <a:latin typeface="Arial" panose="020B0604020202020204" pitchFamily="34" charset="0"/>
            <a:cs typeface="Arial" panose="020B0604020202020204" pitchFamily="34" charset="0"/>
          </a:endParaRPr>
        </a:p>
        <a:p>
          <a:r>
            <a:rPr lang="en-US" sz="1100">
              <a:solidFill>
                <a:schemeClr val="tx1"/>
              </a:solidFill>
              <a:effectLst/>
              <a:latin typeface="Arial" panose="020B0604020202020204" pitchFamily="34" charset="0"/>
              <a:ea typeface="+mn-ea"/>
              <a:cs typeface="Arial" panose="020B0604020202020204" pitchFamily="34" charset="0"/>
            </a:rPr>
            <a:t> </a:t>
          </a:r>
          <a:endParaRPr lang="en-US">
            <a:effectLst/>
            <a:latin typeface="Arial" panose="020B0604020202020204" pitchFamily="34" charset="0"/>
            <a:cs typeface="Arial" panose="020B0604020202020204" pitchFamily="34" charset="0"/>
          </a:endParaRPr>
        </a:p>
        <a:p>
          <a:r>
            <a:rPr lang="en-US" sz="1100">
              <a:solidFill>
                <a:schemeClr val="tx1"/>
              </a:solidFill>
              <a:effectLst/>
              <a:latin typeface="Arial" panose="020B0604020202020204" pitchFamily="34" charset="0"/>
              <a:ea typeface="+mn-ea"/>
              <a:cs typeface="Arial" panose="020B0604020202020204" pitchFamily="34" charset="0"/>
            </a:rPr>
            <a:t>All rights reserved not granted herein.</a:t>
          </a:r>
          <a:endParaRPr lang="en-US">
            <a:effectLst/>
            <a:latin typeface="Arial" panose="020B0604020202020204" pitchFamily="34" charset="0"/>
            <a:cs typeface="Arial" panose="020B0604020202020204" pitchFamily="34" charset="0"/>
          </a:endParaRPr>
        </a:p>
        <a:p>
          <a:r>
            <a:rPr lang="en-US" sz="1100">
              <a:solidFill>
                <a:schemeClr val="tx1"/>
              </a:solidFill>
              <a:effectLst/>
              <a:latin typeface="Arial" panose="020B0604020202020204" pitchFamily="34" charset="0"/>
              <a:ea typeface="+mn-ea"/>
              <a:cs typeface="Arial" panose="020B0604020202020204" pitchFamily="34" charset="0"/>
            </a:rPr>
            <a:t> </a:t>
          </a:r>
          <a:endParaRPr lang="en-US">
            <a:effectLst/>
            <a:latin typeface="Arial" panose="020B0604020202020204" pitchFamily="34" charset="0"/>
            <a:cs typeface="Arial" panose="020B0604020202020204" pitchFamily="34" charset="0"/>
          </a:endParaRPr>
        </a:p>
        <a:p>
          <a:r>
            <a:rPr lang="en-US" sz="1100">
              <a:solidFill>
                <a:schemeClr val="tx1"/>
              </a:solidFill>
              <a:effectLst/>
              <a:latin typeface="Arial" panose="020B0604020202020204" pitchFamily="34" charset="0"/>
              <a:ea typeface="+mn-ea"/>
              <a:cs typeface="Arial" panose="020B0604020202020204" pitchFamily="34" charset="0"/>
            </a:rPr>
            <a:t>Limited License.  </a:t>
          </a:r>
          <a:endParaRPr lang="en-US">
            <a:effectLst/>
            <a:latin typeface="Arial" panose="020B0604020202020204" pitchFamily="34" charset="0"/>
            <a:cs typeface="Arial" panose="020B0604020202020204" pitchFamily="34" charset="0"/>
          </a:endParaRPr>
        </a:p>
        <a:p>
          <a:r>
            <a:rPr lang="en-US" sz="1100">
              <a:solidFill>
                <a:schemeClr val="tx1"/>
              </a:solidFill>
              <a:effectLst/>
              <a:latin typeface="Arial" panose="020B0604020202020204" pitchFamily="34" charset="0"/>
              <a:ea typeface="+mn-ea"/>
              <a:cs typeface="Arial" panose="020B0604020202020204" pitchFamily="34" charset="0"/>
            </a:rPr>
            <a:t> </a:t>
          </a:r>
          <a:endParaRPr lang="en-US">
            <a:effectLst/>
            <a:latin typeface="Arial" panose="020B0604020202020204" pitchFamily="34" charset="0"/>
            <a:cs typeface="Arial" panose="020B0604020202020204" pitchFamily="34" charset="0"/>
          </a:endParaRPr>
        </a:p>
        <a:p>
          <a:r>
            <a:rPr lang="en-US" sz="1100">
              <a:solidFill>
                <a:schemeClr val="tx1"/>
              </a:solidFill>
              <a:effectLst/>
              <a:latin typeface="Arial" panose="020B0604020202020204" pitchFamily="34" charset="0"/>
              <a:ea typeface="+mn-ea"/>
              <a:cs typeface="Arial" panose="020B0604020202020204" pitchFamily="34" charset="0"/>
            </a:rPr>
            <a:t>Texas Instruments Incorporated grants a world-wide, royalty-free, non-exclusive license under copyrights and patents it now or hereafter owns or controls to make, have made, use, import, offer to sell and sell ("Utilize") this software subject to the terms herein.  With respect to the foregoing patent license, such license is granted  solely to the extent that any such patent is necessary to Utilize the software alone.  The patent license shall not apply to any combinations which include this software, other than combinations with devices manufactured by or for TI (“TI Devices”).  No hardware patent is licensed hereunder.</a:t>
          </a:r>
          <a:endParaRPr lang="en-US">
            <a:effectLst/>
            <a:latin typeface="Arial" panose="020B0604020202020204" pitchFamily="34" charset="0"/>
            <a:cs typeface="Arial" panose="020B0604020202020204" pitchFamily="34" charset="0"/>
          </a:endParaRPr>
        </a:p>
        <a:p>
          <a:r>
            <a:rPr lang="en-US" sz="1100">
              <a:solidFill>
                <a:schemeClr val="tx1"/>
              </a:solidFill>
              <a:effectLst/>
              <a:latin typeface="Arial" panose="020B0604020202020204" pitchFamily="34" charset="0"/>
              <a:ea typeface="+mn-ea"/>
              <a:cs typeface="Arial" panose="020B0604020202020204" pitchFamily="34" charset="0"/>
            </a:rPr>
            <a:t> </a:t>
          </a:r>
          <a:endParaRPr lang="en-US">
            <a:effectLst/>
            <a:latin typeface="Arial" panose="020B0604020202020204" pitchFamily="34" charset="0"/>
            <a:cs typeface="Arial" panose="020B0604020202020204" pitchFamily="34" charset="0"/>
          </a:endParaRPr>
        </a:p>
        <a:p>
          <a:r>
            <a:rPr lang="en-US" sz="1100">
              <a:solidFill>
                <a:schemeClr val="tx1"/>
              </a:solidFill>
              <a:effectLst/>
              <a:latin typeface="Arial" panose="020B0604020202020204" pitchFamily="34" charset="0"/>
              <a:ea typeface="+mn-ea"/>
              <a:cs typeface="Arial" panose="020B0604020202020204" pitchFamily="34" charset="0"/>
            </a:rPr>
            <a:t>Redistributions must preserve existing copyright notices and reproduce this license (including the above copyright notice and the disclaimer and (if applicable) source code license limitations below) in the documentation and/or other materials provided with the distribution</a:t>
          </a:r>
          <a:endParaRPr lang="en-US">
            <a:effectLst/>
            <a:latin typeface="Arial" panose="020B0604020202020204" pitchFamily="34" charset="0"/>
            <a:cs typeface="Arial" panose="020B0604020202020204" pitchFamily="34" charset="0"/>
          </a:endParaRPr>
        </a:p>
        <a:p>
          <a:r>
            <a:rPr lang="en-US" sz="1100">
              <a:solidFill>
                <a:schemeClr val="tx1"/>
              </a:solidFill>
              <a:effectLst/>
              <a:latin typeface="Arial" panose="020B0604020202020204" pitchFamily="34" charset="0"/>
              <a:ea typeface="+mn-ea"/>
              <a:cs typeface="Arial" panose="020B0604020202020204" pitchFamily="34" charset="0"/>
            </a:rPr>
            <a:t> </a:t>
          </a:r>
          <a:endParaRPr lang="en-US">
            <a:effectLst/>
            <a:latin typeface="Arial" panose="020B0604020202020204" pitchFamily="34" charset="0"/>
            <a:cs typeface="Arial" panose="020B0604020202020204" pitchFamily="34" charset="0"/>
          </a:endParaRPr>
        </a:p>
        <a:p>
          <a:r>
            <a:rPr lang="en-US" sz="1100">
              <a:solidFill>
                <a:schemeClr val="tx1"/>
              </a:solidFill>
              <a:effectLst/>
              <a:latin typeface="Arial" panose="020B0604020202020204" pitchFamily="34" charset="0"/>
              <a:ea typeface="+mn-ea"/>
              <a:cs typeface="Arial" panose="020B0604020202020204" pitchFamily="34" charset="0"/>
            </a:rPr>
            <a:t>Redistribution and use in binary form, without modification, are permitted provided that the following conditions are met:</a:t>
          </a:r>
          <a:endParaRPr lang="en-US">
            <a:effectLst/>
            <a:latin typeface="Arial" panose="020B0604020202020204" pitchFamily="34" charset="0"/>
            <a:cs typeface="Arial" panose="020B0604020202020204" pitchFamily="34" charset="0"/>
          </a:endParaRPr>
        </a:p>
        <a:p>
          <a:r>
            <a:rPr lang="en-US" sz="1100">
              <a:solidFill>
                <a:schemeClr val="tx1"/>
              </a:solidFill>
              <a:effectLst/>
              <a:latin typeface="Arial" panose="020B0604020202020204" pitchFamily="34" charset="0"/>
              <a:ea typeface="+mn-ea"/>
              <a:cs typeface="Arial" panose="020B0604020202020204" pitchFamily="34" charset="0"/>
            </a:rPr>
            <a:t> </a:t>
          </a:r>
          <a:endParaRPr lang="en-US">
            <a:effectLst/>
            <a:latin typeface="Arial" panose="020B0604020202020204" pitchFamily="34" charset="0"/>
            <a:cs typeface="Arial" panose="020B0604020202020204" pitchFamily="34" charset="0"/>
          </a:endParaRPr>
        </a:p>
        <a:p>
          <a:r>
            <a:rPr lang="en-US" sz="1100">
              <a:solidFill>
                <a:schemeClr val="tx1"/>
              </a:solidFill>
              <a:effectLst/>
              <a:latin typeface="Arial" panose="020B0604020202020204" pitchFamily="34" charset="0"/>
              <a:ea typeface="+mn-ea"/>
              <a:cs typeface="Arial" panose="020B0604020202020204" pitchFamily="34" charset="0"/>
            </a:rPr>
            <a:t>*</a:t>
          </a:r>
          <a:r>
            <a:rPr lang="en-US" sz="1100" baseline="0">
              <a:solidFill>
                <a:schemeClr val="tx1"/>
              </a:solidFill>
              <a:effectLst/>
              <a:latin typeface="Arial" panose="020B0604020202020204" pitchFamily="34" charset="0"/>
              <a:ea typeface="+mn-ea"/>
              <a:cs typeface="Arial" panose="020B0604020202020204" pitchFamily="34" charset="0"/>
            </a:rPr>
            <a:t>  </a:t>
          </a:r>
          <a:r>
            <a:rPr lang="en-US" sz="1100">
              <a:solidFill>
                <a:schemeClr val="tx1"/>
              </a:solidFill>
              <a:effectLst/>
              <a:latin typeface="Arial" panose="020B0604020202020204" pitchFamily="34" charset="0"/>
              <a:ea typeface="+mn-ea"/>
              <a:cs typeface="Arial" panose="020B0604020202020204" pitchFamily="34" charset="0"/>
            </a:rPr>
            <a:t>No reverse engineering, decompilation, or disassembly of this software is permitted with respect to any software provided in binary form.</a:t>
          </a:r>
          <a:endParaRPr lang="en-US">
            <a:effectLst/>
            <a:latin typeface="Arial" panose="020B0604020202020204" pitchFamily="34" charset="0"/>
            <a:cs typeface="Arial" panose="020B0604020202020204" pitchFamily="34" charset="0"/>
          </a:endParaRPr>
        </a:p>
        <a:p>
          <a:r>
            <a:rPr lang="en-US" sz="1100">
              <a:solidFill>
                <a:schemeClr val="tx1"/>
              </a:solidFill>
              <a:effectLst/>
              <a:latin typeface="Arial" panose="020B0604020202020204" pitchFamily="34" charset="0"/>
              <a:ea typeface="+mn-ea"/>
              <a:cs typeface="Arial" panose="020B0604020202020204" pitchFamily="34" charset="0"/>
            </a:rPr>
            <a:t> </a:t>
          </a:r>
          <a:endParaRPr lang="en-US">
            <a:effectLst/>
            <a:latin typeface="Arial" panose="020B0604020202020204" pitchFamily="34" charset="0"/>
            <a:cs typeface="Arial" panose="020B0604020202020204" pitchFamily="34" charset="0"/>
          </a:endParaRPr>
        </a:p>
        <a:p>
          <a:r>
            <a:rPr lang="en-US" sz="1100">
              <a:solidFill>
                <a:schemeClr val="tx1"/>
              </a:solidFill>
              <a:effectLst/>
              <a:latin typeface="Arial" panose="020B0604020202020204" pitchFamily="34" charset="0"/>
              <a:ea typeface="+mn-ea"/>
              <a:cs typeface="Arial" panose="020B0604020202020204" pitchFamily="34" charset="0"/>
            </a:rPr>
            <a:t>*  Any redistribution and use are licensed by TI for use only with TI Devices.</a:t>
          </a:r>
          <a:endParaRPr lang="en-US">
            <a:effectLst/>
            <a:latin typeface="Arial" panose="020B0604020202020204" pitchFamily="34" charset="0"/>
            <a:cs typeface="Arial" panose="020B0604020202020204" pitchFamily="34" charset="0"/>
          </a:endParaRPr>
        </a:p>
        <a:p>
          <a:r>
            <a:rPr lang="en-US" sz="1100">
              <a:solidFill>
                <a:schemeClr val="tx1"/>
              </a:solidFill>
              <a:effectLst/>
              <a:latin typeface="Arial" panose="020B0604020202020204" pitchFamily="34" charset="0"/>
              <a:ea typeface="+mn-ea"/>
              <a:cs typeface="Arial" panose="020B0604020202020204" pitchFamily="34" charset="0"/>
            </a:rPr>
            <a:t> </a:t>
          </a:r>
          <a:endParaRPr lang="en-US">
            <a:effectLst/>
            <a:latin typeface="Arial" panose="020B0604020202020204" pitchFamily="34" charset="0"/>
            <a:cs typeface="Arial" panose="020B0604020202020204" pitchFamily="34" charset="0"/>
          </a:endParaRPr>
        </a:p>
        <a:p>
          <a:r>
            <a:rPr lang="en-US" sz="1100">
              <a:solidFill>
                <a:schemeClr val="tx1"/>
              </a:solidFill>
              <a:effectLst/>
              <a:latin typeface="Arial" panose="020B0604020202020204" pitchFamily="34" charset="0"/>
              <a:ea typeface="+mn-ea"/>
              <a:cs typeface="Arial" panose="020B0604020202020204" pitchFamily="34" charset="0"/>
            </a:rPr>
            <a:t>*  Nothing shall obligate TI to provide you with source code for the software licensed and provided to you in object code.</a:t>
          </a:r>
          <a:endParaRPr lang="en-US">
            <a:effectLst/>
            <a:latin typeface="Arial" panose="020B0604020202020204" pitchFamily="34" charset="0"/>
            <a:cs typeface="Arial" panose="020B0604020202020204" pitchFamily="34" charset="0"/>
          </a:endParaRPr>
        </a:p>
        <a:p>
          <a:r>
            <a:rPr lang="en-US" sz="1100">
              <a:solidFill>
                <a:schemeClr val="tx1"/>
              </a:solidFill>
              <a:effectLst/>
              <a:latin typeface="Arial" panose="020B0604020202020204" pitchFamily="34" charset="0"/>
              <a:ea typeface="+mn-ea"/>
              <a:cs typeface="Arial" panose="020B0604020202020204" pitchFamily="34" charset="0"/>
            </a:rPr>
            <a:t> </a:t>
          </a:r>
          <a:endParaRPr lang="en-US">
            <a:effectLst/>
            <a:latin typeface="Arial" panose="020B0604020202020204" pitchFamily="34" charset="0"/>
            <a:cs typeface="Arial" panose="020B0604020202020204" pitchFamily="34" charset="0"/>
          </a:endParaRPr>
        </a:p>
        <a:p>
          <a:r>
            <a:rPr lang="en-US" sz="1100">
              <a:solidFill>
                <a:schemeClr val="tx1"/>
              </a:solidFill>
              <a:effectLst/>
              <a:latin typeface="Arial" panose="020B0604020202020204" pitchFamily="34" charset="0"/>
              <a:ea typeface="+mn-ea"/>
              <a:cs typeface="Arial" panose="020B0604020202020204" pitchFamily="34" charset="0"/>
            </a:rPr>
            <a:t>If software source code is provided to you, modification and redistribution of the source code are permitted provided that the following conditions are met:</a:t>
          </a:r>
          <a:endParaRPr lang="en-US">
            <a:effectLst/>
            <a:latin typeface="Arial" panose="020B0604020202020204" pitchFamily="34" charset="0"/>
            <a:cs typeface="Arial" panose="020B0604020202020204" pitchFamily="34" charset="0"/>
          </a:endParaRPr>
        </a:p>
        <a:p>
          <a:r>
            <a:rPr lang="en-US" sz="1100">
              <a:solidFill>
                <a:schemeClr val="tx1"/>
              </a:solidFill>
              <a:effectLst/>
              <a:latin typeface="Arial" panose="020B0604020202020204" pitchFamily="34" charset="0"/>
              <a:ea typeface="+mn-ea"/>
              <a:cs typeface="Arial" panose="020B0604020202020204" pitchFamily="34" charset="0"/>
            </a:rPr>
            <a:t> </a:t>
          </a:r>
          <a:endParaRPr lang="en-US">
            <a:effectLst/>
            <a:latin typeface="Arial" panose="020B0604020202020204" pitchFamily="34" charset="0"/>
            <a:cs typeface="Arial" panose="020B0604020202020204" pitchFamily="34" charset="0"/>
          </a:endParaRPr>
        </a:p>
        <a:p>
          <a:r>
            <a:rPr lang="en-US" sz="1100">
              <a:solidFill>
                <a:schemeClr val="tx1"/>
              </a:solidFill>
              <a:effectLst/>
              <a:latin typeface="Arial" panose="020B0604020202020204" pitchFamily="34" charset="0"/>
              <a:ea typeface="+mn-ea"/>
              <a:cs typeface="Arial" panose="020B0604020202020204" pitchFamily="34" charset="0"/>
            </a:rPr>
            <a:t>*  Any redistribution and use of the source code, including any resulting derivative works, are licensed by TI for use only with TI Devices.</a:t>
          </a:r>
          <a:endParaRPr lang="en-US">
            <a:effectLst/>
            <a:latin typeface="Arial" panose="020B0604020202020204" pitchFamily="34" charset="0"/>
            <a:cs typeface="Arial" panose="020B0604020202020204" pitchFamily="34" charset="0"/>
          </a:endParaRPr>
        </a:p>
        <a:p>
          <a:r>
            <a:rPr lang="en-US" sz="1100">
              <a:solidFill>
                <a:schemeClr val="tx1"/>
              </a:solidFill>
              <a:effectLst/>
              <a:latin typeface="Arial" panose="020B0604020202020204" pitchFamily="34" charset="0"/>
              <a:ea typeface="+mn-ea"/>
              <a:cs typeface="Arial" panose="020B0604020202020204" pitchFamily="34" charset="0"/>
            </a:rPr>
            <a:t> </a:t>
          </a:r>
          <a:endParaRPr lang="en-US">
            <a:effectLst/>
            <a:latin typeface="Arial" panose="020B0604020202020204" pitchFamily="34" charset="0"/>
            <a:cs typeface="Arial" panose="020B0604020202020204" pitchFamily="34" charset="0"/>
          </a:endParaRPr>
        </a:p>
        <a:p>
          <a:r>
            <a:rPr lang="en-US" sz="1100">
              <a:solidFill>
                <a:schemeClr val="tx1"/>
              </a:solidFill>
              <a:effectLst/>
              <a:latin typeface="Arial" panose="020B0604020202020204" pitchFamily="34" charset="0"/>
              <a:ea typeface="+mn-ea"/>
              <a:cs typeface="Arial" panose="020B0604020202020204" pitchFamily="34" charset="0"/>
            </a:rPr>
            <a:t>*  Any redistribution and use of any object code compiled from the source code and any resulting derivative works, are licensed by TI for use only with TI Devices.</a:t>
          </a:r>
          <a:endParaRPr lang="en-US">
            <a:effectLst/>
            <a:latin typeface="Arial" panose="020B0604020202020204" pitchFamily="34" charset="0"/>
            <a:cs typeface="Arial" panose="020B0604020202020204" pitchFamily="34" charset="0"/>
          </a:endParaRPr>
        </a:p>
        <a:p>
          <a:r>
            <a:rPr lang="en-US" sz="1100">
              <a:solidFill>
                <a:schemeClr val="tx1"/>
              </a:solidFill>
              <a:effectLst/>
              <a:latin typeface="Arial" panose="020B0604020202020204" pitchFamily="34" charset="0"/>
              <a:ea typeface="+mn-ea"/>
              <a:cs typeface="Arial" panose="020B0604020202020204" pitchFamily="34" charset="0"/>
            </a:rPr>
            <a:t> </a:t>
          </a:r>
          <a:endParaRPr lang="en-US">
            <a:effectLst/>
            <a:latin typeface="Arial" panose="020B0604020202020204" pitchFamily="34" charset="0"/>
            <a:cs typeface="Arial" panose="020B0604020202020204" pitchFamily="34" charset="0"/>
          </a:endParaRPr>
        </a:p>
        <a:p>
          <a:r>
            <a:rPr lang="en-US" sz="1100">
              <a:solidFill>
                <a:schemeClr val="tx1"/>
              </a:solidFill>
              <a:effectLst/>
              <a:latin typeface="Arial" panose="020B0604020202020204" pitchFamily="34" charset="0"/>
              <a:ea typeface="+mn-ea"/>
              <a:cs typeface="Arial" panose="020B0604020202020204" pitchFamily="34" charset="0"/>
            </a:rPr>
            <a:t>Neither the name of Texas Instruments Incorporated nor the names of its suppliers may be used to endorse or promote products derived from this software without specific prior written permission.</a:t>
          </a:r>
          <a:endParaRPr lang="en-US">
            <a:effectLst/>
            <a:latin typeface="Arial" panose="020B0604020202020204" pitchFamily="34" charset="0"/>
            <a:cs typeface="Arial" panose="020B0604020202020204" pitchFamily="34" charset="0"/>
          </a:endParaRPr>
        </a:p>
        <a:p>
          <a:r>
            <a:rPr lang="en-US" sz="1100">
              <a:solidFill>
                <a:schemeClr val="tx1"/>
              </a:solidFill>
              <a:effectLst/>
              <a:latin typeface="Arial" panose="020B0604020202020204" pitchFamily="34" charset="0"/>
              <a:ea typeface="+mn-ea"/>
              <a:cs typeface="Arial" panose="020B0604020202020204" pitchFamily="34" charset="0"/>
            </a:rPr>
            <a:t> </a:t>
          </a:r>
          <a:endParaRPr lang="en-US">
            <a:effectLst/>
            <a:latin typeface="Arial" panose="020B0604020202020204" pitchFamily="34" charset="0"/>
            <a:cs typeface="Arial" panose="020B0604020202020204" pitchFamily="34" charset="0"/>
          </a:endParaRPr>
        </a:p>
        <a:p>
          <a:r>
            <a:rPr lang="en-US" sz="1100" b="1">
              <a:solidFill>
                <a:schemeClr val="tx1"/>
              </a:solidFill>
              <a:effectLst/>
              <a:latin typeface="Arial" panose="020B0604020202020204" pitchFamily="34" charset="0"/>
              <a:ea typeface="+mn-ea"/>
              <a:cs typeface="Arial" panose="020B0604020202020204" pitchFamily="34" charset="0"/>
            </a:rPr>
            <a:t>DISCLAIMER.</a:t>
          </a:r>
          <a:endParaRPr lang="en-US">
            <a:effectLst/>
            <a:latin typeface="Arial" panose="020B0604020202020204" pitchFamily="34" charset="0"/>
            <a:cs typeface="Arial" panose="020B0604020202020204" pitchFamily="34" charset="0"/>
          </a:endParaRPr>
        </a:p>
        <a:p>
          <a:r>
            <a:rPr lang="en-US" sz="1100">
              <a:solidFill>
                <a:schemeClr val="tx1"/>
              </a:solidFill>
              <a:effectLst/>
              <a:latin typeface="Arial" panose="020B0604020202020204" pitchFamily="34" charset="0"/>
              <a:ea typeface="+mn-ea"/>
              <a:cs typeface="Arial" panose="020B0604020202020204" pitchFamily="34" charset="0"/>
            </a:rPr>
            <a:t> </a:t>
          </a:r>
          <a:endParaRPr lang="en-US">
            <a:effectLst/>
            <a:latin typeface="Arial" panose="020B0604020202020204" pitchFamily="34" charset="0"/>
            <a:cs typeface="Arial" panose="020B0604020202020204" pitchFamily="34" charset="0"/>
          </a:endParaRPr>
        </a:p>
        <a:p>
          <a:r>
            <a:rPr lang="en-US" sz="1100">
              <a:solidFill>
                <a:schemeClr val="tx1"/>
              </a:solidFill>
              <a:effectLst/>
              <a:latin typeface="Arial" panose="020B0604020202020204" pitchFamily="34" charset="0"/>
              <a:ea typeface="+mn-ea"/>
              <a:cs typeface="Arial" panose="020B0604020202020204" pitchFamily="34" charset="0"/>
            </a:rPr>
            <a:t>THIS SOFTWARE IS PROVIDED BY TI AND TI’S LICENSORS "AS IS" AND ANY EXPRESS OR IMPLIED WARRANTIES, INCLUDING, BUT NOT LIMITED TO, THE IMPLIED WARRANTIES OF MERCHANTABILITY AND FITNESS FOR A PARTICULAR PURPOSE ARE DISCLAIMED. IN NO EVENT SHALL TI AND TI’S LICENSORS BE LIABLE FOR ANY DIRECT, INDIRECT, INCIDENTAL, SPECIAL, EXEMPLARY, OR CONSEQUENTIAL DAMAGES (INCLUDING, BUT NOT LIMITED TO, PROCUREMENT OF SUBSTITUTE GOODS OR SERVICES; LOSS OF USE, DATA, OR PROFITS; OR BUSINESS INTERRUPTION) HOWEVER CAUSED AND ON ANY THEORY OF LIABILITY, WHETHER IN CONTRACT, STRICT LIABILITY, OR TORT (INCLUDING NEGLIGENCE OR OTHERWISE) ARISING IN ANY WAY OUT OF THE USE OF THIS SOFTWARE, EVEN IF ADVISED OF THE POSSIBILITY OF SUCH DAMAGE.</a:t>
          </a:r>
          <a:endParaRPr lang="en-US">
            <a:effectLst/>
            <a:latin typeface="Arial" panose="020B0604020202020204" pitchFamily="34" charset="0"/>
            <a:cs typeface="Arial" panose="020B0604020202020204" pitchFamily="34" charset="0"/>
          </a:endParaRPr>
        </a:p>
      </xdr:txBody>
    </xdr:sp>
    <xdr:clientData/>
  </xdr:oneCellAnchor>
  <xdr:oneCellAnchor>
    <xdr:from>
      <xdr:col>4</xdr:col>
      <xdr:colOff>9525</xdr:colOff>
      <xdr:row>5</xdr:row>
      <xdr:rowOff>171450</xdr:rowOff>
    </xdr:from>
    <xdr:ext cx="3962400" cy="2647950"/>
    <xdr:sp macro="" textlink="">
      <xdr:nvSpPr>
        <xdr:cNvPr id="6" name="TextBox 5">
          <a:extLst>
            <a:ext uri="{FF2B5EF4-FFF2-40B4-BE49-F238E27FC236}">
              <a16:creationId xmlns:a16="http://schemas.microsoft.com/office/drawing/2014/main" id="{00000000-0008-0000-0300-000006000000}"/>
            </a:ext>
          </a:extLst>
        </xdr:cNvPr>
        <xdr:cNvSpPr txBox="1"/>
      </xdr:nvSpPr>
      <xdr:spPr>
        <a:xfrm>
          <a:off x="9505950" y="1095375"/>
          <a:ext cx="3962400" cy="2647950"/>
        </a:xfrm>
        <a:prstGeom prst="rect">
          <a:avLst/>
        </a:prstGeom>
        <a:solidFill>
          <a:srgbClr val="AAAAAA"/>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en-US" sz="1100"/>
            <a:t>Information</a:t>
          </a:r>
          <a:r>
            <a:rPr lang="en-US" sz="1100" baseline="0"/>
            <a:t> : </a:t>
          </a:r>
        </a:p>
        <a:p>
          <a:endParaRPr lang="en-US" sz="1100" baseline="0"/>
        </a:p>
        <a:p>
          <a:r>
            <a:rPr lang="en-US" sz="1100" baseline="0"/>
            <a:t>This Sheet Contains the following information </a:t>
          </a:r>
        </a:p>
        <a:p>
          <a:endParaRPr lang="en-US" sz="1100" baseline="0"/>
        </a:p>
        <a:p>
          <a:r>
            <a:rPr lang="en-US" sz="1100" baseline="0"/>
            <a:t>- Current version of the tool </a:t>
          </a:r>
        </a:p>
        <a:p>
          <a:r>
            <a:rPr lang="en-US" sz="1100" baseline="0"/>
            <a:t>- Licence Information  -</a:t>
          </a:r>
          <a:r>
            <a:rPr lang="en-US" sz="1100" baseline="0">
              <a:solidFill>
                <a:srgbClr val="FF0000"/>
              </a:solidFill>
            </a:rPr>
            <a:t>TPSA Information</a:t>
          </a:r>
        </a:p>
        <a:p>
          <a:r>
            <a:rPr lang="en-US" sz="1100" baseline="0"/>
            <a:t>- Important Details </a:t>
          </a:r>
        </a:p>
        <a:p>
          <a:r>
            <a:rPr lang="en-US" sz="1100" baseline="0"/>
            <a:t>- Version History</a:t>
          </a:r>
        </a:p>
        <a:p>
          <a:endParaRPr lang="en-US" sz="1100" baseline="0"/>
        </a:p>
      </xdr:txBody>
    </xdr:sp>
    <xdr:clientData/>
  </xdr:oneCellAnchor>
</xdr:wsDr>
</file>

<file path=xl/drawings/drawing4.xml><?xml version="1.0" encoding="utf-8"?>
<xdr:wsDr xmlns:xdr="http://schemas.openxmlformats.org/drawingml/2006/spreadsheetDrawing" xmlns:a="http://schemas.openxmlformats.org/drawingml/2006/main">
  <xdr:twoCellAnchor editAs="oneCell">
    <xdr:from>
      <xdr:col>0</xdr:col>
      <xdr:colOff>85725</xdr:colOff>
      <xdr:row>0</xdr:row>
      <xdr:rowOff>152400</xdr:rowOff>
    </xdr:from>
    <xdr:to>
      <xdr:col>4</xdr:col>
      <xdr:colOff>314325</xdr:colOff>
      <xdr:row>2</xdr:row>
      <xdr:rowOff>123776</xdr:rowOff>
    </xdr:to>
    <xdr:pic>
      <xdr:nvPicPr>
        <xdr:cNvPr id="2" name="Picture 1" descr="ti logo">
          <a:hlinkClick xmlns:r="http://schemas.openxmlformats.org/officeDocument/2006/relationships" r:id="rId1"/>
          <a:extLst>
            <a:ext uri="{FF2B5EF4-FFF2-40B4-BE49-F238E27FC236}">
              <a16:creationId xmlns:a16="http://schemas.microsoft.com/office/drawing/2014/main" id="{00000000-0008-0000-0400-000002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5725" y="152400"/>
          <a:ext cx="2314575" cy="29522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oneCellAnchor>
    <xdr:from>
      <xdr:col>5</xdr:col>
      <xdr:colOff>180976</xdr:colOff>
      <xdr:row>0</xdr:row>
      <xdr:rowOff>95250</xdr:rowOff>
    </xdr:from>
    <xdr:ext cx="6610350" cy="381708"/>
    <xdr:sp macro="" textlink="">
      <xdr:nvSpPr>
        <xdr:cNvPr id="3" name="TextBox 2">
          <a:extLst>
            <a:ext uri="{FF2B5EF4-FFF2-40B4-BE49-F238E27FC236}">
              <a16:creationId xmlns:a16="http://schemas.microsoft.com/office/drawing/2014/main" id="{00000000-0008-0000-0400-000003000000}"/>
            </a:ext>
          </a:extLst>
        </xdr:cNvPr>
        <xdr:cNvSpPr txBox="1"/>
      </xdr:nvSpPr>
      <xdr:spPr>
        <a:xfrm>
          <a:off x="2876551" y="95250"/>
          <a:ext cx="6610350" cy="38170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pPr algn="ctr"/>
          <a:r>
            <a:rPr lang="en-US" sz="1600">
              <a:latin typeface="Arial Black" panose="020B0A04020102020204" pitchFamily="34" charset="0"/>
            </a:rPr>
            <a:t>Current Sense Amplifier Comparison and Error Calculator</a:t>
          </a:r>
        </a:p>
      </xdr:txBody>
    </xdr:sp>
    <xdr:clientData/>
  </xdr:oneCellAnchor>
  <xdr:oneCellAnchor>
    <xdr:from>
      <xdr:col>1</xdr:col>
      <xdr:colOff>47625</xdr:colOff>
      <xdr:row>5</xdr:row>
      <xdr:rowOff>76200</xdr:rowOff>
    </xdr:from>
    <xdr:ext cx="184731" cy="264560"/>
    <xdr:sp macro="" textlink="">
      <xdr:nvSpPr>
        <xdr:cNvPr id="4" name="TextBox 3">
          <a:hlinkClick xmlns:r="http://schemas.openxmlformats.org/officeDocument/2006/relationships" r:id="rId3"/>
          <a:extLst>
            <a:ext uri="{FF2B5EF4-FFF2-40B4-BE49-F238E27FC236}">
              <a16:creationId xmlns:a16="http://schemas.microsoft.com/office/drawing/2014/main" id="{00000000-0008-0000-0400-000004000000}"/>
            </a:ext>
          </a:extLst>
        </xdr:cNvPr>
        <xdr:cNvSpPr txBox="1"/>
      </xdr:nvSpPr>
      <xdr:spPr>
        <a:xfrm>
          <a:off x="304800" y="10191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twoCellAnchor editAs="oneCell">
    <xdr:from>
      <xdr:col>2</xdr:col>
      <xdr:colOff>180975</xdr:colOff>
      <xdr:row>37</xdr:row>
      <xdr:rowOff>665163</xdr:rowOff>
    </xdr:from>
    <xdr:to>
      <xdr:col>14</xdr:col>
      <xdr:colOff>438150</xdr:colOff>
      <xdr:row>37</xdr:row>
      <xdr:rowOff>3065463</xdr:rowOff>
    </xdr:to>
    <xdr:pic>
      <xdr:nvPicPr>
        <xdr:cNvPr id="16" name="Picture 15" descr="C:\Users\a0183305\AppData\Local\Temp\SNAGHTML440360.PNG">
          <a:extLst>
            <a:ext uri="{FF2B5EF4-FFF2-40B4-BE49-F238E27FC236}">
              <a16:creationId xmlns:a16="http://schemas.microsoft.com/office/drawing/2014/main" id="{00000000-0008-0000-0400-000010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1047750" y="7980363"/>
          <a:ext cx="8229600" cy="2400300"/>
        </a:xfrm>
        <a:prstGeom prst="rect">
          <a:avLst/>
        </a:prstGeom>
        <a:solidFill>
          <a:srgbClr val="FFFFFF">
            <a:shade val="85000"/>
          </a:srgbClr>
        </a:solidFill>
        <a:ln w="88900" cap="sq">
          <a:noFill/>
          <a:miter lim="800000"/>
        </a:ln>
        <a:effectLst>
          <a:outerShdw blurRad="55000" dist="18000" dir="5400000" algn="tl" rotWithShape="0">
            <a:srgbClr val="000000">
              <a:alpha val="40000"/>
            </a:srgbClr>
          </a:outerShdw>
        </a:effectLst>
        <a:scene3d>
          <a:camera prst="orthographicFront"/>
          <a:lightRig rig="twoPt" dir="t">
            <a:rot lat="0" lon="0" rev="7200000"/>
          </a:lightRig>
        </a:scene3d>
        <a:sp3d>
          <a:bevelT w="25400" h="19050"/>
          <a:contourClr>
            <a:srgbClr val="FFFFFF"/>
          </a:contourClr>
        </a:sp3d>
      </xdr:spPr>
    </xdr:pic>
    <xdr:clientData/>
  </xdr:twoCellAnchor>
  <xdr:twoCellAnchor editAs="oneCell">
    <xdr:from>
      <xdr:col>3</xdr:col>
      <xdr:colOff>0</xdr:colOff>
      <xdr:row>38</xdr:row>
      <xdr:rowOff>1544728</xdr:rowOff>
    </xdr:from>
    <xdr:to>
      <xdr:col>6</xdr:col>
      <xdr:colOff>475688</xdr:colOff>
      <xdr:row>38</xdr:row>
      <xdr:rowOff>2300698</xdr:rowOff>
    </xdr:to>
    <xdr:pic>
      <xdr:nvPicPr>
        <xdr:cNvPr id="6" name="Picture 5">
          <a:extLst>
            <a:ext uri="{FF2B5EF4-FFF2-40B4-BE49-F238E27FC236}">
              <a16:creationId xmlns:a16="http://schemas.microsoft.com/office/drawing/2014/main" id="{00000000-0008-0000-0400-000006000000}"/>
            </a:ext>
          </a:extLst>
        </xdr:cNvPr>
        <xdr:cNvPicPr>
          <a:picLocks noChangeAspect="1"/>
        </xdr:cNvPicPr>
      </xdr:nvPicPr>
      <xdr:blipFill>
        <a:blip xmlns:r="http://schemas.openxmlformats.org/officeDocument/2006/relationships" r:embed="rId5"/>
        <a:stretch>
          <a:fillRect/>
        </a:stretch>
      </xdr:blipFill>
      <xdr:spPr>
        <a:xfrm>
          <a:off x="1476375" y="11888878"/>
          <a:ext cx="2304488" cy="755970"/>
        </a:xfrm>
        <a:prstGeom prst="rect">
          <a:avLst/>
        </a:prstGeom>
      </xdr:spPr>
    </xdr:pic>
    <xdr:clientData/>
  </xdr:twoCellAnchor>
  <xdr:twoCellAnchor editAs="oneCell">
    <xdr:from>
      <xdr:col>8</xdr:col>
      <xdr:colOff>514349</xdr:colOff>
      <xdr:row>38</xdr:row>
      <xdr:rowOff>276225</xdr:rowOff>
    </xdr:from>
    <xdr:to>
      <xdr:col>21</xdr:col>
      <xdr:colOff>161924</xdr:colOff>
      <xdr:row>38</xdr:row>
      <xdr:rowOff>3264402</xdr:rowOff>
    </xdr:to>
    <xdr:pic>
      <xdr:nvPicPr>
        <xdr:cNvPr id="17" name="Picture 16" descr="C:\Users\a0183305\AppData\Local\Temp\SNAGHTML4fa603.PNG">
          <a:extLst>
            <a:ext uri="{FF2B5EF4-FFF2-40B4-BE49-F238E27FC236}">
              <a16:creationId xmlns:a16="http://schemas.microsoft.com/office/drawing/2014/main" id="{00000000-0008-0000-0400-000011000000}"/>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5038724" y="10620375"/>
          <a:ext cx="8229600" cy="2988177"/>
        </a:xfrm>
        <a:prstGeom prst="rect">
          <a:avLst/>
        </a:prstGeom>
        <a:solidFill>
          <a:srgbClr val="FFFFFF">
            <a:shade val="85000"/>
          </a:srgbClr>
        </a:solidFill>
        <a:ln w="88900" cap="sq">
          <a:noFill/>
          <a:miter lim="800000"/>
        </a:ln>
        <a:effectLst>
          <a:outerShdw blurRad="55000" dist="18000" dir="5400000" algn="tl" rotWithShape="0">
            <a:srgbClr val="000000">
              <a:alpha val="40000"/>
            </a:srgbClr>
          </a:outerShdw>
        </a:effectLst>
        <a:scene3d>
          <a:camera prst="orthographicFront"/>
          <a:lightRig rig="twoPt" dir="t">
            <a:rot lat="0" lon="0" rev="7200000"/>
          </a:lightRig>
        </a:scene3d>
        <a:sp3d>
          <a:bevelT w="25400" h="19050"/>
          <a:contourClr>
            <a:srgbClr val="FFFFFF"/>
          </a:contourClr>
        </a:sp3d>
      </xdr:spPr>
    </xdr:pic>
    <xdr:clientData/>
  </xdr:twoCellAnchor>
  <xdr:twoCellAnchor editAs="oneCell">
    <xdr:from>
      <xdr:col>1</xdr:col>
      <xdr:colOff>152400</xdr:colOff>
      <xdr:row>16</xdr:row>
      <xdr:rowOff>152400</xdr:rowOff>
    </xdr:from>
    <xdr:to>
      <xdr:col>11</xdr:col>
      <xdr:colOff>488237</xdr:colOff>
      <xdr:row>32</xdr:row>
      <xdr:rowOff>7921</xdr:rowOff>
    </xdr:to>
    <xdr:pic>
      <xdr:nvPicPr>
        <xdr:cNvPr id="7" name="Picture 6">
          <a:extLst>
            <a:ext uri="{FF2B5EF4-FFF2-40B4-BE49-F238E27FC236}">
              <a16:creationId xmlns:a16="http://schemas.microsoft.com/office/drawing/2014/main" id="{00000000-0008-0000-0400-000007000000}"/>
            </a:ext>
          </a:extLst>
        </xdr:cNvPr>
        <xdr:cNvPicPr>
          <a:picLocks noChangeAspect="1"/>
        </xdr:cNvPicPr>
      </xdr:nvPicPr>
      <xdr:blipFill>
        <a:blip xmlns:r="http://schemas.openxmlformats.org/officeDocument/2006/relationships" r:embed="rId7"/>
        <a:stretch>
          <a:fillRect/>
        </a:stretch>
      </xdr:blipFill>
      <xdr:spPr>
        <a:xfrm>
          <a:off x="409575" y="3181350"/>
          <a:ext cx="6431837" cy="3475021"/>
        </a:xfrm>
        <a:prstGeom prst="rect">
          <a:avLst/>
        </a:prstGeom>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a0234207/AppData/Local/Microsoft/Windows/INetCache/Content.Outlook/DVYTM53M/CSA_Error_Tool_non-NDA_Radical%20Re-do.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Table of Contents"/>
      <sheetName val="Comparison Tool"/>
      <sheetName val="Parameters"/>
      <sheetName val="TI OpAmp Params"/>
      <sheetName val="Tables"/>
      <sheetName val="TI vs Discrete Circuit (2)"/>
    </sheetNames>
    <sheetDataSet>
      <sheetData sheetId="0"/>
      <sheetData sheetId="1">
        <row r="7">
          <cell r="J7">
            <v>3.3</v>
          </cell>
          <cell r="P7">
            <v>2</v>
          </cell>
        </row>
        <row r="8">
          <cell r="J8">
            <v>12</v>
          </cell>
          <cell r="P8">
            <v>1</v>
          </cell>
        </row>
        <row r="9">
          <cell r="J9" t="str">
            <v>No</v>
          </cell>
          <cell r="M9">
            <v>0</v>
          </cell>
          <cell r="P9">
            <v>0.4</v>
          </cell>
        </row>
        <row r="10">
          <cell r="J10">
            <v>125</v>
          </cell>
          <cell r="P10" t="str">
            <v>Yes</v>
          </cell>
        </row>
        <row r="17">
          <cell r="C17">
            <v>800</v>
          </cell>
          <cell r="D17" t="e">
            <v>#N/A</v>
          </cell>
          <cell r="E17" t="e">
            <v>#N/A</v>
          </cell>
          <cell r="F17" t="e">
            <v>#N/A</v>
          </cell>
          <cell r="G17" t="e">
            <v>#N/A</v>
          </cell>
        </row>
        <row r="18">
          <cell r="C18">
            <v>2</v>
          </cell>
          <cell r="D18" t="e">
            <v>#N/A</v>
          </cell>
          <cell r="E18" t="e">
            <v>#N/A</v>
          </cell>
          <cell r="F18" t="e">
            <v>#N/A</v>
          </cell>
          <cell r="G18" t="e">
            <v>#N/A</v>
          </cell>
        </row>
        <row r="20">
          <cell r="C20">
            <v>122</v>
          </cell>
          <cell r="D20" t="e">
            <v>#N/A</v>
          </cell>
          <cell r="E20" t="e">
            <v>#N/A</v>
          </cell>
          <cell r="F20" t="e">
            <v>#N/A</v>
          </cell>
          <cell r="G20" t="e">
            <v>#N/A</v>
          </cell>
        </row>
        <row r="21">
          <cell r="C21">
            <v>-20</v>
          </cell>
          <cell r="D21" t="e">
            <v>#N/A</v>
          </cell>
          <cell r="E21" t="e">
            <v>#N/A</v>
          </cell>
          <cell r="F21" t="e">
            <v>#N/A</v>
          </cell>
          <cell r="G21" t="e">
            <v>#N/A</v>
          </cell>
        </row>
        <row r="23">
          <cell r="C23">
            <v>140</v>
          </cell>
          <cell r="D23" t="e">
            <v>#N/A</v>
          </cell>
          <cell r="E23" t="e">
            <v>#N/A</v>
          </cell>
          <cell r="F23" t="e">
            <v>#N/A</v>
          </cell>
          <cell r="G23" t="e">
            <v>#N/A</v>
          </cell>
        </row>
        <row r="24">
          <cell r="C24">
            <v>48</v>
          </cell>
          <cell r="D24" t="e">
            <v>#N/A</v>
          </cell>
          <cell r="E24" t="e">
            <v>#N/A</v>
          </cell>
          <cell r="F24" t="e">
            <v>#N/A</v>
          </cell>
          <cell r="G24" t="e">
            <v>#N/A</v>
          </cell>
        </row>
        <row r="27">
          <cell r="C27" t="str">
            <v>Grd 1</v>
          </cell>
          <cell r="D27" t="e">
            <v>#N/A</v>
          </cell>
          <cell r="E27" t="e">
            <v>#N/A</v>
          </cell>
          <cell r="F27" t="e">
            <v>#N/A</v>
          </cell>
          <cell r="G27" t="e">
            <v>#N/A</v>
          </cell>
        </row>
      </sheetData>
      <sheetData sheetId="2"/>
      <sheetData sheetId="3"/>
      <sheetData sheetId="4"/>
      <sheetData sheetId="5"/>
    </sheetDataSet>
  </externalBook>
</externalLink>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Table1" displayName="Table1" ref="A2:AH350" totalsRowShown="0" headerRowDxfId="38" dataDxfId="36" headerRowBorderDxfId="37" tableBorderDxfId="35" totalsRowBorderDxfId="34">
  <autoFilter ref="A2:AH350" xr:uid="{00000000-0009-0000-0100-000001000000}">
    <filterColumn colId="1">
      <filters>
        <filter val="INA241A1"/>
        <filter val="INA241A2"/>
        <filter val="INA241A3"/>
        <filter val="INA241A4"/>
        <filter val="INA241A5"/>
        <filter val="INA241B1"/>
        <filter val="INA241B2"/>
        <filter val="INA241B3"/>
        <filter val="INA241B4"/>
        <filter val="INA241B5"/>
        <filter val="INA296A1"/>
        <filter val="INA296A2"/>
        <filter val="INA296A3"/>
        <filter val="INA296A4"/>
        <filter val="INA296A5"/>
        <filter val="INA296B1"/>
        <filter val="INA296B2"/>
        <filter val="INA296B3"/>
        <filter val="INA296B4"/>
        <filter val="INA296B5"/>
      </filters>
    </filterColumn>
  </autoFilter>
  <sortState xmlns:xlrd2="http://schemas.microsoft.com/office/spreadsheetml/2017/richdata2" ref="A3:AH350">
    <sortCondition ref="A3:A350"/>
    <sortCondition ref="B3:B350"/>
  </sortState>
  <tableColumns count="34">
    <tableColumn id="1" xr3:uid="{00000000-0010-0000-0000-000001000000}" name="Type_x000a_Sort_x000a_Order" dataDxfId="33"/>
    <tableColumn id="2" xr3:uid="{00000000-0010-0000-0000-000002000000}" name="GPN" dataDxfId="32"/>
    <tableColumn id="4" xr3:uid="{00000000-0010-0000-0000-000004000000}" name="Minimum_x000a_Operating_x000a_Voltage (V)" dataDxfId="31"/>
    <tableColumn id="3" xr3:uid="{00000000-0010-0000-0000-000003000000}" name="Maximum_x000a_Operating_x000a_Voltage (V)" dataDxfId="30"/>
    <tableColumn id="6" xr3:uid="{00000000-0010-0000-0000-000006000000}" name="Minimum_x000a_Survivability_x000a_Voltage (V)" dataDxfId="29"/>
    <tableColumn id="5" xr3:uid="{00000000-0010-0000-0000-000005000000}" name="Maximum_x000a_Survivabilty _x000a_Voltage (V)" dataDxfId="28"/>
    <tableColumn id="15" xr3:uid="{00000000-0010-0000-0000-00000F000000}" name="Gain_x000a_Options_x000a_V/V" dataDxfId="27"/>
    <tableColumn id="17" xr3:uid="{00000000-0010-0000-0000-000011000000}" name="Max_x000a_Gain_x000a_Error_x000a_@ 25°C" dataDxfId="26"/>
    <tableColumn id="18" xr3:uid="{00000000-0010-0000-0000-000012000000}" name="Gain Error_x000a_Drift_x000a_ppm/°C_x000a_Max" dataDxfId="25"/>
    <tableColumn id="7" xr3:uid="{00000000-0010-0000-0000-000007000000}" name="VOS @ 25°C_x000a_+/-µV_x000a_Max" dataDxfId="24"/>
    <tableColumn id="8" xr3:uid="{00000000-0010-0000-0000-000008000000}" name="VOS Drift_x000a_+/-µV/°C_x000a_Max" dataDxfId="23"/>
    <tableColumn id="11" xr3:uid="{00000000-0010-0000-0000-00000B000000}" name="DC_x000a_CMRR_x000a_(MIN dB)" dataDxfId="22"/>
    <tableColumn id="50" xr3:uid="{00000000-0010-0000-0000-000032000000}" name="VCM_x000a_for_x000a_VOS" dataDxfId="21"/>
    <tableColumn id="12" xr3:uid="{00000000-0010-0000-0000-00000C000000}" name="PSRR_x000a_(MIN dB)" dataDxfId="20"/>
    <tableColumn id="49" xr3:uid="{00000000-0010-0000-0000-000031000000}" name="VS_x000a_for_x000a_VOS" dataDxfId="19"/>
    <tableColumn id="25" xr3:uid="{00000000-0010-0000-0000-000019000000}" name="Minimum_x000a_Supply_x000a_Voltage_x000a_(V)" dataDxfId="18"/>
    <tableColumn id="26" xr3:uid="{00000000-0010-0000-0000-00001A000000}" name="Maximum_x000a_Supply_x000a_Voltage_x000a_(V)" dataDxfId="17"/>
    <tableColumn id="27" xr3:uid="{00000000-0010-0000-0000-00001B000000}" name="IQ_x000a_mA_x000a_Max" dataDxfId="16"/>
    <tableColumn id="28" xr3:uid="{00000000-0010-0000-0000-00001C000000}" name="IB_x000a_µA_x000a_Typ" dataDxfId="15"/>
    <tableColumn id="29" xr3:uid="{00000000-0010-0000-0000-00001D000000}" name="ISD_x000a_µA_x000a_Max" dataDxfId="14"/>
    <tableColumn id="19" xr3:uid="{00000000-0010-0000-0000-000013000000}" name="Bandwidth_x000a_(kHz)" dataDxfId="13"/>
    <tableColumn id="20" xr3:uid="{00000000-0010-0000-0000-000014000000}" name="Slew_x000a_Rate_x000a_(V/µS)" dataDxfId="12"/>
    <tableColumn id="21" xr3:uid="{00000000-0010-0000-0000-000015000000}" name="Swing to_x000a_Ground_x000a_(mV)" dataDxfId="11"/>
    <tableColumn id="51" xr3:uid="{00000000-0010-0000-0000-000033000000}" name="Swing_x000a_to_x000a_Supply_x000a_(V)" dataDxfId="10"/>
    <tableColumn id="23" xr3:uid="{00000000-0010-0000-0000-000017000000}" name="ADC_x000a_# of Bits" dataDxfId="9"/>
    <tableColumn id="24" xr3:uid="{00000000-0010-0000-0000-000018000000}" name="Fastest_x000a_Conversion_x000a_Time_x000a_(µs)" dataDxfId="8"/>
    <tableColumn id="22" xr3:uid="{00000000-0010-0000-0000-000016000000}" name="Output_x000a_Interface" dataDxfId="7"/>
    <tableColumn id="31" xr3:uid="{00000000-0010-0000-0000-00001F000000}" name="Low-Side Capable" dataDxfId="6"/>
    <tableColumn id="32" xr3:uid="{00000000-0010-0000-0000-000020000000}" name="Bi-directional?" dataDxfId="5"/>
    <tableColumn id="33" xr3:uid="{00000000-0010-0000-0000-000021000000}" name="ALERT_x000a_Function" dataDxfId="4"/>
    <tableColumn id="34" xr3:uid="{00000000-0010-0000-0000-000022000000}" name="Other_x000a_Special_x000a_Feature(s)" dataDxfId="3"/>
    <tableColumn id="30" xr3:uid="{00000000-0010-0000-0000-00001E000000}" name="Other_x000a_Qualified_x000a_Options" dataDxfId="2"/>
    <tableColumn id="44" xr3:uid="{00000000-0010-0000-0000-00002C000000}" name="Operating_x000a_Temperature_x000a_Range (°C)" dataDxfId="1"/>
    <tableColumn id="48" xr3:uid="{00000000-0010-0000-0000-000030000000}" name="Package_x000a_Options" dataDxfId="0"/>
  </tableColumns>
  <tableStyleInfo name="TableStyleMedium2" showFirstColumn="0" showLastColumn="0" showRowStripes="1" showColumnStripes="0"/>
</table>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1.bin"/><Relationship Id="rId6" Type="http://schemas.openxmlformats.org/officeDocument/2006/relationships/comments" Target="../comments1.xml"/><Relationship Id="rId5" Type="http://schemas.openxmlformats.org/officeDocument/2006/relationships/image" Target="../media/image2.emf"/><Relationship Id="rId4" Type="http://schemas.openxmlformats.org/officeDocument/2006/relationships/control" Target="../activeX/activeX1.xml"/></Relationships>
</file>

<file path=xl/worksheets/_rels/sheet3.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5.xml.rels><?xml version="1.0" encoding="UTF-8" standalone="yes"?>
<Relationships xmlns="http://schemas.openxmlformats.org/package/2006/relationships"><Relationship Id="rId3" Type="http://schemas.openxmlformats.org/officeDocument/2006/relationships/hyperlink" Target="https://training.ti.com/ti-precision-labs-current-sense-amplifiers?context=1138708-1138708" TargetMode="External"/><Relationship Id="rId7" Type="http://schemas.openxmlformats.org/officeDocument/2006/relationships/drawing" Target="../drawings/drawing4.xml"/><Relationship Id="rId2" Type="http://schemas.openxmlformats.org/officeDocument/2006/relationships/hyperlink" Target="http://e2e.ti.com/support/amplifiers/current-shunt-monitors/" TargetMode="External"/><Relationship Id="rId1" Type="http://schemas.openxmlformats.org/officeDocument/2006/relationships/hyperlink" Target="http://www.ti.com/lit/pdf/sloa225" TargetMode="External"/><Relationship Id="rId6" Type="http://schemas.openxmlformats.org/officeDocument/2006/relationships/printerSettings" Target="../printerSettings/printerSettings3.bin"/><Relationship Id="rId5" Type="http://schemas.openxmlformats.org/officeDocument/2006/relationships/hyperlink" Target="https://training.ti.com/ti-precision-labs-current-sense-amplifiers-how-choose-shunt-resistor?context=1139747-1139745-1138708-1139730-1138712" TargetMode="External"/><Relationship Id="rId4" Type="http://schemas.openxmlformats.org/officeDocument/2006/relationships/hyperlink" Target="https://www.ti.com/amplifier-circuit/current-sense/products.html"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U19"/>
  <sheetViews>
    <sheetView showGridLines="0" showRowColHeaders="0" workbookViewId="0">
      <selection activeCell="D14" sqref="D14"/>
    </sheetView>
  </sheetViews>
  <sheetFormatPr baseColWidth="10" defaultColWidth="9.140625" defaultRowHeight="15"/>
  <cols>
    <col min="2" max="2" width="18.7109375" customWidth="1"/>
    <col min="3" max="3" width="2.28515625" customWidth="1"/>
    <col min="4" max="4" width="94.140625" bestFit="1" customWidth="1"/>
  </cols>
  <sheetData>
    <row r="1" spans="1:21">
      <c r="A1" s="215"/>
      <c r="B1" s="215"/>
      <c r="C1" s="215"/>
      <c r="D1" s="215"/>
      <c r="E1" s="215"/>
      <c r="F1" s="215"/>
      <c r="G1" s="215"/>
      <c r="H1" s="215"/>
      <c r="I1" s="215"/>
      <c r="J1" s="215"/>
      <c r="K1" s="215"/>
      <c r="L1" s="215"/>
      <c r="M1" s="215"/>
      <c r="N1" s="215"/>
      <c r="O1" s="215"/>
      <c r="P1" s="215"/>
      <c r="Q1" s="215"/>
      <c r="R1" s="215"/>
      <c r="S1" s="215"/>
      <c r="T1" s="215"/>
      <c r="U1" s="215"/>
    </row>
    <row r="2" spans="1:21">
      <c r="A2" s="215"/>
      <c r="B2" s="215"/>
      <c r="C2" s="215"/>
      <c r="D2" s="215"/>
      <c r="E2" s="215"/>
      <c r="F2" s="215"/>
      <c r="G2" s="215"/>
      <c r="H2" s="215"/>
      <c r="I2" s="215"/>
      <c r="J2" s="215"/>
      <c r="K2" s="215"/>
      <c r="L2" s="215"/>
      <c r="M2" s="215"/>
      <c r="N2" s="215"/>
      <c r="O2" s="215"/>
      <c r="P2" s="215"/>
      <c r="Q2" s="215"/>
      <c r="R2" s="215"/>
      <c r="S2" s="215"/>
      <c r="T2" s="215"/>
      <c r="U2" s="215"/>
    </row>
    <row r="3" spans="1:21">
      <c r="A3" s="215"/>
      <c r="B3" s="215"/>
      <c r="C3" s="215"/>
      <c r="D3" s="215"/>
      <c r="E3" s="215"/>
      <c r="F3" s="215"/>
      <c r="G3" s="215"/>
      <c r="H3" s="215"/>
      <c r="I3" s="215"/>
      <c r="J3" s="215"/>
      <c r="K3" s="215"/>
      <c r="L3" s="215"/>
      <c r="M3" s="215"/>
      <c r="N3" s="215"/>
      <c r="O3" s="215"/>
      <c r="P3" s="215"/>
      <c r="Q3" s="215"/>
      <c r="R3" s="215"/>
      <c r="S3" s="215"/>
      <c r="T3" s="215"/>
      <c r="U3" s="215"/>
    </row>
    <row r="4" spans="1:21">
      <c r="A4" s="216"/>
      <c r="B4" s="216"/>
      <c r="C4" s="216"/>
      <c r="D4" s="216"/>
      <c r="E4" s="216"/>
      <c r="F4" s="216"/>
      <c r="G4" s="216"/>
      <c r="H4" s="216"/>
      <c r="I4" s="216"/>
      <c r="J4" s="216"/>
      <c r="K4" s="216"/>
      <c r="L4" s="216"/>
      <c r="M4" s="216"/>
      <c r="N4" s="216"/>
      <c r="O4" s="216"/>
      <c r="P4" s="216"/>
      <c r="Q4" s="216"/>
      <c r="R4" s="216"/>
      <c r="S4" s="216"/>
      <c r="T4" s="216"/>
      <c r="U4" s="216"/>
    </row>
    <row r="7" spans="1:21" ht="15.75">
      <c r="B7" s="89" t="s">
        <v>292</v>
      </c>
      <c r="D7" s="89" t="s">
        <v>293</v>
      </c>
    </row>
    <row r="8" spans="1:21" ht="15.75">
      <c r="B8" s="90"/>
      <c r="D8" s="91"/>
    </row>
    <row r="9" spans="1:21" ht="15.75">
      <c r="B9" s="90" t="s">
        <v>299</v>
      </c>
      <c r="D9" s="91" t="s">
        <v>300</v>
      </c>
    </row>
    <row r="10" spans="1:21" ht="15.75">
      <c r="B10" s="90"/>
      <c r="D10" s="91" t="s">
        <v>301</v>
      </c>
    </row>
    <row r="11" spans="1:21" ht="15.75">
      <c r="B11" s="90"/>
      <c r="D11" s="91" t="s">
        <v>302</v>
      </c>
    </row>
    <row r="12" spans="1:21" ht="15.75">
      <c r="B12" s="90"/>
      <c r="D12" s="91"/>
    </row>
    <row r="13" spans="1:21" ht="15.75">
      <c r="B13" s="90" t="s">
        <v>519</v>
      </c>
      <c r="D13" s="91" t="s">
        <v>545</v>
      </c>
    </row>
    <row r="14" spans="1:21" ht="15.75">
      <c r="B14" s="212" t="s">
        <v>520</v>
      </c>
      <c r="D14" s="91" t="s">
        <v>521</v>
      </c>
    </row>
    <row r="15" spans="1:21" ht="15.75">
      <c r="B15" s="90"/>
      <c r="D15" s="91"/>
    </row>
    <row r="16" spans="1:21" ht="15.75">
      <c r="B16" s="90" t="s">
        <v>294</v>
      </c>
      <c r="D16" s="91" t="s">
        <v>295</v>
      </c>
    </row>
    <row r="17" spans="2:4" ht="15.75">
      <c r="B17" s="90"/>
      <c r="D17" s="91"/>
    </row>
    <row r="18" spans="2:4" ht="15.75">
      <c r="B18" s="90" t="s">
        <v>296</v>
      </c>
      <c r="D18" s="91" t="s">
        <v>297</v>
      </c>
    </row>
    <row r="19" spans="2:4" ht="15.75">
      <c r="B19" s="90"/>
      <c r="D19" s="91"/>
    </row>
  </sheetData>
  <sheetProtection algorithmName="SHA-512" hashValue="1gQ/5IUrcMKdpquciuxxZOd+dq5+D4kMbnaRtrQ3chMVb8Da0vO1Un1nINh3q0YkApn9IVckXF7QaWcE4FGTkA==" saltValue="RlCxNXIBtD14wWf5C2A8Gw==" spinCount="100000" sheet="1" selectLockedCells="1"/>
  <mergeCells count="2">
    <mergeCell ref="A1:U3"/>
    <mergeCell ref="A4:U4"/>
  </mergeCells>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7"/>
  <dimension ref="A1:CV184"/>
  <sheetViews>
    <sheetView showGridLines="0" tabSelected="1" zoomScale="130" zoomScaleNormal="130" workbookViewId="0">
      <selection activeCell="D15" sqref="D15"/>
    </sheetView>
  </sheetViews>
  <sheetFormatPr baseColWidth="10" defaultColWidth="9.140625" defaultRowHeight="11.25"/>
  <cols>
    <col min="1" max="1" width="2.7109375" style="4" customWidth="1"/>
    <col min="2" max="2" width="30.7109375" style="4" customWidth="1"/>
    <col min="3" max="4" width="20.7109375" style="4" customWidth="1"/>
    <col min="5" max="7" width="20.7109375" style="4" hidden="1" customWidth="1"/>
    <col min="8" max="8" width="2.7109375" style="4" customWidth="1"/>
    <col min="9" max="9" width="25.7109375" style="4" customWidth="1"/>
    <col min="10" max="10" width="6.7109375" style="4" customWidth="1"/>
    <col min="11" max="11" width="4.7109375" style="16" customWidth="1"/>
    <col min="12" max="12" width="59.7109375" style="4" customWidth="1"/>
    <col min="13" max="13" width="1.7109375" style="4" customWidth="1"/>
    <col min="14" max="14" width="23.7109375" style="4" customWidth="1"/>
    <col min="15" max="15" width="2.42578125" style="4" customWidth="1"/>
    <col min="16" max="16" width="10.42578125" style="102" customWidth="1"/>
    <col min="17" max="17" width="8.85546875" style="16" customWidth="1"/>
    <col min="18" max="24" width="8.85546875" style="4" customWidth="1"/>
    <col min="25" max="25" width="10.140625" style="4" customWidth="1"/>
    <col min="26" max="53" width="8.85546875" style="4" customWidth="1"/>
    <col min="54" max="91" width="8.85546875" style="4" hidden="1" customWidth="1"/>
    <col min="92" max="92" width="9.140625" style="4" hidden="1" customWidth="1"/>
    <col min="93" max="93" width="19.28515625" style="4" hidden="1" customWidth="1"/>
    <col min="94" max="94" width="8.28515625" style="4" hidden="1" customWidth="1"/>
    <col min="95" max="95" width="9.28515625" style="4" hidden="1" customWidth="1"/>
    <col min="96" max="96" width="9.140625" style="4" hidden="1" customWidth="1"/>
    <col min="97" max="98" width="8.28515625" style="4" hidden="1" customWidth="1"/>
    <col min="99" max="99" width="14.42578125" style="4" customWidth="1"/>
    <col min="100" max="100" width="12.42578125" style="4" customWidth="1"/>
    <col min="101" max="156" width="9.140625" style="4" customWidth="1"/>
    <col min="157" max="16384" width="9.140625" style="4"/>
  </cols>
  <sheetData>
    <row r="1" spans="1:100">
      <c r="A1" s="229"/>
      <c r="B1" s="229"/>
      <c r="C1" s="229"/>
      <c r="D1" s="229"/>
      <c r="E1" s="229"/>
      <c r="F1" s="229"/>
      <c r="G1" s="229"/>
      <c r="H1" s="229"/>
      <c r="I1" s="229"/>
      <c r="J1" s="229"/>
      <c r="K1" s="229"/>
      <c r="L1" s="229"/>
      <c r="M1" s="229"/>
      <c r="N1" s="229"/>
      <c r="O1" s="229"/>
      <c r="P1" s="229"/>
    </row>
    <row r="2" spans="1:100">
      <c r="A2" s="229"/>
      <c r="B2" s="229"/>
      <c r="C2" s="229"/>
      <c r="D2" s="229"/>
      <c r="E2" s="229"/>
      <c r="F2" s="229"/>
      <c r="G2" s="229"/>
      <c r="H2" s="229"/>
      <c r="I2" s="229"/>
      <c r="J2" s="229"/>
      <c r="K2" s="229"/>
      <c r="L2" s="229"/>
      <c r="M2" s="229"/>
      <c r="N2" s="229"/>
      <c r="O2" s="229"/>
      <c r="P2" s="229"/>
    </row>
    <row r="3" spans="1:100">
      <c r="A3" s="229"/>
      <c r="B3" s="229"/>
      <c r="C3" s="229"/>
      <c r="D3" s="229"/>
      <c r="E3" s="229"/>
      <c r="F3" s="229"/>
      <c r="G3" s="229"/>
      <c r="H3" s="229"/>
      <c r="I3" s="229"/>
      <c r="J3" s="229"/>
      <c r="K3" s="229"/>
      <c r="L3" s="229"/>
      <c r="M3" s="229"/>
      <c r="N3" s="229"/>
      <c r="O3" s="229"/>
      <c r="P3" s="229"/>
      <c r="AF3" s="16"/>
      <c r="AU3" s="16"/>
      <c r="BJ3" s="16"/>
      <c r="BY3" s="16"/>
    </row>
    <row r="4" spans="1:100">
      <c r="A4" s="229"/>
      <c r="B4" s="229"/>
      <c r="C4" s="229"/>
      <c r="D4" s="229"/>
      <c r="E4" s="229"/>
      <c r="F4" s="229"/>
      <c r="G4" s="229"/>
      <c r="H4" s="229"/>
      <c r="I4" s="229"/>
      <c r="J4" s="229"/>
      <c r="K4" s="229"/>
      <c r="L4" s="229"/>
      <c r="M4" s="229"/>
      <c r="N4" s="229"/>
      <c r="O4" s="229"/>
      <c r="P4" s="229"/>
      <c r="CU4" s="102"/>
    </row>
    <row r="5" spans="1:100" ht="12" thickBot="1">
      <c r="A5" s="229"/>
      <c r="B5" s="229"/>
      <c r="C5" s="229"/>
      <c r="D5" s="229"/>
      <c r="E5" s="229"/>
      <c r="F5" s="229"/>
      <c r="G5" s="229"/>
      <c r="H5" s="229"/>
      <c r="I5" s="229"/>
      <c r="J5" s="229"/>
      <c r="K5" s="229"/>
      <c r="L5" s="229"/>
      <c r="M5" s="229"/>
      <c r="N5" s="229"/>
      <c r="O5" s="229"/>
      <c r="P5" s="229"/>
      <c r="CU5" s="102"/>
    </row>
    <row r="6" spans="1:100" ht="12.75" customHeight="1" thickTop="1" thickBot="1">
      <c r="A6" s="228"/>
      <c r="B6" s="228"/>
      <c r="C6" s="228"/>
      <c r="D6" s="228"/>
      <c r="E6" s="228"/>
      <c r="F6" s="228"/>
      <c r="G6" s="228"/>
      <c r="H6" s="228"/>
      <c r="I6" s="228"/>
      <c r="J6" s="228"/>
      <c r="K6" s="228"/>
      <c r="L6" s="228"/>
      <c r="M6" s="228"/>
      <c r="N6" s="228"/>
      <c r="O6" s="16"/>
      <c r="Q6" s="126"/>
      <c r="R6" s="127" t="str">
        <f>C15&amp;" @ 25°C"</f>
        <v>INA2180A4 (High side) @ 25°C</v>
      </c>
      <c r="S6" s="127"/>
      <c r="T6" s="127"/>
      <c r="U6" s="127"/>
      <c r="V6" s="127"/>
      <c r="W6" s="127"/>
      <c r="X6" s="128"/>
      <c r="Y6" s="127" t="str">
        <f>C15&amp;" @ "&amp;Desiredtemp&amp;" °C"</f>
        <v>INA2180A4 (High side) @ 60 °C</v>
      </c>
      <c r="Z6" s="127"/>
      <c r="AA6" s="127"/>
      <c r="AB6" s="127"/>
      <c r="AC6" s="127"/>
      <c r="AD6" s="127"/>
      <c r="AE6" s="129"/>
      <c r="AF6" s="100"/>
      <c r="AG6" s="107" t="str">
        <f>D15&amp;" @ 25°C"</f>
        <v>INA296A5 @ 25°C</v>
      </c>
      <c r="AH6" s="107"/>
      <c r="AI6" s="107"/>
      <c r="AJ6" s="107"/>
      <c r="AK6" s="107"/>
      <c r="AL6" s="107"/>
      <c r="AM6" s="108"/>
      <c r="AN6" s="107" t="str">
        <f>D15&amp;" @ "&amp;Desiredtemp&amp;" °C"</f>
        <v>INA296A5 @ 60 °C</v>
      </c>
      <c r="AO6" s="107"/>
      <c r="AP6" s="107"/>
      <c r="AQ6" s="107"/>
      <c r="AR6" s="107"/>
      <c r="AS6" s="107"/>
      <c r="AT6" s="108"/>
      <c r="AU6" s="99"/>
      <c r="AV6" s="107" t="str">
        <f>E15&amp;" @ 25°C"</f>
        <v>INA4181A1 (Low side) @ 25°C</v>
      </c>
      <c r="AW6" s="107"/>
      <c r="AX6" s="107"/>
      <c r="AY6" s="107"/>
      <c r="AZ6" s="107"/>
      <c r="BA6" s="107"/>
      <c r="BB6" s="108"/>
      <c r="BC6" s="107" t="str">
        <f>E15&amp;" @ "&amp;Desiredtemp&amp;" °C"</f>
        <v>INA4181A1 (Low side) @ 60 °C</v>
      </c>
      <c r="BD6" s="107"/>
      <c r="BE6" s="107"/>
      <c r="BF6" s="107"/>
      <c r="BG6" s="107"/>
      <c r="BH6" s="107"/>
      <c r="BI6" s="108"/>
      <c r="BJ6" s="99"/>
      <c r="BK6" s="107" t="str">
        <f>F15&amp;" @ 25°C"</f>
        <v>INA296B3 @ 25°C</v>
      </c>
      <c r="BL6" s="107"/>
      <c r="BM6" s="107"/>
      <c r="BN6" s="107"/>
      <c r="BO6" s="107"/>
      <c r="BP6" s="107"/>
      <c r="BQ6" s="108"/>
      <c r="BR6" s="107" t="str">
        <f>F15&amp;" @ "&amp;Desiredtemp&amp;" °C"</f>
        <v>INA296B3 @ 60 °C</v>
      </c>
      <c r="BS6" s="107"/>
      <c r="BT6" s="107"/>
      <c r="BU6" s="107"/>
      <c r="BV6" s="107"/>
      <c r="BW6" s="107"/>
      <c r="BX6" s="108"/>
      <c r="BY6" s="99"/>
      <c r="BZ6" s="107" t="str">
        <f>$G15&amp;" @ 25°C"</f>
        <v>INA240A2 @ 25°C</v>
      </c>
      <c r="CA6" s="107"/>
      <c r="CB6" s="107"/>
      <c r="CC6" s="107"/>
      <c r="CD6" s="107"/>
      <c r="CE6" s="107"/>
      <c r="CF6" s="108"/>
      <c r="CG6" s="107" t="str">
        <f>G15&amp;" @ "&amp;Desiredtemp&amp;" °C"</f>
        <v>INA240A2 @ 60 °C</v>
      </c>
      <c r="CH6" s="107"/>
      <c r="CI6" s="107"/>
      <c r="CJ6" s="107"/>
      <c r="CK6" s="107"/>
      <c r="CL6" s="107"/>
      <c r="CM6" s="108"/>
      <c r="CU6" s="102"/>
    </row>
    <row r="7" spans="1:100" s="16" customFormat="1" ht="12.95" customHeight="1" thickBot="1">
      <c r="A7" s="4"/>
      <c r="B7" s="78"/>
      <c r="C7" s="79"/>
      <c r="D7" s="79"/>
      <c r="E7" s="79"/>
      <c r="F7" s="79"/>
      <c r="G7" s="79"/>
      <c r="H7" s="4"/>
      <c r="I7" s="103"/>
      <c r="J7" s="103"/>
      <c r="K7" s="197"/>
      <c r="L7" s="103"/>
      <c r="M7" s="103"/>
      <c r="N7" s="103"/>
      <c r="P7" s="102"/>
      <c r="Q7" s="130"/>
      <c r="R7" s="18"/>
      <c r="S7" s="18" t="s">
        <v>153</v>
      </c>
      <c r="T7" s="43">
        <f>IF(PSRR_1="N/A",0,10^(-PSRR_1/20))</f>
        <v>4.0000000000000003E-5</v>
      </c>
      <c r="U7" s="43">
        <f>10^(-CMRR_1/20)</f>
        <v>6.3095734448019279E-5</v>
      </c>
      <c r="V7" s="43"/>
      <c r="W7" s="18"/>
      <c r="X7" s="46"/>
      <c r="Y7" s="18"/>
      <c r="Z7" s="18"/>
      <c r="AA7" s="18"/>
      <c r="AB7" s="18"/>
      <c r="AC7" s="18"/>
      <c r="AD7" s="18"/>
      <c r="AE7" s="131"/>
      <c r="AF7" s="43"/>
      <c r="AG7" s="18"/>
      <c r="AH7" s="18" t="s">
        <v>153</v>
      </c>
      <c r="AI7" s="43">
        <f>IF(PSRR_2="N/A",0,10^(-PSRR_2/20))</f>
        <v>5.0118723362727218E-7</v>
      </c>
      <c r="AJ7" s="43">
        <f>10^(-CMRR_2/20)</f>
        <v>3.1622776601683699E-8</v>
      </c>
      <c r="AK7" s="43"/>
      <c r="AL7" s="18"/>
      <c r="AM7" s="46"/>
      <c r="AN7" s="18"/>
      <c r="AO7" s="18"/>
      <c r="AP7" s="18"/>
      <c r="AQ7" s="18"/>
      <c r="AR7" s="18"/>
      <c r="AS7" s="18"/>
      <c r="AT7" s="46"/>
      <c r="AU7" s="109"/>
      <c r="AV7" s="18"/>
      <c r="AW7" s="18" t="s">
        <v>153</v>
      </c>
      <c r="AX7" s="43">
        <f>IF(PSRR_3="N/A",0,10^(-PSRR_3/20))</f>
        <v>4.0000000000000003E-5</v>
      </c>
      <c r="AY7" s="43">
        <f>10^(-CMRR_3/20)</f>
        <v>6.3095734448019279E-5</v>
      </c>
      <c r="AZ7" s="43"/>
      <c r="BA7" s="18"/>
      <c r="BB7" s="46"/>
      <c r="BC7" s="18"/>
      <c r="BD7" s="18"/>
      <c r="BE7" s="18"/>
      <c r="BF7" s="18"/>
      <c r="BG7" s="18"/>
      <c r="BH7" s="18"/>
      <c r="BI7" s="46"/>
      <c r="BJ7" s="109"/>
      <c r="BK7" s="18"/>
      <c r="BL7" s="18" t="s">
        <v>153</v>
      </c>
      <c r="BM7" s="43">
        <f>IF(PSRR_4="N/A",0,10^(-PSRR_4/20))</f>
        <v>1.0000000000000001E-5</v>
      </c>
      <c r="BN7" s="43">
        <f>10^(-CMRR_4/20)</f>
        <v>9.9999999999999995E-7</v>
      </c>
      <c r="BO7" s="43"/>
      <c r="BP7" s="18"/>
      <c r="BQ7" s="46"/>
      <c r="BR7" s="18"/>
      <c r="BS7" s="18"/>
      <c r="BT7" s="18"/>
      <c r="BU7" s="18"/>
      <c r="BV7" s="18"/>
      <c r="BW7" s="18"/>
      <c r="BX7" s="46"/>
      <c r="BY7" s="109"/>
      <c r="BZ7" s="18"/>
      <c r="CA7" s="18" t="s">
        <v>153</v>
      </c>
      <c r="CB7" s="43">
        <f>IF(PSRR_5="N/A",0,10^(-PSRR_5/20))</f>
        <v>1.0000000000000001E-5</v>
      </c>
      <c r="CC7" s="43">
        <f>10^(-CMRR_5/20)</f>
        <v>9.9999999999999995E-7</v>
      </c>
      <c r="CD7" s="43"/>
      <c r="CE7" s="18"/>
      <c r="CF7" s="46"/>
      <c r="CG7" s="18"/>
      <c r="CH7" s="18"/>
      <c r="CI7" s="18"/>
      <c r="CJ7" s="18"/>
      <c r="CK7" s="18"/>
      <c r="CL7" s="18"/>
      <c r="CM7" s="46"/>
      <c r="CO7" s="59" t="str">
        <f>"RSS Error with RSHUNT of "&amp;J19&amp;"mΩ, "&amp;100*J20&amp;"%, "&amp;J21&amp; "ppm/°C"</f>
        <v>RSS Error with RSHUNT of 5mΩ, 1%, 100ppm/°C</v>
      </c>
      <c r="CP7" s="59" t="str">
        <f>"RSS Error with Ideal Calculated Shunt Values, "&amp;100*J20&amp;"%, "&amp;J21&amp; "ppm/°C"</f>
        <v>RSS Error with Ideal Calculated Shunt Values, 1%, 100ppm/°C</v>
      </c>
      <c r="CU7" s="102"/>
      <c r="CV7" s="4"/>
    </row>
    <row r="8" spans="1:100" ht="12.95" customHeight="1" thickBot="1">
      <c r="B8" s="230" t="s">
        <v>389</v>
      </c>
      <c r="C8" s="232">
        <v>2</v>
      </c>
      <c r="F8" s="79"/>
      <c r="G8" s="79"/>
      <c r="I8" s="226" t="s">
        <v>22</v>
      </c>
      <c r="J8" s="227"/>
      <c r="K8" s="199" t="s">
        <v>495</v>
      </c>
      <c r="L8" s="200" t="s">
        <v>494</v>
      </c>
      <c r="M8" s="25"/>
      <c r="N8" s="223">
        <f>IF(CT24=0,0,"Operating conditions exceed the capabilities of one (or more) of the devices chosen - no curve can be shown for affected device(s).")</f>
        <v>0</v>
      </c>
      <c r="Q8" s="132"/>
      <c r="R8" s="111">
        <f>CP27+CP28+CP31+CP32</f>
        <v>0</v>
      </c>
      <c r="S8" s="111"/>
      <c r="T8" s="105">
        <f>VLOOKUP(C15,'TI Parametric Selection '!$B:$AH,14,FALSE)</f>
        <v>5</v>
      </c>
      <c r="U8" s="105">
        <f>VLOOKUP(C15,'TI Parametric Selection '!$B:$AH,12,FALSE)</f>
        <v>12</v>
      </c>
      <c r="V8" s="105"/>
      <c r="W8" s="111"/>
      <c r="X8" s="112"/>
      <c r="AE8" s="133"/>
      <c r="AF8" s="105"/>
      <c r="AG8" s="111">
        <f>+CQ27+CQ28+CQ31+CQ32</f>
        <v>0</v>
      </c>
      <c r="AH8" s="111"/>
      <c r="AI8" s="105">
        <f>VLOOKUP(D15,'TI Parametric Selection '!$B:$AH,14,FALSE)</f>
        <v>5</v>
      </c>
      <c r="AJ8" s="105">
        <f>VLOOKUP(D15,'TI Parametric Selection '!$B:$AH,12,FALSE)</f>
        <v>48</v>
      </c>
      <c r="AK8" s="105"/>
      <c r="AL8" s="111"/>
      <c r="AM8" s="112"/>
      <c r="AT8" s="17"/>
      <c r="AU8" s="110"/>
      <c r="AV8" s="111">
        <f>+CR27+CR28+CR31+CR32</f>
        <v>0</v>
      </c>
      <c r="AW8" s="111"/>
      <c r="AX8" s="105">
        <f>VLOOKUP(E15,'TI Parametric Selection '!$B:$AH,14,FALSE)</f>
        <v>5</v>
      </c>
      <c r="AY8" s="105">
        <f>VLOOKUP(E15,'TI Parametric Selection '!$B:$AH,12,FALSE)</f>
        <v>0</v>
      </c>
      <c r="AZ8" s="105"/>
      <c r="BA8" s="111"/>
      <c r="BB8" s="112"/>
      <c r="BI8" s="17"/>
      <c r="BJ8" s="110"/>
      <c r="BK8" s="111">
        <f>+CS27+CS28+CS31+CS32</f>
        <v>0</v>
      </c>
      <c r="BL8" s="111"/>
      <c r="BM8" s="105">
        <f>VLOOKUP(F15,'TI Parametric Selection '!$B:$AH,14,FALSE)</f>
        <v>5</v>
      </c>
      <c r="BN8" s="105">
        <f>VLOOKUP(F15,'TI Parametric Selection '!$B:$AH,12,FALSE)</f>
        <v>48</v>
      </c>
      <c r="BO8" s="105"/>
      <c r="BP8" s="111"/>
      <c r="BQ8" s="112"/>
      <c r="BX8" s="17"/>
      <c r="BY8" s="110"/>
      <c r="BZ8" s="111">
        <f>+CT27+CT28+CT31+CT32</f>
        <v>0</v>
      </c>
      <c r="CA8" s="111"/>
      <c r="CB8" s="105">
        <f>VLOOKUP(G15,'TI Parametric Selection '!$B:$AH,14,FALSE)</f>
        <v>5</v>
      </c>
      <c r="CC8" s="105">
        <f>VLOOKUP(G15,'TI Parametric Selection '!$B:$AH,12,FALSE)</f>
        <v>12</v>
      </c>
      <c r="CD8" s="105"/>
      <c r="CE8" s="111"/>
      <c r="CF8" s="112"/>
      <c r="CM8" s="17"/>
      <c r="CO8" s="4" t="str">
        <f>IF(calcshunt="Yes",CP7,CO7)</f>
        <v>RSS Error with RSHUNT of 5mΩ, 1%, 100ppm/°C</v>
      </c>
    </row>
    <row r="9" spans="1:100" ht="12.95" customHeight="1" thickBot="1">
      <c r="B9" s="231"/>
      <c r="C9" s="233"/>
      <c r="F9" s="79"/>
      <c r="G9" s="79"/>
      <c r="I9" s="80" t="s">
        <v>41</v>
      </c>
      <c r="J9" s="81">
        <v>5.0999999999999996</v>
      </c>
      <c r="K9" s="25" t="s">
        <v>482</v>
      </c>
      <c r="L9" s="4" t="s">
        <v>483</v>
      </c>
      <c r="M9" s="64"/>
      <c r="N9" s="223"/>
      <c r="O9" s="45"/>
      <c r="P9" s="114"/>
      <c r="Q9" s="224" t="s">
        <v>25</v>
      </c>
      <c r="R9" s="219"/>
      <c r="S9" s="219"/>
      <c r="T9" s="219"/>
      <c r="U9" s="219"/>
      <c r="V9" s="219"/>
      <c r="W9" s="219"/>
      <c r="X9" s="220"/>
      <c r="Y9" s="218" t="str">
        <f>"Individual Error Contributions @ "&amp;Desiredtemp&amp;" °C"</f>
        <v>Individual Error Contributions @ 60 °C</v>
      </c>
      <c r="Z9" s="219"/>
      <c r="AA9" s="219"/>
      <c r="AB9" s="219"/>
      <c r="AC9" s="219"/>
      <c r="AD9" s="219"/>
      <c r="AE9" s="225"/>
      <c r="AF9" s="219" t="s">
        <v>25</v>
      </c>
      <c r="AG9" s="219"/>
      <c r="AH9" s="219"/>
      <c r="AI9" s="219"/>
      <c r="AJ9" s="219"/>
      <c r="AK9" s="219"/>
      <c r="AL9" s="219"/>
      <c r="AM9" s="220"/>
      <c r="AN9" s="218" t="str">
        <f>"Individual Error Contributions @ "&amp;Desiredtemp&amp;" °C"</f>
        <v>Individual Error Contributions @ 60 °C</v>
      </c>
      <c r="AO9" s="219"/>
      <c r="AP9" s="219"/>
      <c r="AQ9" s="219"/>
      <c r="AR9" s="219"/>
      <c r="AS9" s="219"/>
      <c r="AT9" s="220" t="s">
        <v>26</v>
      </c>
      <c r="AU9" s="218" t="s">
        <v>25</v>
      </c>
      <c r="AV9" s="219"/>
      <c r="AW9" s="219"/>
      <c r="AX9" s="219"/>
      <c r="AY9" s="219"/>
      <c r="AZ9" s="219"/>
      <c r="BA9" s="219"/>
      <c r="BB9" s="220"/>
      <c r="BC9" s="218" t="str">
        <f>"Individual Error Contributions @ "&amp;Desiredtemp&amp;" °C"</f>
        <v>Individual Error Contributions @ 60 °C</v>
      </c>
      <c r="BD9" s="219"/>
      <c r="BE9" s="219"/>
      <c r="BF9" s="219"/>
      <c r="BG9" s="219"/>
      <c r="BH9" s="219"/>
      <c r="BI9" s="220" t="s">
        <v>26</v>
      </c>
      <c r="BJ9" s="218" t="s">
        <v>25</v>
      </c>
      <c r="BK9" s="219"/>
      <c r="BL9" s="219"/>
      <c r="BM9" s="219"/>
      <c r="BN9" s="219"/>
      <c r="BO9" s="219"/>
      <c r="BP9" s="219"/>
      <c r="BQ9" s="220"/>
      <c r="BR9" s="218" t="str">
        <f>"Individual Error Contributions @ "&amp;Desiredtemp&amp;" °C"</f>
        <v>Individual Error Contributions @ 60 °C</v>
      </c>
      <c r="BS9" s="219"/>
      <c r="BT9" s="219"/>
      <c r="BU9" s="219"/>
      <c r="BV9" s="219"/>
      <c r="BW9" s="219"/>
      <c r="BX9" s="220" t="s">
        <v>26</v>
      </c>
      <c r="BY9" s="218" t="s">
        <v>25</v>
      </c>
      <c r="BZ9" s="219"/>
      <c r="CA9" s="219"/>
      <c r="CB9" s="219"/>
      <c r="CC9" s="219"/>
      <c r="CD9" s="219"/>
      <c r="CE9" s="219"/>
      <c r="CF9" s="220"/>
      <c r="CG9" s="218" t="str">
        <f>"Individual Error Contributions @ "&amp;Desiredtemp&amp;" °C"</f>
        <v>Individual Error Contributions @ 60 °C</v>
      </c>
      <c r="CH9" s="219"/>
      <c r="CI9" s="219"/>
      <c r="CJ9" s="219"/>
      <c r="CK9" s="219"/>
      <c r="CL9" s="219"/>
      <c r="CM9" s="220" t="s">
        <v>26</v>
      </c>
    </row>
    <row r="10" spans="1:100" ht="12.95" customHeight="1" thickBot="1">
      <c r="A10" s="14"/>
      <c r="B10" s="217" t="s">
        <v>481</v>
      </c>
      <c r="C10" s="217"/>
      <c r="D10" s="217"/>
      <c r="F10" s="79"/>
      <c r="G10" s="79"/>
      <c r="H10" s="14"/>
      <c r="I10" s="62" t="s">
        <v>42</v>
      </c>
      <c r="J10" s="63">
        <v>12</v>
      </c>
      <c r="K10" s="16" t="s">
        <v>482</v>
      </c>
      <c r="L10" s="4" t="s">
        <v>484</v>
      </c>
      <c r="M10" s="25"/>
      <c r="N10" s="223"/>
      <c r="O10" s="45"/>
      <c r="P10" s="115" t="s">
        <v>27</v>
      </c>
      <c r="Q10" s="132" t="s">
        <v>267</v>
      </c>
      <c r="R10" s="2" t="s">
        <v>28</v>
      </c>
      <c r="S10" s="2" t="s">
        <v>12</v>
      </c>
      <c r="T10" s="2" t="s">
        <v>13</v>
      </c>
      <c r="U10" s="2" t="s">
        <v>29</v>
      </c>
      <c r="V10" s="2" t="s">
        <v>264</v>
      </c>
      <c r="W10" s="2" t="s">
        <v>30</v>
      </c>
      <c r="X10" s="113" t="s">
        <v>325</v>
      </c>
      <c r="Y10" s="1" t="s">
        <v>28</v>
      </c>
      <c r="Z10" s="2" t="s">
        <v>12</v>
      </c>
      <c r="AA10" s="2" t="s">
        <v>13</v>
      </c>
      <c r="AB10" s="2" t="s">
        <v>29</v>
      </c>
      <c r="AC10" s="2" t="s">
        <v>264</v>
      </c>
      <c r="AD10" s="2" t="s">
        <v>30</v>
      </c>
      <c r="AE10" s="134" t="s">
        <v>325</v>
      </c>
      <c r="AF10" s="105" t="s">
        <v>268</v>
      </c>
      <c r="AG10" s="2" t="s">
        <v>28</v>
      </c>
      <c r="AH10" s="2" t="s">
        <v>12</v>
      </c>
      <c r="AI10" s="2" t="s">
        <v>13</v>
      </c>
      <c r="AJ10" s="2" t="s">
        <v>29</v>
      </c>
      <c r="AK10" s="2" t="s">
        <v>264</v>
      </c>
      <c r="AL10" s="2" t="s">
        <v>30</v>
      </c>
      <c r="AM10" s="113" t="s">
        <v>325</v>
      </c>
      <c r="AN10" s="1" t="s">
        <v>28</v>
      </c>
      <c r="AO10" s="2" t="s">
        <v>12</v>
      </c>
      <c r="AP10" s="2" t="s">
        <v>13</v>
      </c>
      <c r="AQ10" s="2" t="s">
        <v>29</v>
      </c>
      <c r="AR10" s="2" t="s">
        <v>264</v>
      </c>
      <c r="AS10" s="2" t="s">
        <v>30</v>
      </c>
      <c r="AT10" s="113" t="s">
        <v>325</v>
      </c>
      <c r="AU10" s="110" t="s">
        <v>269</v>
      </c>
      <c r="AV10" s="2" t="s">
        <v>28</v>
      </c>
      <c r="AW10" s="2" t="s">
        <v>12</v>
      </c>
      <c r="AX10" s="2" t="s">
        <v>13</v>
      </c>
      <c r="AY10" s="2" t="s">
        <v>29</v>
      </c>
      <c r="AZ10" s="2" t="s">
        <v>264</v>
      </c>
      <c r="BA10" s="2" t="s">
        <v>30</v>
      </c>
      <c r="BB10" s="113" t="s">
        <v>325</v>
      </c>
      <c r="BC10" s="1" t="s">
        <v>28</v>
      </c>
      <c r="BD10" s="2" t="s">
        <v>12</v>
      </c>
      <c r="BE10" s="2" t="s">
        <v>13</v>
      </c>
      <c r="BF10" s="2" t="s">
        <v>29</v>
      </c>
      <c r="BG10" s="2" t="s">
        <v>264</v>
      </c>
      <c r="BH10" s="2" t="s">
        <v>30</v>
      </c>
      <c r="BI10" s="113" t="s">
        <v>325</v>
      </c>
      <c r="BJ10" s="110" t="s">
        <v>271</v>
      </c>
      <c r="BK10" s="2" t="s">
        <v>28</v>
      </c>
      <c r="BL10" s="2" t="s">
        <v>12</v>
      </c>
      <c r="BM10" s="2" t="s">
        <v>13</v>
      </c>
      <c r="BN10" s="2" t="s">
        <v>29</v>
      </c>
      <c r="BO10" s="2" t="s">
        <v>264</v>
      </c>
      <c r="BP10" s="2" t="s">
        <v>30</v>
      </c>
      <c r="BQ10" s="113" t="s">
        <v>325</v>
      </c>
      <c r="BR10" s="1" t="s">
        <v>28</v>
      </c>
      <c r="BS10" s="2" t="s">
        <v>12</v>
      </c>
      <c r="BT10" s="2" t="s">
        <v>13</v>
      </c>
      <c r="BU10" s="2" t="s">
        <v>29</v>
      </c>
      <c r="BV10" s="2" t="s">
        <v>264</v>
      </c>
      <c r="BW10" s="2" t="s">
        <v>30</v>
      </c>
      <c r="BX10" s="113" t="s">
        <v>325</v>
      </c>
      <c r="BY10" s="110" t="s">
        <v>270</v>
      </c>
      <c r="BZ10" s="2" t="s">
        <v>28</v>
      </c>
      <c r="CA10" s="2" t="s">
        <v>12</v>
      </c>
      <c r="CB10" s="2" t="s">
        <v>13</v>
      </c>
      <c r="CC10" s="2" t="s">
        <v>29</v>
      </c>
      <c r="CD10" s="2" t="s">
        <v>264</v>
      </c>
      <c r="CE10" s="2" t="s">
        <v>30</v>
      </c>
      <c r="CF10" s="113" t="s">
        <v>325</v>
      </c>
      <c r="CG10" s="1" t="s">
        <v>28</v>
      </c>
      <c r="CH10" s="2" t="s">
        <v>12</v>
      </c>
      <c r="CI10" s="2" t="s">
        <v>13</v>
      </c>
      <c r="CJ10" s="2" t="s">
        <v>29</v>
      </c>
      <c r="CK10" s="2" t="s">
        <v>264</v>
      </c>
      <c r="CL10" s="2" t="s">
        <v>30</v>
      </c>
      <c r="CM10" s="113" t="s">
        <v>325</v>
      </c>
    </row>
    <row r="11" spans="1:100" ht="13.5" customHeight="1">
      <c r="B11" s="217"/>
      <c r="C11" s="217"/>
      <c r="D11" s="217"/>
      <c r="E11" s="196" t="s">
        <v>262</v>
      </c>
      <c r="F11" s="79" t="s">
        <v>262</v>
      </c>
      <c r="G11" s="79" t="s">
        <v>262</v>
      </c>
      <c r="I11" s="66" t="s">
        <v>86</v>
      </c>
      <c r="J11" s="60" t="s">
        <v>44</v>
      </c>
      <c r="K11" s="16" t="s">
        <v>482</v>
      </c>
      <c r="L11" s="4" t="s">
        <v>485</v>
      </c>
      <c r="M11" s="69"/>
      <c r="N11" s="223"/>
      <c r="O11" s="45"/>
      <c r="P11" s="114">
        <v>9.9999999999999995E-7</v>
      </c>
      <c r="Q11" s="135">
        <f t="shared" ref="Q11:Q42" si="0">IF(calcshunt="Yes",($P11*$C$32/1000),($P11*$J$19/1000))</f>
        <v>4.9999999999999993E-9</v>
      </c>
      <c r="R11" s="49">
        <f t="shared" ref="R11:R42" si="1">IF(RTC="Yes",0,((VOS_1/1000000)/Q11))</f>
        <v>100000.00000000001</v>
      </c>
      <c r="S11" s="3">
        <f t="shared" ref="S11:S42" si="2">IF(R$8&lt;&gt;0,"ERROR",IF(RTC="Yes",0,GE_1))</f>
        <v>8.0000000000000002E-3</v>
      </c>
      <c r="T11" s="49">
        <f t="shared" ref="T11:T42" si="3">IF(RTC="Yes",0,(($T$7*ABS(Vsupply-$T$8))/Q11))</f>
        <v>799.99999999999739</v>
      </c>
      <c r="U11" s="49">
        <f t="shared" ref="U11:U42" si="4">IF(RTC="Yes",0,(($U$7*ABS(Vcm-$U$8))/Q11))</f>
        <v>0</v>
      </c>
      <c r="V11" s="49">
        <f t="shared" ref="V11:V42" si="5">IF(RTC="Yes",0,((ibias1/1000000)/$P11))</f>
        <v>80.000000000000014</v>
      </c>
      <c r="W11" s="3">
        <f t="shared" ref="W11:W42" si="6">IF(RTC="Yes",0,$J$20)</f>
        <v>0.01</v>
      </c>
      <c r="X11" s="50">
        <f>SQRT((V11^2)+(R11+T11+U11)^2+(S11)^2+(W11)^2)</f>
        <v>100800.03174602758</v>
      </c>
      <c r="Y11" s="3">
        <f t="shared" ref="Y11:Y42" si="7">R11+((VOSD1*0.000001*ABS(Desiredtemp-25)))/Q11</f>
        <v>107000.00000000001</v>
      </c>
      <c r="Z11" s="3">
        <f t="shared" ref="Z11:Z42" si="8">S11+(GED_1/1000000*ABS(Desiredtemp-25))</f>
        <v>8.6999999999999994E-3</v>
      </c>
      <c r="AA11" s="3">
        <f>T11</f>
        <v>799.99999999999739</v>
      </c>
      <c r="AB11" s="3">
        <f>U11</f>
        <v>0</v>
      </c>
      <c r="AC11" s="3">
        <f t="shared" ref="AC11:AC42" si="9">(ibias1/1000000)/$P11</f>
        <v>80.000000000000014</v>
      </c>
      <c r="AD11" s="214">
        <f t="shared" ref="AD11:AD42" si="10">((resdrift/1000000)*ABS(Desiredtemp-25))+W11</f>
        <v>1.35E-2</v>
      </c>
      <c r="AE11" s="136">
        <f t="shared" ref="AE11" si="11">SQRT(((Y11+AA11+AB11)^2+(Z11)^2+(AC11)^2+(AD11)^2))</f>
        <v>107800.02968459825</v>
      </c>
      <c r="AF11" s="16">
        <f t="shared" ref="AF11:AF42" si="12">IF(calcshunt="Yes",($P11*$D$32/1000),($P11*$J$19/1000))</f>
        <v>4.9999999999999993E-9</v>
      </c>
      <c r="AG11" s="49">
        <f t="shared" ref="AG11:AG42" si="13">IF(RTC="Yes",0,((VOS_2/1000000)/AF11))</f>
        <v>1600.0000000000002</v>
      </c>
      <c r="AH11" s="3">
        <f t="shared" ref="AH11:AH42" si="14">IF(AG$8&lt;&gt;0,"ERROR",IF(RTC="Yes",0,GE_2))</f>
        <v>1.4999999999999999E-4</v>
      </c>
      <c r="AI11" s="49">
        <f t="shared" ref="AI11:AI42" si="15">IF(RTC="Yes",0,(($AI$7*ABS(Vsupply-$AI$8))/AF11))</f>
        <v>10.023744672545408</v>
      </c>
      <c r="AJ11" s="49">
        <f t="shared" ref="AJ11:AJ42" si="16">IF(RTC="Yes",0,(($AJ$7*ABS(Vcm-$AJ$8))/AF11))</f>
        <v>227.68399153212266</v>
      </c>
      <c r="AK11" s="49">
        <f t="shared" ref="AK11:AK42" si="17">IF(RTC="Yes",0,((ibias2/1000000)/$P11))</f>
        <v>45.000000000000007</v>
      </c>
      <c r="AL11" s="3">
        <f t="shared" ref="AL11:AL42" si="18">IF(RTC="Yes",0,$J$20)</f>
        <v>0.01</v>
      </c>
      <c r="AM11" s="50">
        <f>SQRT((AK11^2)+(AG11+AI11+AJ11)^2+(AH11)^2+(AL11)^2)</f>
        <v>1838.2586117863038</v>
      </c>
      <c r="AN11" s="3">
        <f t="shared" ref="AN11:AN42" si="19">AG11+((VOSD2*0.000001*ABS(Desiredtemp-25)))/AF11</f>
        <v>2300.0000000000005</v>
      </c>
      <c r="AO11" s="3">
        <f t="shared" ref="AO11:AO42" si="20">AH11+(GED_2/1000000*ABS(Desiredtemp-25))</f>
        <v>2.1999999999999998E-4</v>
      </c>
      <c r="AP11" s="3">
        <f>AI11</f>
        <v>10.023744672545408</v>
      </c>
      <c r="AQ11" s="3">
        <f>AJ11</f>
        <v>227.68399153212266</v>
      </c>
      <c r="AR11" s="3">
        <f t="shared" ref="AR11:AR42" si="21">(ibias2/1000000)/$P11</f>
        <v>45.000000000000007</v>
      </c>
      <c r="AS11" s="214">
        <f t="shared" ref="AS11:AS42" si="22">((resdrift/1000000)*ABS(Desiredtemp-25))+AL11</f>
        <v>1.35E-2</v>
      </c>
      <c r="AT11" s="50">
        <f t="shared" ref="AT11" si="23">SQRT(((AN11+AP11+AQ11)^2+(AO11)^2+(AR11)^2+(AS11)^2))</f>
        <v>2538.1066869962974</v>
      </c>
      <c r="AU11" s="16">
        <f t="shared" ref="AU11:AU42" si="24">IF(calcshunt="Yes",($P11*$E$32/1000),($P11*$J$19/1000))</f>
        <v>4.9999999999999993E-9</v>
      </c>
      <c r="AV11" s="49">
        <f t="shared" ref="AV11:AV42" si="25">IF(RTC="Yes",0,((VOS_3/1000000)/AU11))</f>
        <v>30000</v>
      </c>
      <c r="AW11" s="3">
        <f t="shared" ref="AW11:AW42" si="26">IF(AV$8&lt;&gt;0,"ERROR",IF(RTC="Yes",0,GE_3))</f>
        <v>8.0000000000000002E-3</v>
      </c>
      <c r="AX11" s="49">
        <f t="shared" ref="AX11:AX42" si="27">IF(RTC="Yes",0,(($AX$7*ABS(Vsupply-$AX$8))/AU11))</f>
        <v>799.99999999999739</v>
      </c>
      <c r="AY11" s="49">
        <f t="shared" ref="AY11:AY42" si="28">IF(RTC="Yes",0,(($AY$7*ABS(Vcm-$AY$8))/AU11))</f>
        <v>151429.76267524631</v>
      </c>
      <c r="AZ11" s="49">
        <f t="shared" ref="AZ11:AZ42" si="29">IF(RTC="Yes",0,((ibias3/1000000)/$P11))</f>
        <v>80.000000000000014</v>
      </c>
      <c r="BA11" s="3">
        <f t="shared" ref="BA11:BA42" si="30">IF(RTC="Yes",0,$J$20)</f>
        <v>0.01</v>
      </c>
      <c r="BB11" s="50">
        <f>SQRT((AZ11^2)+(AV11+AX11+AY11)^2+(AW11)^2+(BA11)^2)</f>
        <v>182229.78023549487</v>
      </c>
      <c r="BC11" s="3">
        <f t="shared" ref="BC11:BC42" si="31">AV11+((VOSD3*0.000001*ABS(Desiredtemp-25)))/AU11</f>
        <v>37000</v>
      </c>
      <c r="BD11" s="3">
        <f t="shared" ref="BD11:BD42" si="32">AW11+(GED_3/1000000*ABS(Desiredtemp-25))</f>
        <v>8.6999999999999994E-3</v>
      </c>
      <c r="BE11" s="3">
        <f>AX11</f>
        <v>799.99999999999739</v>
      </c>
      <c r="BF11" s="3">
        <f>AY11</f>
        <v>151429.76267524631</v>
      </c>
      <c r="BG11" s="3">
        <f t="shared" ref="BG11:BG42" si="33">(ibias3/1000000)/$P11</f>
        <v>80.000000000000014</v>
      </c>
      <c r="BH11" s="214">
        <f t="shared" ref="BH11:BH42" si="34">((resdrift/1000000)*ABS(Desiredtemp-25))+BA11</f>
        <v>1.35E-2</v>
      </c>
      <c r="BI11" s="50">
        <f t="shared" ref="BI11" si="35">SQRT(((BC11+BE11+BF11)^2+(BD11)^2+(BG11)^2+(BH11)^2))</f>
        <v>189229.77958590531</v>
      </c>
      <c r="BJ11" s="16">
        <f t="shared" ref="BJ11:BJ42" si="36">IF(calcshunt="Yes",($P11*$F$32/1000),($P11*$J$19/1000))</f>
        <v>4.9999999999999993E-9</v>
      </c>
      <c r="BK11" s="49">
        <f t="shared" ref="BK11:BK42" si="37">IF(RTC="Yes",0,((VOS_4/1000000)/BJ11))</f>
        <v>30000</v>
      </c>
      <c r="BL11" s="3">
        <f t="shared" ref="BL11:BL42" si="38">IF(BK$8&lt;&gt;0,"ERROR",IF(RTC="Yes",0,GE_4))</f>
        <v>1E-3</v>
      </c>
      <c r="BM11" s="49">
        <f t="shared" ref="BM11:BM42" si="39">IF(RTC="Yes",0,(($BM$7*ABS(Vsupply-$BM$8))/BJ11))</f>
        <v>199.99999999999935</v>
      </c>
      <c r="BN11" s="49">
        <f t="shared" ref="BN11:BN42" si="40">IF(RTC="Yes",0,(($BN$7*ABS(Vcm-$BN$8))/BJ11))</f>
        <v>7200.0000000000009</v>
      </c>
      <c r="BO11" s="49">
        <f t="shared" ref="BO11:BO42" si="41">IF(RTC="Yes",0,((ibias4/1000000)/$P11))</f>
        <v>45.000000000000007</v>
      </c>
      <c r="BP11" s="3">
        <f t="shared" ref="BP11:BP42" si="42">IF(RTC="Yes",0,$J$20)</f>
        <v>0.01</v>
      </c>
      <c r="BQ11" s="50">
        <f>SQRT((BO11^2)+(BK11+BM11+BN11)^2+(BL11)^2+(BP11)^2)</f>
        <v>37400.027072184064</v>
      </c>
      <c r="BR11" s="3">
        <f t="shared" ref="BR11:BR42" si="43">BK11+((VOSD4*0.000001*ABS(Desiredtemp-25)))/BJ11</f>
        <v>33500</v>
      </c>
      <c r="BS11" s="3">
        <f t="shared" ref="BS11:BS42" si="44">BL11+(GED_4/1000000*ABS(Desiredtemp-25))</f>
        <v>1.175E-3</v>
      </c>
      <c r="BT11" s="3">
        <f>BM11</f>
        <v>199.99999999999935</v>
      </c>
      <c r="BU11" s="3">
        <f>BN11</f>
        <v>7200.0000000000009</v>
      </c>
      <c r="BV11" s="3">
        <f t="shared" ref="BV11:BV42" si="45">(ibias4/1000000)/$P11</f>
        <v>45.000000000000007</v>
      </c>
      <c r="BW11" s="214">
        <f t="shared" ref="BW11:BW42" si="46">((resdrift/1000000)*ABS(Desiredtemp-25))+BP11</f>
        <v>1.35E-2</v>
      </c>
      <c r="BX11" s="50">
        <f t="shared" ref="BX11" si="47">SQRT(((BR11+BT11+BU11)^2+(BS11)^2+(BV11)^2+(BW11)^2))</f>
        <v>40900.024755495971</v>
      </c>
      <c r="BY11" s="16">
        <f t="shared" ref="BY11:BY42" si="48">IF(calcshunt="Yes",($P11*$G$32/1000),($P11*$J$19/1000))</f>
        <v>4.9999999999999993E-9</v>
      </c>
      <c r="BZ11" s="49">
        <f t="shared" ref="BZ11:BZ42" si="49">IF(RTC="Yes",0,((VOS_5/1000000)/BY11))</f>
        <v>5000</v>
      </c>
      <c r="CA11" s="3">
        <f t="shared" ref="CA11:CA42" si="50">IF(BZ$8&lt;&gt;0,"ERROR",IF(RTC="Yes",0,GE_5))</f>
        <v>2E-3</v>
      </c>
      <c r="CB11" s="49">
        <f t="shared" ref="CB11:CB42" si="51">IF(RTC="Yes",0,(($CB$7*ABS(Vsupply-$CB$8))/BY11))</f>
        <v>199.99999999999935</v>
      </c>
      <c r="CC11" s="49">
        <f t="shared" ref="CC11:CC42" si="52">IF(RTC="Yes",0,(($CC$7*ABS(Vcm-$CC$8))/BY11))</f>
        <v>0</v>
      </c>
      <c r="CD11" s="49">
        <f t="shared" ref="CD11:CD42" si="53">IF(RTC="Yes",0,((ibias5/1000000)/$P11))</f>
        <v>90.000000000000014</v>
      </c>
      <c r="CE11" s="3">
        <f t="shared" ref="CE11:CE42" si="54">IF(RTC="Yes",0,$J$20)</f>
        <v>0.01</v>
      </c>
      <c r="CF11" s="50">
        <f>SQRT((CD11^2)+(BZ11+CB11+CC11)^2+(CA11)^2+(CE11)^2)</f>
        <v>5200.7787878455274</v>
      </c>
      <c r="CG11" s="3">
        <f t="shared" ref="CG11:CG42" si="55">BZ11+((VOSD5*0.000001*ABS(Desiredtemp-25)))/BY11</f>
        <v>6750</v>
      </c>
      <c r="CH11" s="3">
        <f t="shared" ref="CH11:CH42" si="56">CA11+(GED_5/1000000*ABS(Desiredtemp-25))</f>
        <v>2.0874999999999999E-3</v>
      </c>
      <c r="CI11" s="3">
        <f>CB11</f>
        <v>199.99999999999935</v>
      </c>
      <c r="CJ11" s="3">
        <f>CC11</f>
        <v>0</v>
      </c>
      <c r="CK11" s="3">
        <f t="shared" ref="CK11:CK42" si="57">(ibias5/1000000)/$P11</f>
        <v>90.000000000000014</v>
      </c>
      <c r="CL11" s="214">
        <f t="shared" ref="CL11:CL42" si="58">((resdrift/1000000)*ABS(Desiredtemp-25))+CE11</f>
        <v>1.35E-2</v>
      </c>
      <c r="CM11" s="50">
        <f t="shared" ref="CM11" si="59">SQRT(((CG11+CI11+CJ11)^2+(CH11)^2+(CK11)^2+(CL11)^2))</f>
        <v>6950.5827093982989</v>
      </c>
    </row>
    <row r="12" spans="1:100" ht="13.5" customHeight="1" thickBot="1">
      <c r="A12" s="14"/>
      <c r="B12" s="217"/>
      <c r="C12" s="217"/>
      <c r="D12" s="217"/>
      <c r="F12" s="79"/>
      <c r="G12" s="79"/>
      <c r="I12" s="67" t="s">
        <v>23</v>
      </c>
      <c r="J12" s="61">
        <v>60</v>
      </c>
      <c r="K12" s="16" t="s">
        <v>482</v>
      </c>
      <c r="L12" s="4" t="s">
        <v>486</v>
      </c>
      <c r="M12" s="28"/>
      <c r="N12" s="223"/>
      <c r="P12" s="116">
        <v>1.5E-6</v>
      </c>
      <c r="Q12" s="135">
        <f t="shared" si="0"/>
        <v>7.500000000000001E-9</v>
      </c>
      <c r="R12" s="49">
        <f t="shared" si="1"/>
        <v>66666.666666666657</v>
      </c>
      <c r="S12" s="3">
        <f t="shared" si="2"/>
        <v>8.0000000000000002E-3</v>
      </c>
      <c r="T12" s="49">
        <f t="shared" si="3"/>
        <v>533.33333333333144</v>
      </c>
      <c r="U12" s="49">
        <f t="shared" si="4"/>
        <v>0</v>
      </c>
      <c r="V12" s="49">
        <f t="shared" si="5"/>
        <v>53.333333333333336</v>
      </c>
      <c r="W12" s="3">
        <f t="shared" si="6"/>
        <v>0.01</v>
      </c>
      <c r="X12" s="50">
        <f t="shared" ref="X12:X75" si="60">SQRT((V12^2)+(R12+T12+U12)^2+(S12)^2+(W12)^2)</f>
        <v>67200.021164019039</v>
      </c>
      <c r="Y12" s="3">
        <f t="shared" si="7"/>
        <v>71333.333333333328</v>
      </c>
      <c r="Z12" s="3">
        <f t="shared" si="8"/>
        <v>8.6999999999999994E-3</v>
      </c>
      <c r="AA12" s="3">
        <f t="shared" ref="AA12:AA75" si="61">T12</f>
        <v>533.33333333333144</v>
      </c>
      <c r="AB12" s="3">
        <f t="shared" ref="AB12:AB75" si="62">U12</f>
        <v>0</v>
      </c>
      <c r="AC12" s="3">
        <f t="shared" si="9"/>
        <v>53.333333333333336</v>
      </c>
      <c r="AD12" s="214">
        <f t="shared" si="10"/>
        <v>1.35E-2</v>
      </c>
      <c r="AE12" s="136">
        <f t="shared" ref="AE12:AE75" si="63">SQRT(((Y12+AA12+AB12)^2+(Z12)^2+(AC12)^2+(AD12)^2))</f>
        <v>71866.68645639981</v>
      </c>
      <c r="AF12" s="16">
        <f t="shared" si="12"/>
        <v>7.500000000000001E-9</v>
      </c>
      <c r="AG12" s="49">
        <f t="shared" si="13"/>
        <v>1066.6666666666665</v>
      </c>
      <c r="AH12" s="3">
        <f t="shared" si="14"/>
        <v>1.4999999999999999E-4</v>
      </c>
      <c r="AI12" s="49">
        <f t="shared" si="15"/>
        <v>6.6824964483636045</v>
      </c>
      <c r="AJ12" s="49">
        <f t="shared" si="16"/>
        <v>151.78932768808173</v>
      </c>
      <c r="AK12" s="49">
        <f t="shared" si="17"/>
        <v>30</v>
      </c>
      <c r="AL12" s="3">
        <f t="shared" si="18"/>
        <v>0.01</v>
      </c>
      <c r="AM12" s="50">
        <f t="shared" ref="AM12:AM75" si="64">SQRT((AK12^2)+(AG12+AI12+AJ12)^2+(AH12)^2+(AL12)^2)</f>
        <v>1225.5057412135404</v>
      </c>
      <c r="AN12" s="3">
        <f t="shared" si="19"/>
        <v>1533.333333333333</v>
      </c>
      <c r="AO12" s="3">
        <f t="shared" si="20"/>
        <v>2.1999999999999998E-4</v>
      </c>
      <c r="AP12" s="3">
        <f t="shared" ref="AP12:AP75" si="65">AI12</f>
        <v>6.6824964483636045</v>
      </c>
      <c r="AQ12" s="3">
        <f t="shared" ref="AQ12:AQ75" si="66">AJ12</f>
        <v>151.78932768808173</v>
      </c>
      <c r="AR12" s="3">
        <f t="shared" si="21"/>
        <v>30</v>
      </c>
      <c r="AS12" s="214">
        <f t="shared" si="22"/>
        <v>1.35E-2</v>
      </c>
      <c r="AT12" s="50">
        <f t="shared" ref="AT12:AT75" si="67">SQRT(((AN12+AP12+AQ12)^2+(AO12)^2+(AR12)^2+(AS12)^2))</f>
        <v>1692.0711246941246</v>
      </c>
      <c r="AU12" s="16">
        <f t="shared" si="24"/>
        <v>7.500000000000001E-9</v>
      </c>
      <c r="AV12" s="49">
        <f t="shared" si="25"/>
        <v>19999.999999999996</v>
      </c>
      <c r="AW12" s="3">
        <f t="shared" si="26"/>
        <v>8.0000000000000002E-3</v>
      </c>
      <c r="AX12" s="49">
        <f t="shared" si="27"/>
        <v>533.33333333333144</v>
      </c>
      <c r="AY12" s="49">
        <f t="shared" si="28"/>
        <v>100953.17511683084</v>
      </c>
      <c r="AZ12" s="49">
        <f t="shared" si="29"/>
        <v>53.333333333333336</v>
      </c>
      <c r="BA12" s="3">
        <f t="shared" si="30"/>
        <v>0.01</v>
      </c>
      <c r="BB12" s="50">
        <f t="shared" ref="BB12:BB75" si="68">SQRT((AZ12^2)+(AV12+AX12+AY12)^2+(AW12)^2+(BA12)^2)</f>
        <v>121486.52015699692</v>
      </c>
      <c r="BC12" s="3">
        <f t="shared" si="31"/>
        <v>24666.666666666664</v>
      </c>
      <c r="BD12" s="3">
        <f t="shared" si="32"/>
        <v>8.6999999999999994E-3</v>
      </c>
      <c r="BE12" s="3">
        <f t="shared" ref="BE12:BE75" si="69">AX12</f>
        <v>533.33333333333144</v>
      </c>
      <c r="BF12" s="3">
        <f t="shared" ref="BF12:BF75" si="70">AY12</f>
        <v>100953.17511683084</v>
      </c>
      <c r="BG12" s="3">
        <f t="shared" si="33"/>
        <v>53.333333333333336</v>
      </c>
      <c r="BH12" s="214">
        <f t="shared" si="34"/>
        <v>1.35E-2</v>
      </c>
      <c r="BI12" s="50">
        <f t="shared" ref="BI12:BI75" si="71">SQRT(((BC12+BE12+BF12)^2+(BD12)^2+(BG12)^2+(BH12)^2))</f>
        <v>126153.18639060407</v>
      </c>
      <c r="BJ12" s="16">
        <f t="shared" si="36"/>
        <v>7.500000000000001E-9</v>
      </c>
      <c r="BK12" s="49">
        <f t="shared" si="37"/>
        <v>19999.999999999996</v>
      </c>
      <c r="BL12" s="3">
        <f t="shared" si="38"/>
        <v>1E-3</v>
      </c>
      <c r="BM12" s="49">
        <f t="shared" si="39"/>
        <v>133.33333333333286</v>
      </c>
      <c r="BN12" s="49">
        <f t="shared" si="40"/>
        <v>4799.9999999999991</v>
      </c>
      <c r="BO12" s="49">
        <f t="shared" si="41"/>
        <v>30</v>
      </c>
      <c r="BP12" s="3">
        <f t="shared" si="42"/>
        <v>0.01</v>
      </c>
      <c r="BQ12" s="50">
        <f t="shared" ref="BQ12:BQ75" si="72">SQRT((BO12^2)+(BK12+BM12+BN12)^2+(BL12)^2+(BP12)^2)</f>
        <v>24933.351381457163</v>
      </c>
      <c r="BR12" s="3">
        <f t="shared" si="43"/>
        <v>22333.333333333328</v>
      </c>
      <c r="BS12" s="3">
        <f t="shared" si="44"/>
        <v>1.175E-3</v>
      </c>
      <c r="BT12" s="3">
        <f t="shared" ref="BT12:BT75" si="73">BM12</f>
        <v>133.33333333333286</v>
      </c>
      <c r="BU12" s="3">
        <f t="shared" ref="BU12:BU75" si="74">BN12</f>
        <v>4799.9999999999991</v>
      </c>
      <c r="BV12" s="3">
        <f t="shared" si="45"/>
        <v>30</v>
      </c>
      <c r="BW12" s="214">
        <f t="shared" si="46"/>
        <v>1.35E-2</v>
      </c>
      <c r="BX12" s="50">
        <f t="shared" ref="BX12:BX75" si="75">SQRT(((BR12+BT12+BU12)^2+(BS12)^2+(BV12)^2+(BW12)^2))</f>
        <v>27266.683170332515</v>
      </c>
      <c r="BY12" s="16">
        <f t="shared" si="48"/>
        <v>7.500000000000001E-9</v>
      </c>
      <c r="BZ12" s="49">
        <f t="shared" si="49"/>
        <v>3333.3333333333326</v>
      </c>
      <c r="CA12" s="3">
        <f t="shared" si="50"/>
        <v>2E-3</v>
      </c>
      <c r="CB12" s="49">
        <f t="shared" si="51"/>
        <v>133.33333333333286</v>
      </c>
      <c r="CC12" s="49">
        <f t="shared" si="52"/>
        <v>0</v>
      </c>
      <c r="CD12" s="49">
        <f t="shared" si="53"/>
        <v>60</v>
      </c>
      <c r="CE12" s="3">
        <f t="shared" si="54"/>
        <v>0.01</v>
      </c>
      <c r="CF12" s="50">
        <f t="shared" ref="CF12:CF75" si="76">SQRT((CD12^2)+(BZ12+CB12+CC12)^2+(CA12)^2+(CE12)^2)</f>
        <v>3467.1858585720161</v>
      </c>
      <c r="CG12" s="3">
        <f t="shared" si="55"/>
        <v>4499.9999999999991</v>
      </c>
      <c r="CH12" s="3">
        <f t="shared" si="56"/>
        <v>2.0874999999999999E-3</v>
      </c>
      <c r="CI12" s="3">
        <f t="shared" ref="CI12:CI75" si="77">CB12</f>
        <v>133.33333333333286</v>
      </c>
      <c r="CJ12" s="3">
        <f t="shared" ref="CJ12:CJ75" si="78">CC12</f>
        <v>0</v>
      </c>
      <c r="CK12" s="3">
        <f t="shared" si="57"/>
        <v>60</v>
      </c>
      <c r="CL12" s="214">
        <f t="shared" si="58"/>
        <v>1.35E-2</v>
      </c>
      <c r="CM12" s="50">
        <f t="shared" ref="CM12:CM75" si="79">SQRT(((CG12+CI12+CJ12)^2+(CH12)^2+(CK12)^2+(CL12)^2))</f>
        <v>4633.7218062767179</v>
      </c>
      <c r="CO12" s="22" t="s">
        <v>170</v>
      </c>
      <c r="CP12" s="22"/>
      <c r="CQ12" s="22"/>
      <c r="CR12" s="22"/>
      <c r="CS12" s="22"/>
      <c r="CT12" s="22">
        <f>SUM(CP13:CT21)</f>
        <v>0</v>
      </c>
    </row>
    <row r="13" spans="1:100" ht="12" customHeight="1" thickBot="1">
      <c r="B13" s="217"/>
      <c r="C13" s="217"/>
      <c r="D13" s="217"/>
      <c r="I13" s="221" t="s">
        <v>263</v>
      </c>
      <c r="J13" s="222"/>
      <c r="N13" s="223"/>
      <c r="P13" s="116">
        <v>1.9999999999999999E-6</v>
      </c>
      <c r="Q13" s="135">
        <f t="shared" si="0"/>
        <v>9.9999999999999986E-9</v>
      </c>
      <c r="R13" s="49">
        <f t="shared" si="1"/>
        <v>50000.000000000007</v>
      </c>
      <c r="S13" s="3">
        <f t="shared" si="2"/>
        <v>8.0000000000000002E-3</v>
      </c>
      <c r="T13" s="49">
        <f t="shared" si="3"/>
        <v>399.99999999999869</v>
      </c>
      <c r="U13" s="49">
        <f t="shared" si="4"/>
        <v>0</v>
      </c>
      <c r="V13" s="49">
        <f t="shared" si="5"/>
        <v>40.000000000000007</v>
      </c>
      <c r="W13" s="3">
        <f t="shared" si="6"/>
        <v>0.01</v>
      </c>
      <c r="X13" s="50">
        <f t="shared" si="60"/>
        <v>50400.015873015007</v>
      </c>
      <c r="Y13" s="3">
        <f t="shared" si="7"/>
        <v>53500.000000000007</v>
      </c>
      <c r="Z13" s="3">
        <f t="shared" si="8"/>
        <v>8.6999999999999994E-3</v>
      </c>
      <c r="AA13" s="3">
        <f t="shared" si="61"/>
        <v>399.99999999999869</v>
      </c>
      <c r="AB13" s="3">
        <f t="shared" si="62"/>
        <v>0</v>
      </c>
      <c r="AC13" s="3">
        <f t="shared" si="9"/>
        <v>40.000000000000007</v>
      </c>
      <c r="AD13" s="214">
        <f t="shared" si="10"/>
        <v>1.35E-2</v>
      </c>
      <c r="AE13" s="136">
        <f t="shared" si="63"/>
        <v>53900.014842300916</v>
      </c>
      <c r="AF13" s="16">
        <f t="shared" si="12"/>
        <v>9.9999999999999986E-9</v>
      </c>
      <c r="AG13" s="49">
        <f t="shared" si="13"/>
        <v>800.00000000000011</v>
      </c>
      <c r="AH13" s="3">
        <f t="shared" si="14"/>
        <v>1.4999999999999999E-4</v>
      </c>
      <c r="AI13" s="49">
        <f t="shared" si="15"/>
        <v>5.0118723362727042</v>
      </c>
      <c r="AJ13" s="49">
        <f t="shared" si="16"/>
        <v>113.84199576606133</v>
      </c>
      <c r="AK13" s="49">
        <f t="shared" si="17"/>
        <v>22.500000000000004</v>
      </c>
      <c r="AL13" s="3">
        <f t="shared" si="18"/>
        <v>0.01</v>
      </c>
      <c r="AM13" s="50">
        <f t="shared" si="64"/>
        <v>919.12930593396061</v>
      </c>
      <c r="AN13" s="3">
        <f t="shared" si="19"/>
        <v>1150.0000000000002</v>
      </c>
      <c r="AO13" s="3">
        <f t="shared" si="20"/>
        <v>2.1999999999999998E-4</v>
      </c>
      <c r="AP13" s="3">
        <f t="shared" si="65"/>
        <v>5.0118723362727042</v>
      </c>
      <c r="AQ13" s="3">
        <f t="shared" si="66"/>
        <v>113.84199576606133</v>
      </c>
      <c r="AR13" s="3">
        <f t="shared" si="21"/>
        <v>22.500000000000004</v>
      </c>
      <c r="AS13" s="214">
        <f t="shared" si="22"/>
        <v>1.35E-2</v>
      </c>
      <c r="AT13" s="50">
        <f t="shared" si="67"/>
        <v>1269.0533435520172</v>
      </c>
      <c r="AU13" s="16">
        <f t="shared" si="24"/>
        <v>9.9999999999999986E-9</v>
      </c>
      <c r="AV13" s="49">
        <f t="shared" si="25"/>
        <v>15000</v>
      </c>
      <c r="AW13" s="3">
        <f t="shared" si="26"/>
        <v>8.0000000000000002E-3</v>
      </c>
      <c r="AX13" s="49">
        <f t="shared" si="27"/>
        <v>399.99999999999869</v>
      </c>
      <c r="AY13" s="49">
        <f t="shared" si="28"/>
        <v>75714.881337623156</v>
      </c>
      <c r="AZ13" s="49">
        <f t="shared" si="29"/>
        <v>40.000000000000007</v>
      </c>
      <c r="BA13" s="3">
        <f t="shared" si="30"/>
        <v>0.01</v>
      </c>
      <c r="BB13" s="50">
        <f t="shared" si="68"/>
        <v>91114.890117748117</v>
      </c>
      <c r="BC13" s="3">
        <f t="shared" si="31"/>
        <v>18500</v>
      </c>
      <c r="BD13" s="3">
        <f t="shared" si="32"/>
        <v>8.6999999999999994E-3</v>
      </c>
      <c r="BE13" s="3">
        <f t="shared" si="69"/>
        <v>399.99999999999869</v>
      </c>
      <c r="BF13" s="3">
        <f t="shared" si="70"/>
        <v>75714.881337623156</v>
      </c>
      <c r="BG13" s="3">
        <f t="shared" si="33"/>
        <v>40.000000000000007</v>
      </c>
      <c r="BH13" s="214">
        <f t="shared" si="34"/>
        <v>1.35E-2</v>
      </c>
      <c r="BI13" s="50">
        <f t="shared" si="71"/>
        <v>94614.889792953676</v>
      </c>
      <c r="BJ13" s="16">
        <f t="shared" si="36"/>
        <v>9.9999999999999986E-9</v>
      </c>
      <c r="BK13" s="49">
        <f t="shared" si="37"/>
        <v>15000</v>
      </c>
      <c r="BL13" s="3">
        <f t="shared" si="38"/>
        <v>1E-3</v>
      </c>
      <c r="BM13" s="49">
        <f t="shared" si="39"/>
        <v>99.999999999999673</v>
      </c>
      <c r="BN13" s="49">
        <f t="shared" si="40"/>
        <v>3600.0000000000005</v>
      </c>
      <c r="BO13" s="49">
        <f t="shared" si="41"/>
        <v>22.500000000000004</v>
      </c>
      <c r="BP13" s="3">
        <f t="shared" si="42"/>
        <v>0.01</v>
      </c>
      <c r="BQ13" s="50">
        <f t="shared" si="72"/>
        <v>18700.013536094059</v>
      </c>
      <c r="BR13" s="3">
        <f t="shared" si="43"/>
        <v>16750</v>
      </c>
      <c r="BS13" s="3">
        <f t="shared" si="44"/>
        <v>1.175E-3</v>
      </c>
      <c r="BT13" s="3">
        <f t="shared" si="73"/>
        <v>99.999999999999673</v>
      </c>
      <c r="BU13" s="3">
        <f t="shared" si="74"/>
        <v>3600.0000000000005</v>
      </c>
      <c r="BV13" s="3">
        <f t="shared" si="45"/>
        <v>22.500000000000004</v>
      </c>
      <c r="BW13" s="214">
        <f t="shared" si="46"/>
        <v>1.35E-2</v>
      </c>
      <c r="BX13" s="50">
        <f t="shared" si="75"/>
        <v>20450.012377751355</v>
      </c>
      <c r="BY13" s="16">
        <f t="shared" si="48"/>
        <v>9.9999999999999986E-9</v>
      </c>
      <c r="BZ13" s="49">
        <f t="shared" si="49"/>
        <v>2500</v>
      </c>
      <c r="CA13" s="3">
        <f t="shared" si="50"/>
        <v>2E-3</v>
      </c>
      <c r="CB13" s="49">
        <f t="shared" si="51"/>
        <v>99.999999999999673</v>
      </c>
      <c r="CC13" s="49">
        <f t="shared" si="52"/>
        <v>0</v>
      </c>
      <c r="CD13" s="49">
        <f t="shared" si="53"/>
        <v>45.000000000000007</v>
      </c>
      <c r="CE13" s="3">
        <f t="shared" si="54"/>
        <v>0.01</v>
      </c>
      <c r="CF13" s="50">
        <f t="shared" si="76"/>
        <v>2600.3893939377613</v>
      </c>
      <c r="CG13" s="3">
        <f t="shared" si="55"/>
        <v>3375</v>
      </c>
      <c r="CH13" s="3">
        <f t="shared" si="56"/>
        <v>2.0874999999999999E-3</v>
      </c>
      <c r="CI13" s="3">
        <f t="shared" si="77"/>
        <v>99.999999999999673</v>
      </c>
      <c r="CJ13" s="3">
        <f t="shared" si="78"/>
        <v>0</v>
      </c>
      <c r="CK13" s="3">
        <f t="shared" si="57"/>
        <v>45.000000000000007</v>
      </c>
      <c r="CL13" s="214">
        <f t="shared" si="58"/>
        <v>1.35E-2</v>
      </c>
      <c r="CM13" s="50">
        <f t="shared" si="79"/>
        <v>3475.2913547192852</v>
      </c>
      <c r="CO13" s="4" t="s">
        <v>66</v>
      </c>
      <c r="CP13" s="24">
        <f>IF(OR(C19="Unspec'd",C19="N/A"),1,0)</f>
        <v>0</v>
      </c>
      <c r="CQ13" s="24">
        <f>IF(OR(D19="Unspec'd",D19="N/A"),1,0)</f>
        <v>0</v>
      </c>
      <c r="CR13" s="24">
        <f>IF(OR(E19="Unspec'd",E19="N/A"),1,0)</f>
        <v>0</v>
      </c>
      <c r="CS13" s="24">
        <f>IF(OR(F19="Unspec'd",F19="N/A"),1,0)</f>
        <v>0</v>
      </c>
      <c r="CT13" s="24">
        <f>IF(OR(G19="Unspec'd",G19="N/A"),1,0)</f>
        <v>0</v>
      </c>
    </row>
    <row r="14" spans="1:100" ht="12" customHeight="1" thickBot="1">
      <c r="A14" s="14"/>
      <c r="B14" s="195"/>
      <c r="C14" s="195"/>
      <c r="D14" s="195"/>
      <c r="I14" s="80" t="s">
        <v>248</v>
      </c>
      <c r="J14" s="81">
        <v>10</v>
      </c>
      <c r="K14" s="16" t="s">
        <v>482</v>
      </c>
      <c r="L14" s="4" t="s">
        <v>487</v>
      </c>
      <c r="N14" s="223"/>
      <c r="P14" s="116">
        <v>2.5000000000000002E-6</v>
      </c>
      <c r="Q14" s="135">
        <f t="shared" si="0"/>
        <v>1.2500000000000001E-8</v>
      </c>
      <c r="R14" s="49">
        <f t="shared" si="1"/>
        <v>40000</v>
      </c>
      <c r="S14" s="3">
        <f t="shared" si="2"/>
        <v>8.0000000000000002E-3</v>
      </c>
      <c r="T14" s="49">
        <f t="shared" si="3"/>
        <v>319.99999999999886</v>
      </c>
      <c r="U14" s="49">
        <f t="shared" si="4"/>
        <v>0</v>
      </c>
      <c r="V14" s="49">
        <f t="shared" si="5"/>
        <v>32</v>
      </c>
      <c r="W14" s="3">
        <f t="shared" si="6"/>
        <v>0.01</v>
      </c>
      <c r="X14" s="50">
        <f t="shared" si="60"/>
        <v>40320.012698412727</v>
      </c>
      <c r="Y14" s="3">
        <f t="shared" si="7"/>
        <v>42800</v>
      </c>
      <c r="Z14" s="3">
        <f t="shared" si="8"/>
        <v>8.6999999999999994E-3</v>
      </c>
      <c r="AA14" s="3">
        <f t="shared" si="61"/>
        <v>319.99999999999886</v>
      </c>
      <c r="AB14" s="3">
        <f t="shared" si="62"/>
        <v>0</v>
      </c>
      <c r="AC14" s="3">
        <f t="shared" si="9"/>
        <v>32</v>
      </c>
      <c r="AD14" s="214">
        <f t="shared" si="10"/>
        <v>1.35E-2</v>
      </c>
      <c r="AE14" s="136">
        <f t="shared" si="63"/>
        <v>43120.011873841802</v>
      </c>
      <c r="AF14" s="16">
        <f t="shared" si="12"/>
        <v>1.2500000000000001E-8</v>
      </c>
      <c r="AG14" s="49">
        <f t="shared" si="13"/>
        <v>639.99999999999989</v>
      </c>
      <c r="AH14" s="3">
        <f t="shared" si="14"/>
        <v>1.4999999999999999E-4</v>
      </c>
      <c r="AI14" s="49">
        <f t="shared" si="15"/>
        <v>4.0094978690181629</v>
      </c>
      <c r="AJ14" s="49">
        <f t="shared" si="16"/>
        <v>91.073596612849045</v>
      </c>
      <c r="AK14" s="49">
        <f t="shared" si="17"/>
        <v>18</v>
      </c>
      <c r="AL14" s="3">
        <f t="shared" si="18"/>
        <v>0.01</v>
      </c>
      <c r="AM14" s="50">
        <f t="shared" si="64"/>
        <v>735.30344477165352</v>
      </c>
      <c r="AN14" s="3">
        <f t="shared" si="19"/>
        <v>919.99999999999977</v>
      </c>
      <c r="AO14" s="3">
        <f t="shared" si="20"/>
        <v>2.1999999999999998E-4</v>
      </c>
      <c r="AP14" s="3">
        <f t="shared" si="65"/>
        <v>4.0094978690181629</v>
      </c>
      <c r="AQ14" s="3">
        <f t="shared" si="66"/>
        <v>91.073596612849045</v>
      </c>
      <c r="AR14" s="3">
        <f t="shared" si="21"/>
        <v>18</v>
      </c>
      <c r="AS14" s="214">
        <f t="shared" si="22"/>
        <v>1.35E-2</v>
      </c>
      <c r="AT14" s="50">
        <f t="shared" si="67"/>
        <v>1015.2426748739346</v>
      </c>
      <c r="AU14" s="16">
        <f t="shared" si="24"/>
        <v>1.2500000000000001E-8</v>
      </c>
      <c r="AV14" s="49">
        <f t="shared" si="25"/>
        <v>11999.999999999998</v>
      </c>
      <c r="AW14" s="3">
        <f t="shared" si="26"/>
        <v>8.0000000000000002E-3</v>
      </c>
      <c r="AX14" s="49">
        <f t="shared" si="27"/>
        <v>319.99999999999886</v>
      </c>
      <c r="AY14" s="49">
        <f t="shared" si="28"/>
        <v>60571.90507009851</v>
      </c>
      <c r="AZ14" s="49">
        <f t="shared" si="29"/>
        <v>32</v>
      </c>
      <c r="BA14" s="3">
        <f t="shared" si="30"/>
        <v>0.01</v>
      </c>
      <c r="BB14" s="50">
        <f t="shared" si="68"/>
        <v>72891.91209419888</v>
      </c>
      <c r="BC14" s="3">
        <f t="shared" si="31"/>
        <v>14799.999999999998</v>
      </c>
      <c r="BD14" s="3">
        <f t="shared" si="32"/>
        <v>8.6999999999999994E-3</v>
      </c>
      <c r="BE14" s="3">
        <f t="shared" si="69"/>
        <v>319.99999999999886</v>
      </c>
      <c r="BF14" s="3">
        <f t="shared" si="70"/>
        <v>60571.90507009851</v>
      </c>
      <c r="BG14" s="3">
        <f t="shared" si="33"/>
        <v>32</v>
      </c>
      <c r="BH14" s="214">
        <f t="shared" si="34"/>
        <v>1.35E-2</v>
      </c>
      <c r="BI14" s="50">
        <f t="shared" si="71"/>
        <v>75691.911834363535</v>
      </c>
      <c r="BJ14" s="16">
        <f t="shared" si="36"/>
        <v>1.2500000000000001E-8</v>
      </c>
      <c r="BK14" s="49">
        <f t="shared" si="37"/>
        <v>11999.999999999998</v>
      </c>
      <c r="BL14" s="3">
        <f t="shared" si="38"/>
        <v>1E-3</v>
      </c>
      <c r="BM14" s="49">
        <f t="shared" si="39"/>
        <v>79.999999999999716</v>
      </c>
      <c r="BN14" s="49">
        <f t="shared" si="40"/>
        <v>2880</v>
      </c>
      <c r="BO14" s="49">
        <f t="shared" si="41"/>
        <v>18</v>
      </c>
      <c r="BP14" s="3">
        <f t="shared" si="42"/>
        <v>0.01</v>
      </c>
      <c r="BQ14" s="50">
        <f t="shared" si="72"/>
        <v>14960.01082887646</v>
      </c>
      <c r="BR14" s="3">
        <f t="shared" si="43"/>
        <v>13399.999999999998</v>
      </c>
      <c r="BS14" s="3">
        <f t="shared" si="44"/>
        <v>1.175E-3</v>
      </c>
      <c r="BT14" s="3">
        <f t="shared" si="73"/>
        <v>79.999999999999716</v>
      </c>
      <c r="BU14" s="3">
        <f t="shared" si="74"/>
        <v>2880</v>
      </c>
      <c r="BV14" s="3">
        <f t="shared" si="45"/>
        <v>18</v>
      </c>
      <c r="BW14" s="214">
        <f t="shared" si="46"/>
        <v>1.35E-2</v>
      </c>
      <c r="BX14" s="50">
        <f t="shared" si="75"/>
        <v>16360.009902203103</v>
      </c>
      <c r="BY14" s="16">
        <f t="shared" si="48"/>
        <v>1.2500000000000001E-8</v>
      </c>
      <c r="BZ14" s="49">
        <f t="shared" si="49"/>
        <v>1999.9999999999995</v>
      </c>
      <c r="CA14" s="3">
        <f t="shared" si="50"/>
        <v>2E-3</v>
      </c>
      <c r="CB14" s="49">
        <f t="shared" si="51"/>
        <v>79.999999999999716</v>
      </c>
      <c r="CC14" s="49">
        <f t="shared" si="52"/>
        <v>0</v>
      </c>
      <c r="CD14" s="49">
        <f t="shared" si="53"/>
        <v>36</v>
      </c>
      <c r="CE14" s="3">
        <f t="shared" si="54"/>
        <v>0.01</v>
      </c>
      <c r="CF14" s="50">
        <f t="shared" si="76"/>
        <v>2080.3115151592069</v>
      </c>
      <c r="CG14" s="3">
        <f t="shared" si="55"/>
        <v>2699.9999999999995</v>
      </c>
      <c r="CH14" s="3">
        <f t="shared" si="56"/>
        <v>2.0874999999999999E-3</v>
      </c>
      <c r="CI14" s="3">
        <f t="shared" si="77"/>
        <v>79.999999999999716</v>
      </c>
      <c r="CJ14" s="3">
        <f t="shared" si="78"/>
        <v>0</v>
      </c>
      <c r="CK14" s="3">
        <f t="shared" si="57"/>
        <v>36</v>
      </c>
      <c r="CL14" s="214">
        <f t="shared" si="58"/>
        <v>1.35E-2</v>
      </c>
      <c r="CM14" s="50">
        <f t="shared" si="79"/>
        <v>2780.2330837875093</v>
      </c>
      <c r="CO14" s="4" t="s">
        <v>14</v>
      </c>
      <c r="CP14" s="24">
        <f t="shared" ref="CP14:CT20" si="80">IF(OR(C20="Unspec'd"),1,0)</f>
        <v>0</v>
      </c>
      <c r="CQ14" s="24">
        <f t="shared" si="80"/>
        <v>0</v>
      </c>
      <c r="CR14" s="24">
        <f t="shared" si="80"/>
        <v>0</v>
      </c>
      <c r="CS14" s="24">
        <f t="shared" si="80"/>
        <v>0</v>
      </c>
      <c r="CT14" s="24">
        <f t="shared" si="80"/>
        <v>0</v>
      </c>
    </row>
    <row r="15" spans="1:100" ht="12" customHeight="1" thickBot="1">
      <c r="B15" s="44" t="s">
        <v>15</v>
      </c>
      <c r="C15" s="104" t="s">
        <v>424</v>
      </c>
      <c r="D15" s="104" t="s">
        <v>534</v>
      </c>
      <c r="E15" s="104" t="s">
        <v>465</v>
      </c>
      <c r="F15" s="104" t="s">
        <v>528</v>
      </c>
      <c r="G15" s="104" t="s">
        <v>201</v>
      </c>
      <c r="I15" s="62" t="s">
        <v>250</v>
      </c>
      <c r="J15" s="63">
        <v>4</v>
      </c>
      <c r="K15" s="16" t="s">
        <v>482</v>
      </c>
      <c r="L15" s="4" t="s">
        <v>488</v>
      </c>
      <c r="N15" s="223"/>
      <c r="P15" s="116">
        <v>3.0000000000000001E-6</v>
      </c>
      <c r="Q15" s="135">
        <f t="shared" si="0"/>
        <v>1.5000000000000002E-8</v>
      </c>
      <c r="R15" s="49">
        <f t="shared" si="1"/>
        <v>33333.333333333328</v>
      </c>
      <c r="S15" s="3">
        <f t="shared" si="2"/>
        <v>8.0000000000000002E-3</v>
      </c>
      <c r="T15" s="49">
        <f t="shared" si="3"/>
        <v>266.66666666666572</v>
      </c>
      <c r="U15" s="49">
        <f t="shared" si="4"/>
        <v>0</v>
      </c>
      <c r="V15" s="49">
        <f t="shared" si="5"/>
        <v>26.666666666666668</v>
      </c>
      <c r="W15" s="3">
        <f t="shared" si="6"/>
        <v>0.01</v>
      </c>
      <c r="X15" s="50">
        <f t="shared" si="60"/>
        <v>33600.010582011346</v>
      </c>
      <c r="Y15" s="3">
        <f t="shared" si="7"/>
        <v>35666.666666666664</v>
      </c>
      <c r="Z15" s="3">
        <f t="shared" si="8"/>
        <v>8.6999999999999994E-3</v>
      </c>
      <c r="AA15" s="3">
        <f t="shared" si="61"/>
        <v>266.66666666666572</v>
      </c>
      <c r="AB15" s="3">
        <f t="shared" si="62"/>
        <v>0</v>
      </c>
      <c r="AC15" s="3">
        <f t="shared" si="9"/>
        <v>26.666666666666668</v>
      </c>
      <c r="AD15" s="214">
        <f t="shared" si="10"/>
        <v>1.35E-2</v>
      </c>
      <c r="AE15" s="136">
        <f t="shared" si="63"/>
        <v>35933.34322820259</v>
      </c>
      <c r="AF15" s="16">
        <f t="shared" si="12"/>
        <v>1.5000000000000002E-8</v>
      </c>
      <c r="AG15" s="49">
        <f t="shared" si="13"/>
        <v>533.33333333333326</v>
      </c>
      <c r="AH15" s="3">
        <f t="shared" si="14"/>
        <v>1.4999999999999999E-4</v>
      </c>
      <c r="AI15" s="49">
        <f t="shared" si="15"/>
        <v>3.3412482241818022</v>
      </c>
      <c r="AJ15" s="49">
        <f t="shared" si="16"/>
        <v>75.894663844040863</v>
      </c>
      <c r="AK15" s="49">
        <f t="shared" si="17"/>
        <v>15</v>
      </c>
      <c r="AL15" s="3">
        <f t="shared" si="18"/>
        <v>0.01</v>
      </c>
      <c r="AM15" s="50">
        <f t="shared" si="64"/>
        <v>612.75287066798319</v>
      </c>
      <c r="AN15" s="3">
        <f t="shared" si="19"/>
        <v>766.66666666666652</v>
      </c>
      <c r="AO15" s="3">
        <f t="shared" si="20"/>
        <v>2.1999999999999998E-4</v>
      </c>
      <c r="AP15" s="3">
        <f t="shared" si="65"/>
        <v>3.3412482241818022</v>
      </c>
      <c r="AQ15" s="3">
        <f t="shared" si="66"/>
        <v>75.894663844040863</v>
      </c>
      <c r="AR15" s="3">
        <f t="shared" si="21"/>
        <v>15</v>
      </c>
      <c r="AS15" s="214">
        <f t="shared" si="22"/>
        <v>1.35E-2</v>
      </c>
      <c r="AT15" s="50">
        <f t="shared" si="67"/>
        <v>846.03556242786499</v>
      </c>
      <c r="AU15" s="16">
        <f t="shared" si="24"/>
        <v>1.5000000000000002E-8</v>
      </c>
      <c r="AV15" s="49">
        <f t="shared" si="25"/>
        <v>9999.9999999999982</v>
      </c>
      <c r="AW15" s="3">
        <f t="shared" si="26"/>
        <v>8.0000000000000002E-3</v>
      </c>
      <c r="AX15" s="49">
        <f t="shared" si="27"/>
        <v>266.66666666666572</v>
      </c>
      <c r="AY15" s="49">
        <f t="shared" si="28"/>
        <v>50476.58755841542</v>
      </c>
      <c r="AZ15" s="49">
        <f t="shared" si="29"/>
        <v>26.666666666666668</v>
      </c>
      <c r="BA15" s="3">
        <f t="shared" si="30"/>
        <v>0.01</v>
      </c>
      <c r="BB15" s="50">
        <f t="shared" si="68"/>
        <v>60743.260078499472</v>
      </c>
      <c r="BC15" s="3">
        <f t="shared" si="31"/>
        <v>12333.333333333332</v>
      </c>
      <c r="BD15" s="3">
        <f t="shared" si="32"/>
        <v>8.6999999999999994E-3</v>
      </c>
      <c r="BE15" s="3">
        <f t="shared" si="69"/>
        <v>266.66666666666572</v>
      </c>
      <c r="BF15" s="3">
        <f t="shared" si="70"/>
        <v>50476.58755841542</v>
      </c>
      <c r="BG15" s="3">
        <f t="shared" si="33"/>
        <v>26.666666666666668</v>
      </c>
      <c r="BH15" s="214">
        <f t="shared" si="34"/>
        <v>1.35E-2</v>
      </c>
      <c r="BI15" s="50">
        <f t="shared" si="71"/>
        <v>63076.593195303562</v>
      </c>
      <c r="BJ15" s="16">
        <f t="shared" si="36"/>
        <v>1.5000000000000002E-8</v>
      </c>
      <c r="BK15" s="49">
        <f t="shared" si="37"/>
        <v>9999.9999999999982</v>
      </c>
      <c r="BL15" s="3">
        <f t="shared" si="38"/>
        <v>1E-3</v>
      </c>
      <c r="BM15" s="49">
        <f t="shared" si="39"/>
        <v>66.66666666666643</v>
      </c>
      <c r="BN15" s="49">
        <f t="shared" si="40"/>
        <v>2399.9999999999995</v>
      </c>
      <c r="BO15" s="49">
        <f t="shared" si="41"/>
        <v>15</v>
      </c>
      <c r="BP15" s="3">
        <f t="shared" si="42"/>
        <v>0.01</v>
      </c>
      <c r="BQ15" s="50">
        <f t="shared" si="72"/>
        <v>12466.675690731621</v>
      </c>
      <c r="BR15" s="3">
        <f t="shared" si="43"/>
        <v>11166.666666666664</v>
      </c>
      <c r="BS15" s="3">
        <f t="shared" si="44"/>
        <v>1.175E-3</v>
      </c>
      <c r="BT15" s="3">
        <f t="shared" si="73"/>
        <v>66.66666666666643</v>
      </c>
      <c r="BU15" s="3">
        <f t="shared" si="74"/>
        <v>2399.9999999999995</v>
      </c>
      <c r="BV15" s="3">
        <f t="shared" si="45"/>
        <v>15</v>
      </c>
      <c r="BW15" s="214">
        <f t="shared" si="46"/>
        <v>1.35E-2</v>
      </c>
      <c r="BX15" s="50">
        <f t="shared" si="75"/>
        <v>13633.341585171309</v>
      </c>
      <c r="BY15" s="16">
        <f t="shared" si="48"/>
        <v>1.5000000000000002E-8</v>
      </c>
      <c r="BZ15" s="49">
        <f t="shared" si="49"/>
        <v>1666.6666666666663</v>
      </c>
      <c r="CA15" s="3">
        <f t="shared" si="50"/>
        <v>2E-3</v>
      </c>
      <c r="CB15" s="49">
        <f t="shared" si="51"/>
        <v>66.66666666666643</v>
      </c>
      <c r="CC15" s="49">
        <f t="shared" si="52"/>
        <v>0</v>
      </c>
      <c r="CD15" s="49">
        <f t="shared" si="53"/>
        <v>30</v>
      </c>
      <c r="CE15" s="3">
        <f t="shared" si="54"/>
        <v>0.01</v>
      </c>
      <c r="CF15" s="50">
        <f t="shared" si="76"/>
        <v>1733.5929293085048</v>
      </c>
      <c r="CG15" s="3">
        <f t="shared" si="55"/>
        <v>2249.9999999999995</v>
      </c>
      <c r="CH15" s="3">
        <f t="shared" si="56"/>
        <v>2.0874999999999999E-3</v>
      </c>
      <c r="CI15" s="3">
        <f t="shared" si="77"/>
        <v>66.66666666666643</v>
      </c>
      <c r="CJ15" s="3">
        <f t="shared" si="78"/>
        <v>0</v>
      </c>
      <c r="CK15" s="3">
        <f t="shared" si="57"/>
        <v>30</v>
      </c>
      <c r="CL15" s="214">
        <f t="shared" si="58"/>
        <v>1.35E-2</v>
      </c>
      <c r="CM15" s="50">
        <f t="shared" si="79"/>
        <v>2316.8609031685628</v>
      </c>
      <c r="CO15" s="4" t="s">
        <v>67</v>
      </c>
      <c r="CP15" s="24">
        <f t="shared" si="80"/>
        <v>0</v>
      </c>
      <c r="CQ15" s="24">
        <f t="shared" si="80"/>
        <v>0</v>
      </c>
      <c r="CR15" s="24">
        <f t="shared" si="80"/>
        <v>0</v>
      </c>
      <c r="CS15" s="24">
        <f t="shared" si="80"/>
        <v>0</v>
      </c>
      <c r="CT15" s="24">
        <f t="shared" si="80"/>
        <v>0</v>
      </c>
    </row>
    <row r="16" spans="1:100" ht="11.25" customHeight="1">
      <c r="B16" s="5" t="s">
        <v>345</v>
      </c>
      <c r="C16" s="6" t="str">
        <f>IF(C15="None","",VLOOKUP(C15,'TI Parametric Selection '!$B:$AH,2,FALSE)&amp;" V to "&amp;VLOOKUP(C15,'TI Parametric Selection '!$B:AH,3,FALSE)&amp;" V")</f>
        <v>-0,2 V to 26 V</v>
      </c>
      <c r="D16" s="6" t="str">
        <f>IF(D15="None","",VLOOKUP(D15,'TI Parametric Selection '!$B:$AH,2,FALSE)&amp;" V to "&amp;VLOOKUP(D15,'TI Parametric Selection '!$B:AI,3,FALSE)&amp;" V")</f>
        <v>-5 V to 110 V</v>
      </c>
      <c r="E16" s="6" t="str">
        <f>IF(E15="None","",VLOOKUP(E15,'TI Parametric Selection '!$B:$AH,2,FALSE)&amp;" V to "&amp;VLOOKUP(E15,'TI Parametric Selection '!$B:AJ,3,FALSE)&amp;" V")</f>
        <v>-0,2 V to 26 V</v>
      </c>
      <c r="F16" s="6" t="str">
        <f>IF(F15="None","",VLOOKUP(F15,'TI Parametric Selection '!$B:$AH,2,FALSE)&amp;" V to "&amp;VLOOKUP(F15,'TI Parametric Selection '!$B:AK,3,FALSE)&amp;" V")</f>
        <v>-5 V to 110 V</v>
      </c>
      <c r="G16" s="6" t="str">
        <f>IF(G15="None","",VLOOKUP(G15,'TI Parametric Selection '!$B:$AH,2,FALSE)&amp;" V to "&amp;VLOOKUP(G15,'TI Parametric Selection '!$B:AL,3,FALSE)&amp;" V")</f>
        <v>-4 V to 80 V</v>
      </c>
      <c r="I16" s="62" t="s">
        <v>249</v>
      </c>
      <c r="J16" s="63">
        <v>0.5</v>
      </c>
      <c r="K16" s="16" t="s">
        <v>482</v>
      </c>
      <c r="L16" s="4" t="s">
        <v>489</v>
      </c>
      <c r="N16" s="223"/>
      <c r="P16" s="116">
        <v>3.4999999999999999E-6</v>
      </c>
      <c r="Q16" s="135">
        <f t="shared" si="0"/>
        <v>1.7499999999999998E-8</v>
      </c>
      <c r="R16" s="49">
        <f t="shared" si="1"/>
        <v>28571.428571428576</v>
      </c>
      <c r="S16" s="3">
        <f t="shared" si="2"/>
        <v>8.0000000000000002E-3</v>
      </c>
      <c r="T16" s="49">
        <f t="shared" si="3"/>
        <v>228.57142857142782</v>
      </c>
      <c r="U16" s="49">
        <f t="shared" si="4"/>
        <v>0</v>
      </c>
      <c r="V16" s="49">
        <f t="shared" si="5"/>
        <v>22.857142857142858</v>
      </c>
      <c r="W16" s="3">
        <f t="shared" si="6"/>
        <v>0.01</v>
      </c>
      <c r="X16" s="50">
        <f t="shared" si="60"/>
        <v>28800.009070296208</v>
      </c>
      <c r="Y16" s="3">
        <f t="shared" si="7"/>
        <v>30571.428571428576</v>
      </c>
      <c r="Z16" s="3">
        <f t="shared" si="8"/>
        <v>8.6999999999999994E-3</v>
      </c>
      <c r="AA16" s="3">
        <f t="shared" si="61"/>
        <v>228.57142857142782</v>
      </c>
      <c r="AB16" s="3">
        <f t="shared" si="62"/>
        <v>0</v>
      </c>
      <c r="AC16" s="3">
        <f t="shared" si="9"/>
        <v>22.857142857142858</v>
      </c>
      <c r="AD16" s="214">
        <f t="shared" si="10"/>
        <v>1.35E-2</v>
      </c>
      <c r="AE16" s="136">
        <f t="shared" si="63"/>
        <v>30800.008481317629</v>
      </c>
      <c r="AF16" s="16">
        <f t="shared" si="12"/>
        <v>1.7499999999999998E-8</v>
      </c>
      <c r="AG16" s="49">
        <f t="shared" si="13"/>
        <v>457.14285714285717</v>
      </c>
      <c r="AH16" s="3">
        <f t="shared" si="14"/>
        <v>1.4999999999999999E-4</v>
      </c>
      <c r="AI16" s="49">
        <f t="shared" si="15"/>
        <v>2.8639270492986881</v>
      </c>
      <c r="AJ16" s="49">
        <f t="shared" si="16"/>
        <v>65.052569009177901</v>
      </c>
      <c r="AK16" s="49">
        <f t="shared" si="17"/>
        <v>12.857142857142858</v>
      </c>
      <c r="AL16" s="3">
        <f t="shared" si="18"/>
        <v>0.01</v>
      </c>
      <c r="AM16" s="50">
        <f t="shared" si="64"/>
        <v>525.21674631210544</v>
      </c>
      <c r="AN16" s="3">
        <f t="shared" si="19"/>
        <v>657.14285714285722</v>
      </c>
      <c r="AO16" s="3">
        <f t="shared" si="20"/>
        <v>2.1999999999999998E-4</v>
      </c>
      <c r="AP16" s="3">
        <f t="shared" si="65"/>
        <v>2.8639270492986881</v>
      </c>
      <c r="AQ16" s="3">
        <f t="shared" si="66"/>
        <v>65.052569009177901</v>
      </c>
      <c r="AR16" s="3">
        <f t="shared" si="21"/>
        <v>12.857142857142858</v>
      </c>
      <c r="AS16" s="214">
        <f t="shared" si="22"/>
        <v>1.35E-2</v>
      </c>
      <c r="AT16" s="50">
        <f t="shared" si="67"/>
        <v>725.17333925723165</v>
      </c>
      <c r="AU16" s="16">
        <f t="shared" si="24"/>
        <v>1.7499999999999998E-8</v>
      </c>
      <c r="AV16" s="49">
        <f t="shared" si="25"/>
        <v>8571.4285714285725</v>
      </c>
      <c r="AW16" s="3">
        <f t="shared" si="26"/>
        <v>8.0000000000000002E-3</v>
      </c>
      <c r="AX16" s="49">
        <f t="shared" si="27"/>
        <v>228.57142857142782</v>
      </c>
      <c r="AY16" s="49">
        <f t="shared" si="28"/>
        <v>43265.6464786418</v>
      </c>
      <c r="AZ16" s="49">
        <f t="shared" si="29"/>
        <v>22.857142857142858</v>
      </c>
      <c r="BA16" s="3">
        <f t="shared" si="30"/>
        <v>0.01</v>
      </c>
      <c r="BB16" s="50">
        <f t="shared" si="68"/>
        <v>52065.651495857121</v>
      </c>
      <c r="BC16" s="3">
        <f t="shared" si="31"/>
        <v>10571.428571428572</v>
      </c>
      <c r="BD16" s="3">
        <f t="shared" si="32"/>
        <v>8.6999999999999994E-3</v>
      </c>
      <c r="BE16" s="3">
        <f t="shared" si="69"/>
        <v>228.57142857142782</v>
      </c>
      <c r="BF16" s="3">
        <f t="shared" si="70"/>
        <v>43265.6464786418</v>
      </c>
      <c r="BG16" s="3">
        <f t="shared" si="33"/>
        <v>22.857142857142858</v>
      </c>
      <c r="BH16" s="214">
        <f t="shared" si="34"/>
        <v>1.35E-2</v>
      </c>
      <c r="BI16" s="50">
        <f t="shared" si="71"/>
        <v>54065.651310260844</v>
      </c>
      <c r="BJ16" s="16">
        <f t="shared" si="36"/>
        <v>1.7499999999999998E-8</v>
      </c>
      <c r="BK16" s="49">
        <f t="shared" si="37"/>
        <v>8571.4285714285725</v>
      </c>
      <c r="BL16" s="3">
        <f t="shared" si="38"/>
        <v>1E-3</v>
      </c>
      <c r="BM16" s="49">
        <f t="shared" si="39"/>
        <v>57.142857142856954</v>
      </c>
      <c r="BN16" s="49">
        <f t="shared" si="40"/>
        <v>2057.1428571428573</v>
      </c>
      <c r="BO16" s="49">
        <f t="shared" si="41"/>
        <v>12.857142857142858</v>
      </c>
      <c r="BP16" s="3">
        <f t="shared" si="42"/>
        <v>0.01</v>
      </c>
      <c r="BQ16" s="50">
        <f t="shared" si="72"/>
        <v>10685.72202062836</v>
      </c>
      <c r="BR16" s="3">
        <f t="shared" si="43"/>
        <v>9571.4285714285725</v>
      </c>
      <c r="BS16" s="3">
        <f t="shared" si="44"/>
        <v>1.175E-3</v>
      </c>
      <c r="BT16" s="3">
        <f t="shared" si="73"/>
        <v>57.142857142856954</v>
      </c>
      <c r="BU16" s="3">
        <f t="shared" si="74"/>
        <v>2057.1428571428573</v>
      </c>
      <c r="BV16" s="3">
        <f t="shared" si="45"/>
        <v>12.857142857142858</v>
      </c>
      <c r="BW16" s="214">
        <f t="shared" si="46"/>
        <v>1.35E-2</v>
      </c>
      <c r="BX16" s="50">
        <f t="shared" si="75"/>
        <v>11685.721358720351</v>
      </c>
      <c r="BY16" s="16">
        <f t="shared" si="48"/>
        <v>1.7499999999999998E-8</v>
      </c>
      <c r="BZ16" s="49">
        <f t="shared" si="49"/>
        <v>1428.5714285714287</v>
      </c>
      <c r="CA16" s="3">
        <f t="shared" si="50"/>
        <v>2E-3</v>
      </c>
      <c r="CB16" s="49">
        <f t="shared" si="51"/>
        <v>57.142857142856954</v>
      </c>
      <c r="CC16" s="49">
        <f t="shared" si="52"/>
        <v>0</v>
      </c>
      <c r="CD16" s="49">
        <f t="shared" si="53"/>
        <v>25.714285714285715</v>
      </c>
      <c r="CE16" s="3">
        <f t="shared" si="54"/>
        <v>0.01</v>
      </c>
      <c r="CF16" s="50">
        <f t="shared" si="76"/>
        <v>1485.9367965594315</v>
      </c>
      <c r="CG16" s="3">
        <f t="shared" si="55"/>
        <v>1928.5714285714287</v>
      </c>
      <c r="CH16" s="3">
        <f t="shared" si="56"/>
        <v>2.0874999999999999E-3</v>
      </c>
      <c r="CI16" s="3">
        <f t="shared" si="77"/>
        <v>57.142857142856954</v>
      </c>
      <c r="CJ16" s="3">
        <f t="shared" si="78"/>
        <v>0</v>
      </c>
      <c r="CK16" s="3">
        <f t="shared" si="57"/>
        <v>25.714285714285715</v>
      </c>
      <c r="CL16" s="214">
        <f t="shared" si="58"/>
        <v>1.35E-2</v>
      </c>
      <c r="CM16" s="50">
        <f t="shared" si="79"/>
        <v>1985.8807741569478</v>
      </c>
      <c r="CO16" s="4" t="s">
        <v>175</v>
      </c>
      <c r="CP16" s="24">
        <f t="shared" si="80"/>
        <v>0</v>
      </c>
      <c r="CQ16" s="24">
        <f t="shared" si="80"/>
        <v>0</v>
      </c>
      <c r="CR16" s="24">
        <f t="shared" si="80"/>
        <v>0</v>
      </c>
      <c r="CS16" s="24">
        <f t="shared" si="80"/>
        <v>0</v>
      </c>
      <c r="CT16" s="24">
        <f t="shared" si="80"/>
        <v>0</v>
      </c>
    </row>
    <row r="17" spans="2:100" ht="12" thickBot="1">
      <c r="B17" s="5" t="s">
        <v>346</v>
      </c>
      <c r="C17" s="6" t="str">
        <f>IF(C15="None","",VLOOKUP(C15,'TI Parametric Selection '!$B:$AH,4,FALSE)&amp;" V to "&amp;VLOOKUP(C15,'TI Parametric Selection '!$B:$AH,5,FALSE)&amp;" V")</f>
        <v>-0,3 V to 26 V</v>
      </c>
      <c r="D17" s="6" t="str">
        <f>IF(D15="None","",VLOOKUP(D15,'TI Parametric Selection '!$B:$AH,4,FALSE)&amp;" V to "&amp;VLOOKUP(D15,'TI Parametric Selection '!$B:$AH,5,FALSE)&amp;" V")</f>
        <v>-20 V to 120 V</v>
      </c>
      <c r="E17" s="6" t="str">
        <f>IF(E15="None","",VLOOKUP(E15,'TI Parametric Selection '!$B:$AH,4,FALSE)&amp;" V to "&amp;VLOOKUP(E15,'TI Parametric Selection '!$B:$AH,5,FALSE)&amp;" V")</f>
        <v>-0,3 V to 26 V</v>
      </c>
      <c r="F17" s="6" t="str">
        <f>IF(F15="None","",VLOOKUP(F15,'TI Parametric Selection '!$B:$AH,4,FALSE)&amp;" V to "&amp;VLOOKUP(F15,'TI Parametric Selection '!$B:$AH,5,FALSE)&amp;" V")</f>
        <v>-20 V to 120 V</v>
      </c>
      <c r="G17" s="6" t="str">
        <f>IF(G15="None","",VLOOKUP(G15,'TI Parametric Selection '!$B:$AH,4,FALSE)&amp;" V to "&amp;VLOOKUP(G15,'TI Parametric Selection '!$B:$AH,5,FALSE)&amp;" V")</f>
        <v>-6 V to 90 V</v>
      </c>
      <c r="I17" s="67" t="s">
        <v>393</v>
      </c>
      <c r="J17" s="61" t="s">
        <v>44</v>
      </c>
      <c r="K17" s="16" t="s">
        <v>482</v>
      </c>
      <c r="L17" s="4" t="s">
        <v>490</v>
      </c>
      <c r="N17" s="223"/>
      <c r="P17" s="116">
        <v>3.9999999999999998E-6</v>
      </c>
      <c r="Q17" s="135">
        <f t="shared" si="0"/>
        <v>1.9999999999999997E-8</v>
      </c>
      <c r="R17" s="49">
        <f t="shared" si="1"/>
        <v>25000.000000000004</v>
      </c>
      <c r="S17" s="3">
        <f t="shared" si="2"/>
        <v>8.0000000000000002E-3</v>
      </c>
      <c r="T17" s="49">
        <f t="shared" si="3"/>
        <v>199.99999999999935</v>
      </c>
      <c r="U17" s="49">
        <f t="shared" si="4"/>
        <v>0</v>
      </c>
      <c r="V17" s="49">
        <f t="shared" si="5"/>
        <v>20.000000000000004</v>
      </c>
      <c r="W17" s="3">
        <f t="shared" si="6"/>
        <v>0.01</v>
      </c>
      <c r="X17" s="50">
        <f t="shared" si="60"/>
        <v>25200.007936509945</v>
      </c>
      <c r="Y17" s="3">
        <f t="shared" si="7"/>
        <v>26750.000000000004</v>
      </c>
      <c r="Z17" s="3">
        <f t="shared" si="8"/>
        <v>8.6999999999999994E-3</v>
      </c>
      <c r="AA17" s="3">
        <f t="shared" si="61"/>
        <v>199.99999999999935</v>
      </c>
      <c r="AB17" s="3">
        <f t="shared" si="62"/>
        <v>0</v>
      </c>
      <c r="AC17" s="3">
        <f t="shared" si="9"/>
        <v>20.000000000000004</v>
      </c>
      <c r="AD17" s="214">
        <f t="shared" si="10"/>
        <v>1.35E-2</v>
      </c>
      <c r="AE17" s="136">
        <f t="shared" si="63"/>
        <v>26950.007421154049</v>
      </c>
      <c r="AF17" s="16">
        <f t="shared" si="12"/>
        <v>1.9999999999999997E-8</v>
      </c>
      <c r="AG17" s="49">
        <f t="shared" si="13"/>
        <v>400.00000000000006</v>
      </c>
      <c r="AH17" s="3">
        <f t="shared" si="14"/>
        <v>1.4999999999999999E-4</v>
      </c>
      <c r="AI17" s="49">
        <f t="shared" si="15"/>
        <v>2.5059361681363521</v>
      </c>
      <c r="AJ17" s="49">
        <f t="shared" si="16"/>
        <v>56.920997883030665</v>
      </c>
      <c r="AK17" s="49">
        <f t="shared" si="17"/>
        <v>11.250000000000002</v>
      </c>
      <c r="AL17" s="3">
        <f t="shared" si="18"/>
        <v>0.01</v>
      </c>
      <c r="AM17" s="50">
        <f t="shared" si="64"/>
        <v>459.56465304859768</v>
      </c>
      <c r="AN17" s="3">
        <f t="shared" si="19"/>
        <v>575.00000000000011</v>
      </c>
      <c r="AO17" s="3">
        <f t="shared" si="20"/>
        <v>2.1999999999999998E-4</v>
      </c>
      <c r="AP17" s="3">
        <f t="shared" si="65"/>
        <v>2.5059361681363521</v>
      </c>
      <c r="AQ17" s="3">
        <f t="shared" si="66"/>
        <v>56.920997883030665</v>
      </c>
      <c r="AR17" s="3">
        <f t="shared" si="21"/>
        <v>11.250000000000002</v>
      </c>
      <c r="AS17" s="214">
        <f t="shared" si="22"/>
        <v>1.35E-2</v>
      </c>
      <c r="AT17" s="50">
        <f t="shared" si="67"/>
        <v>634.52667188374551</v>
      </c>
      <c r="AU17" s="16">
        <f t="shared" si="24"/>
        <v>1.9999999999999997E-8</v>
      </c>
      <c r="AV17" s="49">
        <f t="shared" si="25"/>
        <v>7500</v>
      </c>
      <c r="AW17" s="3">
        <f t="shared" si="26"/>
        <v>8.0000000000000002E-3</v>
      </c>
      <c r="AX17" s="49">
        <f t="shared" si="27"/>
        <v>199.99999999999935</v>
      </c>
      <c r="AY17" s="49">
        <f t="shared" si="28"/>
        <v>37857.440668811578</v>
      </c>
      <c r="AZ17" s="49">
        <f t="shared" si="29"/>
        <v>20.000000000000004</v>
      </c>
      <c r="BA17" s="3">
        <f t="shared" si="30"/>
        <v>0.01</v>
      </c>
      <c r="BB17" s="50">
        <f t="shared" si="68"/>
        <v>45557.445058875404</v>
      </c>
      <c r="BC17" s="3">
        <f t="shared" si="31"/>
        <v>9250</v>
      </c>
      <c r="BD17" s="3">
        <f t="shared" si="32"/>
        <v>8.6999999999999994E-3</v>
      </c>
      <c r="BE17" s="3">
        <f t="shared" si="69"/>
        <v>199.99999999999935</v>
      </c>
      <c r="BF17" s="3">
        <f t="shared" si="70"/>
        <v>37857.440668811578</v>
      </c>
      <c r="BG17" s="3">
        <f t="shared" si="33"/>
        <v>20.000000000000004</v>
      </c>
      <c r="BH17" s="214">
        <f t="shared" si="34"/>
        <v>1.35E-2</v>
      </c>
      <c r="BI17" s="50">
        <f t="shared" si="71"/>
        <v>47307.444896478883</v>
      </c>
      <c r="BJ17" s="16">
        <f t="shared" si="36"/>
        <v>1.9999999999999997E-8</v>
      </c>
      <c r="BK17" s="49">
        <f t="shared" si="37"/>
        <v>7500</v>
      </c>
      <c r="BL17" s="3">
        <f t="shared" si="38"/>
        <v>1E-3</v>
      </c>
      <c r="BM17" s="49">
        <f t="shared" si="39"/>
        <v>49.999999999999837</v>
      </c>
      <c r="BN17" s="49">
        <f t="shared" si="40"/>
        <v>1800.0000000000002</v>
      </c>
      <c r="BO17" s="49">
        <f t="shared" si="41"/>
        <v>11.250000000000002</v>
      </c>
      <c r="BP17" s="3">
        <f t="shared" si="42"/>
        <v>0.01</v>
      </c>
      <c r="BQ17" s="50">
        <f t="shared" si="72"/>
        <v>9350.0067680510801</v>
      </c>
      <c r="BR17" s="3">
        <f t="shared" si="43"/>
        <v>8375</v>
      </c>
      <c r="BS17" s="3">
        <f t="shared" si="44"/>
        <v>1.175E-3</v>
      </c>
      <c r="BT17" s="3">
        <f t="shared" si="73"/>
        <v>49.999999999999837</v>
      </c>
      <c r="BU17" s="3">
        <f t="shared" si="74"/>
        <v>1800.0000000000002</v>
      </c>
      <c r="BV17" s="3">
        <f t="shared" si="45"/>
        <v>11.250000000000002</v>
      </c>
      <c r="BW17" s="214">
        <f t="shared" si="46"/>
        <v>1.35E-2</v>
      </c>
      <c r="BX17" s="50">
        <f t="shared" si="75"/>
        <v>10225.006188882413</v>
      </c>
      <c r="BY17" s="16">
        <f t="shared" si="48"/>
        <v>1.9999999999999997E-8</v>
      </c>
      <c r="BZ17" s="49">
        <f t="shared" si="49"/>
        <v>1250</v>
      </c>
      <c r="CA17" s="3">
        <f t="shared" si="50"/>
        <v>2E-3</v>
      </c>
      <c r="CB17" s="49">
        <f t="shared" si="51"/>
        <v>49.999999999999837</v>
      </c>
      <c r="CC17" s="49">
        <f t="shared" si="52"/>
        <v>0</v>
      </c>
      <c r="CD17" s="49">
        <f t="shared" si="53"/>
        <v>22.500000000000004</v>
      </c>
      <c r="CE17" s="3">
        <f t="shared" si="54"/>
        <v>0.01</v>
      </c>
      <c r="CF17" s="50">
        <f t="shared" si="76"/>
        <v>1300.1946969988762</v>
      </c>
      <c r="CG17" s="3">
        <f t="shared" si="55"/>
        <v>1687.5</v>
      </c>
      <c r="CH17" s="3">
        <f t="shared" si="56"/>
        <v>2.0874999999999999E-3</v>
      </c>
      <c r="CI17" s="3">
        <f t="shared" si="77"/>
        <v>49.999999999999837</v>
      </c>
      <c r="CJ17" s="3">
        <f t="shared" si="78"/>
        <v>0</v>
      </c>
      <c r="CK17" s="3">
        <f t="shared" si="57"/>
        <v>22.500000000000004</v>
      </c>
      <c r="CL17" s="214">
        <f t="shared" si="58"/>
        <v>1.35E-2</v>
      </c>
      <c r="CM17" s="50">
        <f t="shared" si="79"/>
        <v>1737.6456773999141</v>
      </c>
      <c r="CO17" s="4" t="s">
        <v>176</v>
      </c>
      <c r="CP17" s="24">
        <f t="shared" si="80"/>
        <v>0</v>
      </c>
      <c r="CQ17" s="24">
        <f t="shared" si="80"/>
        <v>0</v>
      </c>
      <c r="CR17" s="24">
        <f t="shared" si="80"/>
        <v>0</v>
      </c>
      <c r="CS17" s="24">
        <f t="shared" si="80"/>
        <v>0</v>
      </c>
      <c r="CT17" s="24">
        <f t="shared" si="80"/>
        <v>0</v>
      </c>
    </row>
    <row r="18" spans="2:100" ht="12" thickBot="1">
      <c r="B18" s="7" t="s">
        <v>344</v>
      </c>
      <c r="C18" s="8">
        <f>IF(C15="None", "", VLOOKUP(C15,'TI Parametric Selection '!$B:$AH,6,FALSE))</f>
        <v>200</v>
      </c>
      <c r="D18" s="8">
        <f>IF(D15="None", "", VLOOKUP(D15,'TI Parametric Selection '!$B:$AH,6,FALSE))</f>
        <v>200</v>
      </c>
      <c r="E18" s="8">
        <f>IF(E15="None", "", VLOOKUP(E15,'TI Parametric Selection '!$B:$AH,6,FALSE))</f>
        <v>20</v>
      </c>
      <c r="F18" s="8">
        <f>IF(F15="None", "", VLOOKUP(F15,'TI Parametric Selection '!$B:$AH,6,FALSE))</f>
        <v>50</v>
      </c>
      <c r="G18" s="8">
        <f>IF(G15="None", "", VLOOKUP(G15,'TI Parametric Selection '!$B:$AH,6,FALSE))</f>
        <v>50</v>
      </c>
      <c r="I18" s="226" t="s">
        <v>24</v>
      </c>
      <c r="J18" s="227"/>
      <c r="N18" s="223"/>
      <c r="P18" s="116">
        <v>4.5000000000000001E-6</v>
      </c>
      <c r="Q18" s="135">
        <f t="shared" si="0"/>
        <v>2.2500000000000003E-8</v>
      </c>
      <c r="R18" s="49">
        <f t="shared" si="1"/>
        <v>22222.222222222219</v>
      </c>
      <c r="S18" s="3">
        <f t="shared" si="2"/>
        <v>8.0000000000000002E-3</v>
      </c>
      <c r="T18" s="49">
        <f t="shared" si="3"/>
        <v>177.77777777777715</v>
      </c>
      <c r="U18" s="49">
        <f t="shared" si="4"/>
        <v>0</v>
      </c>
      <c r="V18" s="49">
        <f t="shared" si="5"/>
        <v>17.777777777777779</v>
      </c>
      <c r="W18" s="3">
        <f t="shared" si="6"/>
        <v>0.01</v>
      </c>
      <c r="X18" s="50">
        <f t="shared" si="60"/>
        <v>22400.007054676265</v>
      </c>
      <c r="Y18" s="3">
        <f t="shared" si="7"/>
        <v>23777.777777777774</v>
      </c>
      <c r="Z18" s="3">
        <f t="shared" si="8"/>
        <v>8.6999999999999994E-3</v>
      </c>
      <c r="AA18" s="3">
        <f t="shared" si="61"/>
        <v>177.77777777777715</v>
      </c>
      <c r="AB18" s="3">
        <f t="shared" si="62"/>
        <v>0</v>
      </c>
      <c r="AC18" s="3">
        <f t="shared" si="9"/>
        <v>17.777777777777779</v>
      </c>
      <c r="AD18" s="214">
        <f t="shared" si="10"/>
        <v>1.35E-2</v>
      </c>
      <c r="AE18" s="136">
        <f t="shared" si="63"/>
        <v>23955.562152138053</v>
      </c>
      <c r="AF18" s="16">
        <f t="shared" si="12"/>
        <v>2.2500000000000003E-8</v>
      </c>
      <c r="AG18" s="49">
        <f t="shared" si="13"/>
        <v>355.55555555555549</v>
      </c>
      <c r="AH18" s="3">
        <f t="shared" si="14"/>
        <v>1.4999999999999999E-4</v>
      </c>
      <c r="AI18" s="49">
        <f t="shared" si="15"/>
        <v>2.2274988161212015</v>
      </c>
      <c r="AJ18" s="49">
        <f t="shared" si="16"/>
        <v>50.596442562693909</v>
      </c>
      <c r="AK18" s="49">
        <f t="shared" si="17"/>
        <v>10</v>
      </c>
      <c r="AL18" s="3">
        <f t="shared" si="18"/>
        <v>0.01</v>
      </c>
      <c r="AM18" s="50">
        <f t="shared" si="64"/>
        <v>408.50191384666994</v>
      </c>
      <c r="AN18" s="3">
        <f t="shared" si="19"/>
        <v>511.11111111111103</v>
      </c>
      <c r="AO18" s="3">
        <f t="shared" si="20"/>
        <v>2.1999999999999998E-4</v>
      </c>
      <c r="AP18" s="3">
        <f t="shared" si="65"/>
        <v>2.2274988161212015</v>
      </c>
      <c r="AQ18" s="3">
        <f t="shared" si="66"/>
        <v>50.596442562693909</v>
      </c>
      <c r="AR18" s="3">
        <f t="shared" si="21"/>
        <v>10</v>
      </c>
      <c r="AS18" s="214">
        <f t="shared" si="22"/>
        <v>1.35E-2</v>
      </c>
      <c r="AT18" s="50">
        <f t="shared" si="67"/>
        <v>564.02370837502406</v>
      </c>
      <c r="AU18" s="16">
        <f t="shared" si="24"/>
        <v>2.2500000000000003E-8</v>
      </c>
      <c r="AV18" s="49">
        <f t="shared" si="25"/>
        <v>6666.6666666666652</v>
      </c>
      <c r="AW18" s="3">
        <f t="shared" si="26"/>
        <v>8.0000000000000002E-3</v>
      </c>
      <c r="AX18" s="49">
        <f t="shared" si="27"/>
        <v>177.77777777777715</v>
      </c>
      <c r="AY18" s="49">
        <f t="shared" si="28"/>
        <v>33651.058372276944</v>
      </c>
      <c r="AZ18" s="49">
        <f t="shared" si="29"/>
        <v>17.777777777777779</v>
      </c>
      <c r="BA18" s="3">
        <f t="shared" si="30"/>
        <v>0.01</v>
      </c>
      <c r="BB18" s="50">
        <f t="shared" si="68"/>
        <v>40495.506719000768</v>
      </c>
      <c r="BC18" s="3">
        <f t="shared" si="31"/>
        <v>8222.2222222222208</v>
      </c>
      <c r="BD18" s="3">
        <f t="shared" si="32"/>
        <v>8.6999999999999994E-3</v>
      </c>
      <c r="BE18" s="3">
        <f t="shared" si="69"/>
        <v>177.77777777777715</v>
      </c>
      <c r="BF18" s="3">
        <f t="shared" si="70"/>
        <v>33651.058372276944</v>
      </c>
      <c r="BG18" s="3">
        <f t="shared" si="33"/>
        <v>17.777777777777779</v>
      </c>
      <c r="BH18" s="214">
        <f t="shared" si="34"/>
        <v>1.35E-2</v>
      </c>
      <c r="BI18" s="50">
        <f t="shared" si="71"/>
        <v>42051.062130204074</v>
      </c>
      <c r="BJ18" s="16">
        <f t="shared" si="36"/>
        <v>2.2500000000000003E-8</v>
      </c>
      <c r="BK18" s="49">
        <f t="shared" si="37"/>
        <v>6666.6666666666652</v>
      </c>
      <c r="BL18" s="3">
        <f t="shared" si="38"/>
        <v>1E-3</v>
      </c>
      <c r="BM18" s="49">
        <f t="shared" si="39"/>
        <v>44.444444444444287</v>
      </c>
      <c r="BN18" s="49">
        <f t="shared" si="40"/>
        <v>1599.9999999999998</v>
      </c>
      <c r="BO18" s="49">
        <f t="shared" si="41"/>
        <v>10</v>
      </c>
      <c r="BP18" s="3">
        <f t="shared" si="42"/>
        <v>0.01</v>
      </c>
      <c r="BQ18" s="50">
        <f t="shared" si="72"/>
        <v>8311.1171271577896</v>
      </c>
      <c r="BR18" s="3">
        <f t="shared" si="43"/>
        <v>7444.4444444444425</v>
      </c>
      <c r="BS18" s="3">
        <f t="shared" si="44"/>
        <v>1.175E-3</v>
      </c>
      <c r="BT18" s="3">
        <f t="shared" si="73"/>
        <v>44.444444444444287</v>
      </c>
      <c r="BU18" s="3">
        <f t="shared" si="74"/>
        <v>1599.9999999999998</v>
      </c>
      <c r="BV18" s="3">
        <f t="shared" si="45"/>
        <v>10</v>
      </c>
      <c r="BW18" s="214">
        <f t="shared" si="46"/>
        <v>1.35E-2</v>
      </c>
      <c r="BX18" s="50">
        <f t="shared" si="75"/>
        <v>9088.8943901198181</v>
      </c>
      <c r="BY18" s="16">
        <f t="shared" si="48"/>
        <v>2.2500000000000003E-8</v>
      </c>
      <c r="BZ18" s="49">
        <f t="shared" si="49"/>
        <v>1111.1111111111109</v>
      </c>
      <c r="CA18" s="3">
        <f t="shared" si="50"/>
        <v>2E-3</v>
      </c>
      <c r="CB18" s="49">
        <f t="shared" si="51"/>
        <v>44.444444444444287</v>
      </c>
      <c r="CC18" s="49">
        <f t="shared" si="52"/>
        <v>0</v>
      </c>
      <c r="CD18" s="49">
        <f t="shared" si="53"/>
        <v>20</v>
      </c>
      <c r="CE18" s="3">
        <f t="shared" si="54"/>
        <v>0.01</v>
      </c>
      <c r="CF18" s="50">
        <f t="shared" si="76"/>
        <v>1155.7286195639995</v>
      </c>
      <c r="CG18" s="3">
        <f t="shared" si="55"/>
        <v>1499.9999999999995</v>
      </c>
      <c r="CH18" s="3">
        <f t="shared" si="56"/>
        <v>2.0874999999999999E-3</v>
      </c>
      <c r="CI18" s="3">
        <f t="shared" si="77"/>
        <v>44.444444444444287</v>
      </c>
      <c r="CJ18" s="3">
        <f t="shared" si="78"/>
        <v>0</v>
      </c>
      <c r="CK18" s="3">
        <f t="shared" si="57"/>
        <v>20</v>
      </c>
      <c r="CL18" s="214">
        <f t="shared" si="58"/>
        <v>1.35E-2</v>
      </c>
      <c r="CM18" s="50">
        <f t="shared" si="79"/>
        <v>1544.5739354792681</v>
      </c>
      <c r="CO18" s="4" t="s">
        <v>177</v>
      </c>
      <c r="CP18" s="24">
        <f t="shared" si="80"/>
        <v>0</v>
      </c>
      <c r="CQ18" s="24">
        <f t="shared" si="80"/>
        <v>0</v>
      </c>
      <c r="CR18" s="24">
        <f t="shared" si="80"/>
        <v>0</v>
      </c>
      <c r="CS18" s="24">
        <f t="shared" si="80"/>
        <v>0</v>
      </c>
      <c r="CT18" s="24">
        <f t="shared" si="80"/>
        <v>0</v>
      </c>
      <c r="CV18" s="4" t="s">
        <v>282</v>
      </c>
    </row>
    <row r="19" spans="2:100">
      <c r="B19" s="7" t="s">
        <v>66</v>
      </c>
      <c r="C19" s="9">
        <f>IF(C15="None", "",VLOOKUP(C15,'TI Parametric Selection '!$B:$AH,7,FALSE))</f>
        <v>8.0000000000000002E-3</v>
      </c>
      <c r="D19" s="9">
        <f>IF(D15="None", "",VLOOKUP(D15,'TI Parametric Selection '!$B:$AH,7,FALSE))</f>
        <v>1.4999999999999999E-4</v>
      </c>
      <c r="E19" s="9">
        <f>IF(E15="None", "",VLOOKUP(E15,'TI Parametric Selection '!$B:$AH,7,FALSE))</f>
        <v>8.0000000000000002E-3</v>
      </c>
      <c r="F19" s="9">
        <f>IF(F15="None", "",VLOOKUP(F15,'TI Parametric Selection '!$B:$AH,7,FALSE))</f>
        <v>1E-3</v>
      </c>
      <c r="G19" s="9">
        <f>IF(G15="None", "",VLOOKUP(G15,'TI Parametric Selection '!$B:$AH,7,FALSE))</f>
        <v>2E-3</v>
      </c>
      <c r="I19" s="80" t="s">
        <v>45</v>
      </c>
      <c r="J19" s="81">
        <v>5</v>
      </c>
      <c r="K19" s="16" t="s">
        <v>482</v>
      </c>
      <c r="L19" s="4" t="s">
        <v>491</v>
      </c>
      <c r="N19" s="223"/>
      <c r="P19" s="116">
        <v>5.0000000000000004E-6</v>
      </c>
      <c r="Q19" s="135">
        <f t="shared" si="0"/>
        <v>2.5000000000000002E-8</v>
      </c>
      <c r="R19" s="49">
        <f t="shared" si="1"/>
        <v>20000</v>
      </c>
      <c r="S19" s="3">
        <f t="shared" si="2"/>
        <v>8.0000000000000002E-3</v>
      </c>
      <c r="T19" s="49">
        <f t="shared" si="3"/>
        <v>159.99999999999943</v>
      </c>
      <c r="U19" s="49">
        <f t="shared" si="4"/>
        <v>0</v>
      </c>
      <c r="V19" s="49">
        <f t="shared" si="5"/>
        <v>16</v>
      </c>
      <c r="W19" s="3">
        <f t="shared" si="6"/>
        <v>0.01</v>
      </c>
      <c r="X19" s="50">
        <f t="shared" si="60"/>
        <v>20160.006349209416</v>
      </c>
      <c r="Y19" s="3">
        <f t="shared" si="7"/>
        <v>21400</v>
      </c>
      <c r="Z19" s="3">
        <f t="shared" si="8"/>
        <v>8.6999999999999994E-3</v>
      </c>
      <c r="AA19" s="3">
        <f t="shared" si="61"/>
        <v>159.99999999999943</v>
      </c>
      <c r="AB19" s="3">
        <f t="shared" si="62"/>
        <v>0</v>
      </c>
      <c r="AC19" s="3">
        <f t="shared" si="9"/>
        <v>16</v>
      </c>
      <c r="AD19" s="214">
        <f t="shared" si="10"/>
        <v>1.35E-2</v>
      </c>
      <c r="AE19" s="136">
        <f t="shared" si="63"/>
        <v>21560.005936925387</v>
      </c>
      <c r="AF19" s="16">
        <f t="shared" si="12"/>
        <v>2.5000000000000002E-8</v>
      </c>
      <c r="AG19" s="49">
        <f t="shared" si="13"/>
        <v>319.99999999999994</v>
      </c>
      <c r="AH19" s="3">
        <f t="shared" si="14"/>
        <v>1.4999999999999999E-4</v>
      </c>
      <c r="AI19" s="49">
        <f t="shared" si="15"/>
        <v>2.0047489345090814</v>
      </c>
      <c r="AJ19" s="49">
        <f t="shared" si="16"/>
        <v>45.536798306424522</v>
      </c>
      <c r="AK19" s="49">
        <f t="shared" si="17"/>
        <v>9</v>
      </c>
      <c r="AL19" s="3">
        <f t="shared" si="18"/>
        <v>0.01</v>
      </c>
      <c r="AM19" s="50">
        <f t="shared" si="64"/>
        <v>367.65172248784847</v>
      </c>
      <c r="AN19" s="3">
        <f t="shared" si="19"/>
        <v>459.99999999999989</v>
      </c>
      <c r="AO19" s="3">
        <f t="shared" si="20"/>
        <v>2.1999999999999998E-4</v>
      </c>
      <c r="AP19" s="3">
        <f t="shared" si="65"/>
        <v>2.0047489345090814</v>
      </c>
      <c r="AQ19" s="3">
        <f t="shared" si="66"/>
        <v>45.536798306424522</v>
      </c>
      <c r="AR19" s="3">
        <f t="shared" si="21"/>
        <v>9</v>
      </c>
      <c r="AS19" s="214">
        <f t="shared" si="22"/>
        <v>1.35E-2</v>
      </c>
      <c r="AT19" s="50">
        <f t="shared" si="67"/>
        <v>507.62133757163832</v>
      </c>
      <c r="AU19" s="16">
        <f t="shared" si="24"/>
        <v>2.5000000000000002E-8</v>
      </c>
      <c r="AV19" s="49">
        <f t="shared" si="25"/>
        <v>5999.9999999999991</v>
      </c>
      <c r="AW19" s="3">
        <f t="shared" si="26"/>
        <v>8.0000000000000002E-3</v>
      </c>
      <c r="AX19" s="49">
        <f t="shared" si="27"/>
        <v>159.99999999999943</v>
      </c>
      <c r="AY19" s="49">
        <f t="shared" si="28"/>
        <v>30285.952535049255</v>
      </c>
      <c r="AZ19" s="49">
        <f t="shared" si="29"/>
        <v>16</v>
      </c>
      <c r="BA19" s="3">
        <f t="shared" si="30"/>
        <v>0.01</v>
      </c>
      <c r="BB19" s="50">
        <f t="shared" si="68"/>
        <v>36445.956047101121</v>
      </c>
      <c r="BC19" s="3">
        <f t="shared" si="31"/>
        <v>7399.9999999999991</v>
      </c>
      <c r="BD19" s="3">
        <f t="shared" si="32"/>
        <v>8.6999999999999994E-3</v>
      </c>
      <c r="BE19" s="3">
        <f t="shared" si="69"/>
        <v>159.99999999999943</v>
      </c>
      <c r="BF19" s="3">
        <f t="shared" si="70"/>
        <v>30285.952535049255</v>
      </c>
      <c r="BG19" s="3">
        <f t="shared" si="33"/>
        <v>16</v>
      </c>
      <c r="BH19" s="214">
        <f t="shared" si="34"/>
        <v>1.35E-2</v>
      </c>
      <c r="BI19" s="50">
        <f t="shared" si="71"/>
        <v>37845.955917184321</v>
      </c>
      <c r="BJ19" s="16">
        <f t="shared" si="36"/>
        <v>2.5000000000000002E-8</v>
      </c>
      <c r="BK19" s="49">
        <f t="shared" si="37"/>
        <v>5999.9999999999991</v>
      </c>
      <c r="BL19" s="3">
        <f t="shared" si="38"/>
        <v>1E-3</v>
      </c>
      <c r="BM19" s="49">
        <f t="shared" si="39"/>
        <v>39.999999999999858</v>
      </c>
      <c r="BN19" s="49">
        <f t="shared" si="40"/>
        <v>1440</v>
      </c>
      <c r="BO19" s="49">
        <f t="shared" si="41"/>
        <v>9</v>
      </c>
      <c r="BP19" s="3">
        <f t="shared" si="42"/>
        <v>0.01</v>
      </c>
      <c r="BQ19" s="50">
        <f t="shared" si="72"/>
        <v>7480.0054144432934</v>
      </c>
      <c r="BR19" s="3">
        <f t="shared" si="43"/>
        <v>6699.9999999999991</v>
      </c>
      <c r="BS19" s="3">
        <f t="shared" si="44"/>
        <v>1.175E-3</v>
      </c>
      <c r="BT19" s="3">
        <f t="shared" si="73"/>
        <v>39.999999999999858</v>
      </c>
      <c r="BU19" s="3">
        <f t="shared" si="74"/>
        <v>1440</v>
      </c>
      <c r="BV19" s="3">
        <f t="shared" si="45"/>
        <v>9</v>
      </c>
      <c r="BW19" s="214">
        <f t="shared" si="46"/>
        <v>1.35E-2</v>
      </c>
      <c r="BX19" s="50">
        <f t="shared" si="75"/>
        <v>8180.0049511099696</v>
      </c>
      <c r="BY19" s="16">
        <f t="shared" si="48"/>
        <v>2.5000000000000002E-8</v>
      </c>
      <c r="BZ19" s="49">
        <f t="shared" si="49"/>
        <v>999.99999999999977</v>
      </c>
      <c r="CA19" s="3">
        <f t="shared" si="50"/>
        <v>2E-3</v>
      </c>
      <c r="CB19" s="49">
        <f t="shared" si="51"/>
        <v>39.999999999999858</v>
      </c>
      <c r="CC19" s="49">
        <f t="shared" si="52"/>
        <v>0</v>
      </c>
      <c r="CD19" s="49">
        <f t="shared" si="53"/>
        <v>18</v>
      </c>
      <c r="CE19" s="3">
        <f t="shared" si="54"/>
        <v>0.01</v>
      </c>
      <c r="CF19" s="50">
        <f t="shared" si="76"/>
        <v>1040.1557576170981</v>
      </c>
      <c r="CG19" s="3">
        <f t="shared" si="55"/>
        <v>1349.9999999999998</v>
      </c>
      <c r="CH19" s="3">
        <f t="shared" si="56"/>
        <v>2.0874999999999999E-3</v>
      </c>
      <c r="CI19" s="3">
        <f t="shared" si="77"/>
        <v>39.999999999999858</v>
      </c>
      <c r="CJ19" s="3">
        <f t="shared" si="78"/>
        <v>0</v>
      </c>
      <c r="CK19" s="3">
        <f t="shared" si="57"/>
        <v>18</v>
      </c>
      <c r="CL19" s="214">
        <f t="shared" si="58"/>
        <v>1.35E-2</v>
      </c>
      <c r="CM19" s="50">
        <f t="shared" si="79"/>
        <v>1390.1165419440943</v>
      </c>
      <c r="CO19" s="4" t="s">
        <v>16</v>
      </c>
      <c r="CP19" s="24">
        <f t="shared" si="80"/>
        <v>0</v>
      </c>
      <c r="CQ19" s="24">
        <f t="shared" si="80"/>
        <v>0</v>
      </c>
      <c r="CR19" s="24">
        <f t="shared" si="80"/>
        <v>0</v>
      </c>
      <c r="CS19" s="24">
        <f t="shared" si="80"/>
        <v>0</v>
      </c>
      <c r="CT19" s="24">
        <f t="shared" si="80"/>
        <v>0</v>
      </c>
      <c r="CV19" s="4" t="b">
        <f t="shared" ref="CV19:CV30" si="81">OR(AND($C$8=2,($C19=$D19)),AND($C$8=3,$C19=$D19,$D19=$E19),AND($C$8=4,$C19=$D19,$D19=$E19,$E19=$F19),AND($C$8=5,$C19=$D19,$D19=$E19,$E19=$F19,$F19=$G19))</f>
        <v>0</v>
      </c>
    </row>
    <row r="20" spans="2:100" ht="9.75" customHeight="1">
      <c r="B20" s="7" t="s">
        <v>14</v>
      </c>
      <c r="C20" s="8">
        <f>IF(C15="None", "",VLOOKUP(C15,'TI Parametric Selection '!$B:$AH,8,FALSE))</f>
        <v>20</v>
      </c>
      <c r="D20" s="8">
        <f>IF(D15="None", "",VLOOKUP(D15,'TI Parametric Selection '!$B:$AH,8,FALSE))</f>
        <v>2</v>
      </c>
      <c r="E20" s="8">
        <f>IF(E15="None", "",VLOOKUP(E15,'TI Parametric Selection '!$B:$AH,8,FALSE))</f>
        <v>20</v>
      </c>
      <c r="F20" s="8">
        <f>IF(F15="None", "",VLOOKUP(F15,'TI Parametric Selection '!$B:$AH,8,FALSE))</f>
        <v>5</v>
      </c>
      <c r="G20" s="8">
        <f>IF(G15="None", "",VLOOKUP(G15,'TI Parametric Selection '!$B:$AH,8,FALSE))</f>
        <v>2.5</v>
      </c>
      <c r="I20" s="62" t="s">
        <v>10</v>
      </c>
      <c r="J20" s="65">
        <v>0.01</v>
      </c>
      <c r="K20" s="16" t="s">
        <v>482</v>
      </c>
      <c r="L20" s="198" t="s">
        <v>492</v>
      </c>
      <c r="N20" s="223"/>
      <c r="P20" s="116">
        <v>5.4999999999999999E-6</v>
      </c>
      <c r="Q20" s="135">
        <f t="shared" si="0"/>
        <v>2.7499999999999998E-8</v>
      </c>
      <c r="R20" s="49">
        <f t="shared" si="1"/>
        <v>18181.818181818184</v>
      </c>
      <c r="S20" s="3">
        <f t="shared" si="2"/>
        <v>8.0000000000000002E-3</v>
      </c>
      <c r="T20" s="49">
        <f t="shared" si="3"/>
        <v>145.45454545454496</v>
      </c>
      <c r="U20" s="49">
        <f t="shared" si="4"/>
        <v>0</v>
      </c>
      <c r="V20" s="49">
        <f t="shared" si="5"/>
        <v>14.545454545454547</v>
      </c>
      <c r="W20" s="3">
        <f t="shared" si="6"/>
        <v>0.01</v>
      </c>
      <c r="X20" s="50">
        <f t="shared" si="60"/>
        <v>18327.278499282067</v>
      </c>
      <c r="Y20" s="3">
        <f t="shared" si="7"/>
        <v>19454.545454545456</v>
      </c>
      <c r="Z20" s="3">
        <f t="shared" si="8"/>
        <v>8.6999999999999994E-3</v>
      </c>
      <c r="AA20" s="3">
        <f t="shared" si="61"/>
        <v>145.45454545454496</v>
      </c>
      <c r="AB20" s="3">
        <f t="shared" si="62"/>
        <v>0</v>
      </c>
      <c r="AC20" s="3">
        <f t="shared" si="9"/>
        <v>14.545454545454547</v>
      </c>
      <c r="AD20" s="214">
        <f t="shared" si="10"/>
        <v>1.35E-2</v>
      </c>
      <c r="AE20" s="136">
        <f t="shared" si="63"/>
        <v>19600.005397206041</v>
      </c>
      <c r="AF20" s="16">
        <f t="shared" si="12"/>
        <v>2.7499999999999998E-8</v>
      </c>
      <c r="AG20" s="49">
        <f t="shared" si="13"/>
        <v>290.90909090909093</v>
      </c>
      <c r="AH20" s="3">
        <f t="shared" si="14"/>
        <v>1.4999999999999999E-4</v>
      </c>
      <c r="AI20" s="49">
        <f t="shared" si="15"/>
        <v>1.8224990313718925</v>
      </c>
      <c r="AJ20" s="49">
        <f t="shared" si="16"/>
        <v>41.397089369476845</v>
      </c>
      <c r="AK20" s="49">
        <f t="shared" si="17"/>
        <v>8.1818181818181834</v>
      </c>
      <c r="AL20" s="3">
        <f t="shared" si="18"/>
        <v>0.01</v>
      </c>
      <c r="AM20" s="50">
        <f t="shared" si="64"/>
        <v>334.22883865128597</v>
      </c>
      <c r="AN20" s="3">
        <f t="shared" si="19"/>
        <v>418.18181818181824</v>
      </c>
      <c r="AO20" s="3">
        <f t="shared" si="20"/>
        <v>2.1999999999999998E-4</v>
      </c>
      <c r="AP20" s="3">
        <f t="shared" si="65"/>
        <v>1.8224990313718925</v>
      </c>
      <c r="AQ20" s="3">
        <f t="shared" si="66"/>
        <v>41.397089369476845</v>
      </c>
      <c r="AR20" s="3">
        <f t="shared" si="21"/>
        <v>8.1818181818181834</v>
      </c>
      <c r="AS20" s="214">
        <f t="shared" si="22"/>
        <v>1.35E-2</v>
      </c>
      <c r="AT20" s="50">
        <f t="shared" si="67"/>
        <v>461.47394328122391</v>
      </c>
      <c r="AU20" s="16">
        <f t="shared" si="24"/>
        <v>2.7499999999999998E-8</v>
      </c>
      <c r="AV20" s="49">
        <f t="shared" si="25"/>
        <v>5454.545454545454</v>
      </c>
      <c r="AW20" s="3">
        <f t="shared" si="26"/>
        <v>8.0000000000000002E-3</v>
      </c>
      <c r="AX20" s="49">
        <f t="shared" si="27"/>
        <v>145.45454545454496</v>
      </c>
      <c r="AY20" s="49">
        <f t="shared" si="28"/>
        <v>27532.684122772054</v>
      </c>
      <c r="AZ20" s="49">
        <f t="shared" si="29"/>
        <v>14.545454545454547</v>
      </c>
      <c r="BA20" s="3">
        <f t="shared" si="30"/>
        <v>0.01</v>
      </c>
      <c r="BB20" s="50">
        <f t="shared" si="68"/>
        <v>33132.687315546907</v>
      </c>
      <c r="BC20" s="3">
        <f t="shared" si="31"/>
        <v>6727.272727272727</v>
      </c>
      <c r="BD20" s="3">
        <f t="shared" si="32"/>
        <v>8.6999999999999994E-3</v>
      </c>
      <c r="BE20" s="3">
        <f t="shared" si="69"/>
        <v>145.45454545454496</v>
      </c>
      <c r="BF20" s="3">
        <f t="shared" si="70"/>
        <v>27532.684122772054</v>
      </c>
      <c r="BG20" s="3">
        <f t="shared" si="33"/>
        <v>14.545454545454547</v>
      </c>
      <c r="BH20" s="214">
        <f t="shared" si="34"/>
        <v>1.35E-2</v>
      </c>
      <c r="BI20" s="50">
        <f t="shared" si="71"/>
        <v>34405.414470168209</v>
      </c>
      <c r="BJ20" s="16">
        <f t="shared" si="36"/>
        <v>2.7499999999999998E-8</v>
      </c>
      <c r="BK20" s="49">
        <f t="shared" si="37"/>
        <v>5454.545454545454</v>
      </c>
      <c r="BL20" s="3">
        <f t="shared" si="38"/>
        <v>1E-3</v>
      </c>
      <c r="BM20" s="49">
        <f t="shared" si="39"/>
        <v>36.363636363636239</v>
      </c>
      <c r="BN20" s="49">
        <f t="shared" si="40"/>
        <v>1309.0909090909092</v>
      </c>
      <c r="BO20" s="49">
        <f t="shared" si="41"/>
        <v>8.1818181818181834</v>
      </c>
      <c r="BP20" s="3">
        <f t="shared" si="42"/>
        <v>0.01</v>
      </c>
      <c r="BQ20" s="50">
        <f t="shared" si="72"/>
        <v>6800.0049222224643</v>
      </c>
      <c r="BR20" s="3">
        <f t="shared" si="43"/>
        <v>6090.9090909090901</v>
      </c>
      <c r="BS20" s="3">
        <f t="shared" si="44"/>
        <v>1.175E-3</v>
      </c>
      <c r="BT20" s="3">
        <f t="shared" si="73"/>
        <v>36.363636363636239</v>
      </c>
      <c r="BU20" s="3">
        <f t="shared" si="74"/>
        <v>1309.0909090909092</v>
      </c>
      <c r="BV20" s="3">
        <f t="shared" si="45"/>
        <v>8.1818181818181834</v>
      </c>
      <c r="BW20" s="214">
        <f t="shared" si="46"/>
        <v>1.35E-2</v>
      </c>
      <c r="BX20" s="50">
        <f t="shared" si="75"/>
        <v>7436.3681373748414</v>
      </c>
      <c r="BY20" s="16">
        <f t="shared" si="48"/>
        <v>2.7499999999999998E-8</v>
      </c>
      <c r="BZ20" s="49">
        <f t="shared" si="49"/>
        <v>909.09090909090912</v>
      </c>
      <c r="CA20" s="3">
        <f t="shared" si="50"/>
        <v>2E-3</v>
      </c>
      <c r="CB20" s="49">
        <f t="shared" si="51"/>
        <v>36.363636363636239</v>
      </c>
      <c r="CC20" s="49">
        <f t="shared" si="52"/>
        <v>0</v>
      </c>
      <c r="CD20" s="49">
        <f t="shared" si="53"/>
        <v>16.363636363636367</v>
      </c>
      <c r="CE20" s="3">
        <f t="shared" si="54"/>
        <v>0.01</v>
      </c>
      <c r="CF20" s="50">
        <f t="shared" si="76"/>
        <v>945.59614329781527</v>
      </c>
      <c r="CG20" s="3">
        <f t="shared" si="55"/>
        <v>1227.2727272727273</v>
      </c>
      <c r="CH20" s="3">
        <f t="shared" si="56"/>
        <v>2.0874999999999999E-3</v>
      </c>
      <c r="CI20" s="3">
        <f t="shared" si="77"/>
        <v>36.363636363636239</v>
      </c>
      <c r="CJ20" s="3">
        <f t="shared" si="78"/>
        <v>0</v>
      </c>
      <c r="CK20" s="3">
        <f t="shared" si="57"/>
        <v>16.363636363636367</v>
      </c>
      <c r="CL20" s="214">
        <f t="shared" si="58"/>
        <v>1.35E-2</v>
      </c>
      <c r="CM20" s="50">
        <f t="shared" si="79"/>
        <v>1263.7423108710814</v>
      </c>
      <c r="CO20" s="4" t="s">
        <v>19</v>
      </c>
      <c r="CP20" s="24">
        <f t="shared" si="80"/>
        <v>0</v>
      </c>
      <c r="CQ20" s="24">
        <f t="shared" si="80"/>
        <v>0</v>
      </c>
      <c r="CR20" s="24">
        <f t="shared" si="80"/>
        <v>0</v>
      </c>
      <c r="CS20" s="24">
        <f t="shared" si="80"/>
        <v>0</v>
      </c>
      <c r="CT20" s="24">
        <f t="shared" si="80"/>
        <v>0</v>
      </c>
      <c r="CV20" s="4" t="b">
        <f t="shared" si="81"/>
        <v>0</v>
      </c>
    </row>
    <row r="21" spans="2:100" ht="12" thickBot="1">
      <c r="B21" s="7" t="str">
        <f>"Gain Error @ "&amp;$J$12&amp;"°C (max)"</f>
        <v>Gain Error @ 60°C (max)</v>
      </c>
      <c r="C21" s="9">
        <f>IF(C15="None","",C19+(ABS($J$12-25)*0.000001*C20))</f>
        <v>8.6999999999999994E-3</v>
      </c>
      <c r="D21" s="9">
        <f t="shared" ref="D21:G21" si="82">IF(D15="None","",D19+(ABS($J$12-25)*0.000001*D20))</f>
        <v>2.1999999999999998E-4</v>
      </c>
      <c r="E21" s="9">
        <f t="shared" si="82"/>
        <v>8.6999999999999994E-3</v>
      </c>
      <c r="F21" s="9">
        <f t="shared" si="82"/>
        <v>1.175E-3</v>
      </c>
      <c r="G21" s="9">
        <f t="shared" si="82"/>
        <v>2.0874999999999999E-3</v>
      </c>
      <c r="H21" s="15"/>
      <c r="I21" s="67" t="s">
        <v>11</v>
      </c>
      <c r="J21" s="68">
        <v>100</v>
      </c>
      <c r="K21" s="16" t="s">
        <v>482</v>
      </c>
      <c r="L21" s="4" t="s">
        <v>493</v>
      </c>
      <c r="N21" s="223"/>
      <c r="P21" s="116">
        <v>6.0000000000000002E-6</v>
      </c>
      <c r="Q21" s="135">
        <f t="shared" si="0"/>
        <v>3.0000000000000004E-8</v>
      </c>
      <c r="R21" s="49">
        <f t="shared" si="1"/>
        <v>16666.666666666664</v>
      </c>
      <c r="S21" s="3">
        <f t="shared" si="2"/>
        <v>8.0000000000000002E-3</v>
      </c>
      <c r="T21" s="49">
        <f t="shared" si="3"/>
        <v>133.33333333333286</v>
      </c>
      <c r="U21" s="49">
        <f t="shared" si="4"/>
        <v>0</v>
      </c>
      <c r="V21" s="49">
        <f t="shared" si="5"/>
        <v>13.333333333333334</v>
      </c>
      <c r="W21" s="3">
        <f t="shared" si="6"/>
        <v>0.01</v>
      </c>
      <c r="X21" s="50">
        <f t="shared" si="60"/>
        <v>16800.005291009336</v>
      </c>
      <c r="Y21" s="3">
        <f t="shared" si="7"/>
        <v>17833.333333333332</v>
      </c>
      <c r="Z21" s="3">
        <f t="shared" si="8"/>
        <v>8.6999999999999994E-3</v>
      </c>
      <c r="AA21" s="3">
        <f t="shared" si="61"/>
        <v>133.33333333333286</v>
      </c>
      <c r="AB21" s="3">
        <f t="shared" si="62"/>
        <v>0</v>
      </c>
      <c r="AC21" s="3">
        <f t="shared" si="9"/>
        <v>13.333333333333334</v>
      </c>
      <c r="AD21" s="214">
        <f t="shared" si="10"/>
        <v>1.35E-2</v>
      </c>
      <c r="AE21" s="136">
        <f t="shared" si="63"/>
        <v>17966.671614106683</v>
      </c>
      <c r="AF21" s="16">
        <f t="shared" si="12"/>
        <v>3.0000000000000004E-8</v>
      </c>
      <c r="AG21" s="49">
        <f t="shared" si="13"/>
        <v>266.66666666666663</v>
      </c>
      <c r="AH21" s="3">
        <f t="shared" si="14"/>
        <v>1.4999999999999999E-4</v>
      </c>
      <c r="AI21" s="49">
        <f t="shared" si="15"/>
        <v>1.6706241120909011</v>
      </c>
      <c r="AJ21" s="49">
        <f t="shared" si="16"/>
        <v>37.947331922020432</v>
      </c>
      <c r="AK21" s="49">
        <f t="shared" si="17"/>
        <v>7.5</v>
      </c>
      <c r="AL21" s="3">
        <f t="shared" si="18"/>
        <v>0.01</v>
      </c>
      <c r="AM21" s="50">
        <f t="shared" si="64"/>
        <v>306.3764354564176</v>
      </c>
      <c r="AN21" s="3">
        <f t="shared" si="19"/>
        <v>383.33333333333326</v>
      </c>
      <c r="AO21" s="3">
        <f t="shared" si="20"/>
        <v>2.1999999999999998E-4</v>
      </c>
      <c r="AP21" s="3">
        <f t="shared" si="65"/>
        <v>1.6706241120909011</v>
      </c>
      <c r="AQ21" s="3">
        <f t="shared" si="66"/>
        <v>37.947331922020432</v>
      </c>
      <c r="AR21" s="3">
        <f t="shared" si="21"/>
        <v>7.5</v>
      </c>
      <c r="AS21" s="214">
        <f t="shared" si="22"/>
        <v>1.35E-2</v>
      </c>
      <c r="AT21" s="50">
        <f t="shared" si="67"/>
        <v>423.01778137553771</v>
      </c>
      <c r="AU21" s="16">
        <f t="shared" si="24"/>
        <v>3.0000000000000004E-8</v>
      </c>
      <c r="AV21" s="49">
        <f t="shared" si="25"/>
        <v>4999.9999999999991</v>
      </c>
      <c r="AW21" s="3">
        <f t="shared" si="26"/>
        <v>8.0000000000000002E-3</v>
      </c>
      <c r="AX21" s="49">
        <f t="shared" si="27"/>
        <v>133.33333333333286</v>
      </c>
      <c r="AY21" s="49">
        <f t="shared" si="28"/>
        <v>25238.29377920771</v>
      </c>
      <c r="AZ21" s="49">
        <f t="shared" si="29"/>
        <v>13.333333333333334</v>
      </c>
      <c r="BA21" s="3">
        <f t="shared" si="30"/>
        <v>0.01</v>
      </c>
      <c r="BB21" s="50">
        <f t="shared" si="68"/>
        <v>30371.630039251762</v>
      </c>
      <c r="BC21" s="3">
        <f t="shared" si="31"/>
        <v>6166.6666666666661</v>
      </c>
      <c r="BD21" s="3">
        <f t="shared" si="32"/>
        <v>8.6999999999999994E-3</v>
      </c>
      <c r="BE21" s="3">
        <f t="shared" si="69"/>
        <v>133.33333333333286</v>
      </c>
      <c r="BF21" s="3">
        <f t="shared" si="70"/>
        <v>25238.29377920771</v>
      </c>
      <c r="BG21" s="3">
        <f t="shared" si="33"/>
        <v>13.333333333333334</v>
      </c>
      <c r="BH21" s="214">
        <f t="shared" si="34"/>
        <v>1.35E-2</v>
      </c>
      <c r="BI21" s="50">
        <f t="shared" si="71"/>
        <v>31538.296597654848</v>
      </c>
      <c r="BJ21" s="16">
        <f t="shared" si="36"/>
        <v>3.0000000000000004E-8</v>
      </c>
      <c r="BK21" s="49">
        <f t="shared" si="37"/>
        <v>4999.9999999999991</v>
      </c>
      <c r="BL21" s="3">
        <f t="shared" si="38"/>
        <v>1E-3</v>
      </c>
      <c r="BM21" s="49">
        <f t="shared" si="39"/>
        <v>33.333333333333215</v>
      </c>
      <c r="BN21" s="49">
        <f t="shared" si="40"/>
        <v>1199.9999999999998</v>
      </c>
      <c r="BO21" s="49">
        <f t="shared" si="41"/>
        <v>7.5</v>
      </c>
      <c r="BP21" s="3">
        <f t="shared" si="42"/>
        <v>0.01</v>
      </c>
      <c r="BQ21" s="50">
        <f t="shared" si="72"/>
        <v>6233.3378453718869</v>
      </c>
      <c r="BR21" s="3">
        <f t="shared" si="43"/>
        <v>5583.3333333333321</v>
      </c>
      <c r="BS21" s="3">
        <f t="shared" si="44"/>
        <v>1.175E-3</v>
      </c>
      <c r="BT21" s="3">
        <f t="shared" si="73"/>
        <v>33.333333333333215</v>
      </c>
      <c r="BU21" s="3">
        <f t="shared" si="74"/>
        <v>1199.9999999999998</v>
      </c>
      <c r="BV21" s="3">
        <f t="shared" si="45"/>
        <v>7.5</v>
      </c>
      <c r="BW21" s="214">
        <f t="shared" si="46"/>
        <v>1.35E-2</v>
      </c>
      <c r="BX21" s="50">
        <f t="shared" si="75"/>
        <v>6816.6707925957562</v>
      </c>
      <c r="BY21" s="16">
        <f t="shared" si="48"/>
        <v>3.0000000000000004E-8</v>
      </c>
      <c r="BZ21" s="49">
        <f t="shared" si="49"/>
        <v>833.33333333333314</v>
      </c>
      <c r="CA21" s="3">
        <f t="shared" si="50"/>
        <v>2E-3</v>
      </c>
      <c r="CB21" s="49">
        <f t="shared" si="51"/>
        <v>33.333333333333215</v>
      </c>
      <c r="CC21" s="49">
        <f t="shared" si="52"/>
        <v>0</v>
      </c>
      <c r="CD21" s="49">
        <f t="shared" si="53"/>
        <v>15</v>
      </c>
      <c r="CE21" s="3">
        <f t="shared" si="54"/>
        <v>0.01</v>
      </c>
      <c r="CF21" s="50">
        <f t="shared" si="76"/>
        <v>866.79646469924569</v>
      </c>
      <c r="CG21" s="3">
        <f t="shared" si="55"/>
        <v>1124.9999999999998</v>
      </c>
      <c r="CH21" s="3">
        <f t="shared" si="56"/>
        <v>2.0874999999999999E-3</v>
      </c>
      <c r="CI21" s="3">
        <f t="shared" si="77"/>
        <v>33.333333333333215</v>
      </c>
      <c r="CJ21" s="3">
        <f t="shared" si="78"/>
        <v>0</v>
      </c>
      <c r="CK21" s="3">
        <f t="shared" si="57"/>
        <v>15</v>
      </c>
      <c r="CL21" s="214">
        <f t="shared" si="58"/>
        <v>1.35E-2</v>
      </c>
      <c r="CM21" s="50">
        <f t="shared" si="79"/>
        <v>1158.4304516446889</v>
      </c>
      <c r="CO21" s="4" t="s">
        <v>151</v>
      </c>
      <c r="CP21" s="24">
        <f>IF(OR(C29="Unspec'd",C29="TBD"),1,0)</f>
        <v>0</v>
      </c>
      <c r="CQ21" s="24">
        <f>IF(OR(D29="Unspec'd",D29="TBD"),1,0)</f>
        <v>0</v>
      </c>
      <c r="CR21" s="24">
        <f>IF(OR(E29="Unspec'd",E29="TBD"),1,0)</f>
        <v>0</v>
      </c>
      <c r="CS21" s="24">
        <f>IF(OR(F29="Unspec'd",F29="TBD"),1,0)</f>
        <v>0</v>
      </c>
      <c r="CT21" s="24">
        <f>IF(OR(G29="Unspec'd",G29="TBD"),1,0)</f>
        <v>0</v>
      </c>
      <c r="CV21" s="4" t="b">
        <f t="shared" si="81"/>
        <v>0</v>
      </c>
    </row>
    <row r="22" spans="2:100">
      <c r="B22" s="7" t="s">
        <v>148</v>
      </c>
      <c r="C22" s="8">
        <f>IF(C15="None","",VLOOKUP(C15,'TI Parametric Selection '!$B:$AH,9,FALSE))</f>
        <v>500</v>
      </c>
      <c r="D22" s="8">
        <f>IF(D15="None","",VLOOKUP(D15,'TI Parametric Selection '!$B:$AH,9,FALSE))</f>
        <v>8</v>
      </c>
      <c r="E22" s="8">
        <f>IF(E15="None","",VLOOKUP(E15,'TI Parametric Selection '!$B:$AH,9,FALSE))</f>
        <v>150</v>
      </c>
      <c r="F22" s="8">
        <f>IF(F15="None","",VLOOKUP(F15,'TI Parametric Selection '!$B:$AH,9,FALSE))</f>
        <v>150</v>
      </c>
      <c r="G22" s="8">
        <f>IF(G15="None","",VLOOKUP(G15,'TI Parametric Selection '!$B:$AH,9,FALSE))</f>
        <v>24.999999999999996</v>
      </c>
      <c r="H22" s="15"/>
      <c r="P22" s="116">
        <v>6.4999999999999996E-6</v>
      </c>
      <c r="Q22" s="135">
        <f t="shared" si="0"/>
        <v>3.25E-8</v>
      </c>
      <c r="R22" s="49">
        <f t="shared" si="1"/>
        <v>15384.615384615385</v>
      </c>
      <c r="S22" s="3">
        <f t="shared" si="2"/>
        <v>8.0000000000000002E-3</v>
      </c>
      <c r="T22" s="49">
        <f t="shared" si="3"/>
        <v>123.07692307692265</v>
      </c>
      <c r="U22" s="49">
        <f t="shared" si="4"/>
        <v>0</v>
      </c>
      <c r="V22" s="49">
        <f t="shared" si="5"/>
        <v>12.30769230769231</v>
      </c>
      <c r="W22" s="3">
        <f t="shared" si="6"/>
        <v>0.01</v>
      </c>
      <c r="X22" s="50">
        <f t="shared" si="60"/>
        <v>15507.697191701709</v>
      </c>
      <c r="Y22" s="3">
        <f t="shared" si="7"/>
        <v>16461.538461538461</v>
      </c>
      <c r="Z22" s="3">
        <f t="shared" si="8"/>
        <v>8.6999999999999994E-3</v>
      </c>
      <c r="AA22" s="3">
        <f t="shared" si="61"/>
        <v>123.07692307692265</v>
      </c>
      <c r="AB22" s="3">
        <f t="shared" si="62"/>
        <v>0</v>
      </c>
      <c r="AC22" s="3">
        <f t="shared" si="9"/>
        <v>12.30769230769231</v>
      </c>
      <c r="AD22" s="214">
        <f t="shared" si="10"/>
        <v>1.35E-2</v>
      </c>
      <c r="AE22" s="136">
        <f t="shared" si="63"/>
        <v>16584.619951484241</v>
      </c>
      <c r="AF22" s="16">
        <f t="shared" si="12"/>
        <v>3.25E-8</v>
      </c>
      <c r="AG22" s="49">
        <f t="shared" si="13"/>
        <v>246.15384615384613</v>
      </c>
      <c r="AH22" s="3">
        <f t="shared" si="14"/>
        <v>1.4999999999999999E-4</v>
      </c>
      <c r="AI22" s="49">
        <f t="shared" si="15"/>
        <v>1.5421145650069858</v>
      </c>
      <c r="AJ22" s="49">
        <f t="shared" si="16"/>
        <v>35.028306389557329</v>
      </c>
      <c r="AK22" s="49">
        <f t="shared" si="17"/>
        <v>6.9230769230769242</v>
      </c>
      <c r="AL22" s="3">
        <f t="shared" si="18"/>
        <v>0.01</v>
      </c>
      <c r="AM22" s="50">
        <f t="shared" si="64"/>
        <v>282.80901737054489</v>
      </c>
      <c r="AN22" s="3">
        <f t="shared" si="19"/>
        <v>353.84615384615381</v>
      </c>
      <c r="AO22" s="3">
        <f t="shared" si="20"/>
        <v>2.1999999999999998E-4</v>
      </c>
      <c r="AP22" s="3">
        <f t="shared" si="65"/>
        <v>1.5421145650069858</v>
      </c>
      <c r="AQ22" s="3">
        <f t="shared" si="66"/>
        <v>35.028306389557329</v>
      </c>
      <c r="AR22" s="3">
        <f t="shared" si="21"/>
        <v>6.9230769230769242</v>
      </c>
      <c r="AS22" s="214">
        <f t="shared" si="22"/>
        <v>1.35E-2</v>
      </c>
      <c r="AT22" s="50">
        <f t="shared" si="67"/>
        <v>390.47795207348901</v>
      </c>
      <c r="AU22" s="16">
        <f t="shared" si="24"/>
        <v>3.25E-8</v>
      </c>
      <c r="AV22" s="49">
        <f t="shared" si="25"/>
        <v>4615.3846153846152</v>
      </c>
      <c r="AW22" s="3">
        <f t="shared" si="26"/>
        <v>8.0000000000000002E-3</v>
      </c>
      <c r="AX22" s="49">
        <f t="shared" si="27"/>
        <v>123.07692307692265</v>
      </c>
      <c r="AY22" s="49">
        <f t="shared" si="28"/>
        <v>23296.886565422505</v>
      </c>
      <c r="AZ22" s="49">
        <f t="shared" si="29"/>
        <v>12.30769230769231</v>
      </c>
      <c r="BA22" s="3">
        <f t="shared" si="30"/>
        <v>0.01</v>
      </c>
      <c r="BB22" s="50">
        <f t="shared" si="68"/>
        <v>28035.3508054636</v>
      </c>
      <c r="BC22" s="3">
        <f t="shared" si="31"/>
        <v>5692.3076923076924</v>
      </c>
      <c r="BD22" s="3">
        <f t="shared" si="32"/>
        <v>8.6999999999999994E-3</v>
      </c>
      <c r="BE22" s="3">
        <f t="shared" si="69"/>
        <v>123.07692307692265</v>
      </c>
      <c r="BF22" s="3">
        <f t="shared" si="70"/>
        <v>23296.886565422505</v>
      </c>
      <c r="BG22" s="3">
        <f t="shared" si="33"/>
        <v>12.30769230769231</v>
      </c>
      <c r="BH22" s="214">
        <f t="shared" si="34"/>
        <v>1.35E-2</v>
      </c>
      <c r="BI22" s="50">
        <f t="shared" si="71"/>
        <v>29112.273782451288</v>
      </c>
      <c r="BJ22" s="16">
        <f t="shared" si="36"/>
        <v>3.25E-8</v>
      </c>
      <c r="BK22" s="49">
        <f t="shared" si="37"/>
        <v>4615.3846153846152</v>
      </c>
      <c r="BL22" s="3">
        <f t="shared" si="38"/>
        <v>1E-3</v>
      </c>
      <c r="BM22" s="49">
        <f t="shared" si="39"/>
        <v>30.769230769230663</v>
      </c>
      <c r="BN22" s="49">
        <f t="shared" si="40"/>
        <v>1107.6923076923076</v>
      </c>
      <c r="BO22" s="49">
        <f t="shared" si="41"/>
        <v>6.9230769230769242</v>
      </c>
      <c r="BP22" s="3">
        <f t="shared" si="42"/>
        <v>0.01</v>
      </c>
      <c r="BQ22" s="50">
        <f t="shared" si="72"/>
        <v>5753.8503188061168</v>
      </c>
      <c r="BR22" s="3">
        <f t="shared" si="43"/>
        <v>5153.8461538461534</v>
      </c>
      <c r="BS22" s="3">
        <f t="shared" si="44"/>
        <v>1.175E-3</v>
      </c>
      <c r="BT22" s="3">
        <f t="shared" si="73"/>
        <v>30.769230769230663</v>
      </c>
      <c r="BU22" s="3">
        <f t="shared" si="74"/>
        <v>1107.6923076923076</v>
      </c>
      <c r="BV22" s="3">
        <f t="shared" si="45"/>
        <v>6.9230769230769242</v>
      </c>
      <c r="BW22" s="214">
        <f t="shared" si="46"/>
        <v>1.35E-2</v>
      </c>
      <c r="BX22" s="50">
        <f t="shared" si="75"/>
        <v>6292.3115008597797</v>
      </c>
      <c r="BY22" s="16">
        <f t="shared" si="48"/>
        <v>3.25E-8</v>
      </c>
      <c r="BZ22" s="49">
        <f t="shared" si="49"/>
        <v>769.23076923076917</v>
      </c>
      <c r="CA22" s="3">
        <f t="shared" si="50"/>
        <v>2E-3</v>
      </c>
      <c r="CB22" s="49">
        <f t="shared" si="51"/>
        <v>30.769230769230663</v>
      </c>
      <c r="CC22" s="49">
        <f t="shared" si="52"/>
        <v>0</v>
      </c>
      <c r="CD22" s="49">
        <f t="shared" si="53"/>
        <v>13.846153846153848</v>
      </c>
      <c r="CE22" s="3">
        <f t="shared" si="54"/>
        <v>0.01</v>
      </c>
      <c r="CF22" s="50">
        <f t="shared" si="76"/>
        <v>800.11981357814852</v>
      </c>
      <c r="CG22" s="3">
        <f t="shared" si="55"/>
        <v>1038.4615384615383</v>
      </c>
      <c r="CH22" s="3">
        <f t="shared" si="56"/>
        <v>2.0874999999999999E-3</v>
      </c>
      <c r="CI22" s="3">
        <f t="shared" si="77"/>
        <v>30.769230769230663</v>
      </c>
      <c r="CJ22" s="3">
        <f t="shared" si="78"/>
        <v>0</v>
      </c>
      <c r="CK22" s="3">
        <f t="shared" si="57"/>
        <v>13.846153846153848</v>
      </c>
      <c r="CL22" s="214">
        <f t="shared" si="58"/>
        <v>1.35E-2</v>
      </c>
      <c r="CM22" s="50">
        <f t="shared" si="79"/>
        <v>1069.3204169156975</v>
      </c>
      <c r="CP22" s="57">
        <f>SUM(CP13:CP21)</f>
        <v>0</v>
      </c>
      <c r="CQ22" s="57">
        <f t="shared" ref="CQ22:CT22" si="83">SUM(CQ13:CQ21)</f>
        <v>0</v>
      </c>
      <c r="CR22" s="57">
        <f t="shared" si="83"/>
        <v>0</v>
      </c>
      <c r="CS22" s="57">
        <f t="shared" si="83"/>
        <v>0</v>
      </c>
      <c r="CT22" s="57">
        <f t="shared" si="83"/>
        <v>0</v>
      </c>
      <c r="CV22" s="4" t="b">
        <f t="shared" si="81"/>
        <v>0</v>
      </c>
    </row>
    <row r="23" spans="2:100">
      <c r="B23" s="7" t="s">
        <v>149</v>
      </c>
      <c r="C23" s="8">
        <f>IF(C15="None","",VLOOKUP(C15,'TI Parametric Selection '!$B:$AH,10,FALSE))</f>
        <v>1</v>
      </c>
      <c r="D23" s="8">
        <f>IF(D15="None","",VLOOKUP(D15,'TI Parametric Selection '!$B:$AH,10,FALSE))</f>
        <v>0.1</v>
      </c>
      <c r="E23" s="8">
        <f>IF(E15="None","",VLOOKUP(E15,'TI Parametric Selection '!$B:$AH,10,FALSE))</f>
        <v>1</v>
      </c>
      <c r="F23" s="8">
        <f>IF(F15="None","",VLOOKUP(F15,'TI Parametric Selection '!$B:$AH,10,FALSE))</f>
        <v>0.5</v>
      </c>
      <c r="G23" s="8">
        <f>IF(G15="None","",VLOOKUP(G15,'TI Parametric Selection '!$B:$AH,10,FALSE))</f>
        <v>0.25</v>
      </c>
      <c r="H23" s="15"/>
      <c r="P23" s="116">
        <v>6.9999999999999999E-6</v>
      </c>
      <c r="Q23" s="135">
        <f t="shared" si="0"/>
        <v>3.4999999999999996E-8</v>
      </c>
      <c r="R23" s="49">
        <f t="shared" si="1"/>
        <v>14285.714285714288</v>
      </c>
      <c r="S23" s="3">
        <f t="shared" si="2"/>
        <v>8.0000000000000002E-3</v>
      </c>
      <c r="T23" s="49">
        <f t="shared" si="3"/>
        <v>114.28571428571391</v>
      </c>
      <c r="U23" s="49">
        <f t="shared" si="4"/>
        <v>0</v>
      </c>
      <c r="V23" s="49">
        <f t="shared" si="5"/>
        <v>11.428571428571429</v>
      </c>
      <c r="W23" s="3">
        <f t="shared" si="6"/>
        <v>0.01</v>
      </c>
      <c r="X23" s="50">
        <f t="shared" si="60"/>
        <v>14400.004535152373</v>
      </c>
      <c r="Y23" s="3">
        <f t="shared" si="7"/>
        <v>15285.714285714288</v>
      </c>
      <c r="Z23" s="3">
        <f t="shared" si="8"/>
        <v>8.6999999999999994E-3</v>
      </c>
      <c r="AA23" s="3">
        <f t="shared" si="61"/>
        <v>114.28571428571391</v>
      </c>
      <c r="AB23" s="3">
        <f t="shared" si="62"/>
        <v>0</v>
      </c>
      <c r="AC23" s="3">
        <f t="shared" si="9"/>
        <v>11.428571428571429</v>
      </c>
      <c r="AD23" s="214">
        <f t="shared" si="10"/>
        <v>1.35E-2</v>
      </c>
      <c r="AE23" s="136">
        <f t="shared" si="63"/>
        <v>15400.004240665095</v>
      </c>
      <c r="AF23" s="16">
        <f t="shared" si="12"/>
        <v>3.4999999999999996E-8</v>
      </c>
      <c r="AG23" s="49">
        <f t="shared" si="13"/>
        <v>228.57142857142858</v>
      </c>
      <c r="AH23" s="3">
        <f t="shared" si="14"/>
        <v>1.4999999999999999E-4</v>
      </c>
      <c r="AI23" s="49">
        <f t="shared" si="15"/>
        <v>1.4319635246493441</v>
      </c>
      <c r="AJ23" s="49">
        <f t="shared" si="16"/>
        <v>32.526284504588951</v>
      </c>
      <c r="AK23" s="49">
        <f t="shared" si="17"/>
        <v>6.4285714285714288</v>
      </c>
      <c r="AL23" s="3">
        <f t="shared" si="18"/>
        <v>0.01</v>
      </c>
      <c r="AM23" s="50">
        <f t="shared" si="64"/>
        <v>262.60837329888301</v>
      </c>
      <c r="AN23" s="3">
        <f t="shared" si="19"/>
        <v>328.57142857142861</v>
      </c>
      <c r="AO23" s="3">
        <f t="shared" si="20"/>
        <v>2.1999999999999998E-4</v>
      </c>
      <c r="AP23" s="3">
        <f t="shared" si="65"/>
        <v>1.4319635246493441</v>
      </c>
      <c r="AQ23" s="3">
        <f t="shared" si="66"/>
        <v>32.526284504588951</v>
      </c>
      <c r="AR23" s="3">
        <f t="shared" si="21"/>
        <v>6.4285714285714288</v>
      </c>
      <c r="AS23" s="214">
        <f t="shared" si="22"/>
        <v>1.35E-2</v>
      </c>
      <c r="AT23" s="50">
        <f t="shared" si="67"/>
        <v>362.58666981715527</v>
      </c>
      <c r="AU23" s="16">
        <f t="shared" si="24"/>
        <v>3.4999999999999996E-8</v>
      </c>
      <c r="AV23" s="49">
        <f t="shared" si="25"/>
        <v>4285.7142857142862</v>
      </c>
      <c r="AW23" s="3">
        <f t="shared" si="26"/>
        <v>8.0000000000000002E-3</v>
      </c>
      <c r="AX23" s="49">
        <f t="shared" si="27"/>
        <v>114.28571428571391</v>
      </c>
      <c r="AY23" s="49">
        <f t="shared" si="28"/>
        <v>21632.8232393209</v>
      </c>
      <c r="AZ23" s="49">
        <f t="shared" si="29"/>
        <v>11.428571428571429</v>
      </c>
      <c r="BA23" s="3">
        <f t="shared" si="30"/>
        <v>0.01</v>
      </c>
      <c r="BB23" s="50">
        <f t="shared" si="68"/>
        <v>26032.825747930925</v>
      </c>
      <c r="BC23" s="3">
        <f t="shared" si="31"/>
        <v>5285.7142857142862</v>
      </c>
      <c r="BD23" s="3">
        <f t="shared" si="32"/>
        <v>8.6999999999999994E-3</v>
      </c>
      <c r="BE23" s="3">
        <f t="shared" si="69"/>
        <v>114.28571428571391</v>
      </c>
      <c r="BF23" s="3">
        <f t="shared" si="70"/>
        <v>21632.8232393209</v>
      </c>
      <c r="BG23" s="3">
        <f t="shared" si="33"/>
        <v>11.428571428571429</v>
      </c>
      <c r="BH23" s="214">
        <f t="shared" si="34"/>
        <v>1.35E-2</v>
      </c>
      <c r="BI23" s="50">
        <f t="shared" si="71"/>
        <v>27032.825655133998</v>
      </c>
      <c r="BJ23" s="16">
        <f t="shared" si="36"/>
        <v>3.4999999999999996E-8</v>
      </c>
      <c r="BK23" s="49">
        <f t="shared" si="37"/>
        <v>4285.7142857142862</v>
      </c>
      <c r="BL23" s="3">
        <f t="shared" si="38"/>
        <v>1E-3</v>
      </c>
      <c r="BM23" s="49">
        <f t="shared" si="39"/>
        <v>28.571428571428477</v>
      </c>
      <c r="BN23" s="49">
        <f t="shared" si="40"/>
        <v>1028.5714285714287</v>
      </c>
      <c r="BO23" s="49">
        <f t="shared" si="41"/>
        <v>6.4285714285714288</v>
      </c>
      <c r="BP23" s="3">
        <f t="shared" si="42"/>
        <v>0.01</v>
      </c>
      <c r="BQ23" s="50">
        <f t="shared" si="72"/>
        <v>5342.8610103212686</v>
      </c>
      <c r="BR23" s="3">
        <f t="shared" si="43"/>
        <v>4785.7142857142862</v>
      </c>
      <c r="BS23" s="3">
        <f t="shared" si="44"/>
        <v>1.175E-3</v>
      </c>
      <c r="BT23" s="3">
        <f t="shared" si="73"/>
        <v>28.571428571428477</v>
      </c>
      <c r="BU23" s="3">
        <f t="shared" si="74"/>
        <v>1028.5714285714287</v>
      </c>
      <c r="BV23" s="3">
        <f t="shared" si="45"/>
        <v>6.4285714285714288</v>
      </c>
      <c r="BW23" s="214">
        <f t="shared" si="46"/>
        <v>1.35E-2</v>
      </c>
      <c r="BX23" s="50">
        <f t="shared" si="75"/>
        <v>5842.8606793719609</v>
      </c>
      <c r="BY23" s="16">
        <f t="shared" si="48"/>
        <v>3.4999999999999996E-8</v>
      </c>
      <c r="BZ23" s="49">
        <f t="shared" si="49"/>
        <v>714.28571428571433</v>
      </c>
      <c r="CA23" s="3">
        <f t="shared" si="50"/>
        <v>2E-3</v>
      </c>
      <c r="CB23" s="49">
        <f t="shared" si="51"/>
        <v>28.571428571428477</v>
      </c>
      <c r="CC23" s="49">
        <f t="shared" si="52"/>
        <v>0</v>
      </c>
      <c r="CD23" s="49">
        <f t="shared" si="53"/>
        <v>12.857142857142858</v>
      </c>
      <c r="CE23" s="3">
        <f t="shared" si="54"/>
        <v>0.01</v>
      </c>
      <c r="CF23" s="50">
        <f t="shared" si="76"/>
        <v>742.96839833220793</v>
      </c>
      <c r="CG23" s="3">
        <f t="shared" si="55"/>
        <v>964.28571428571433</v>
      </c>
      <c r="CH23" s="3">
        <f t="shared" si="56"/>
        <v>2.0874999999999999E-3</v>
      </c>
      <c r="CI23" s="3">
        <f t="shared" si="77"/>
        <v>28.571428571428477</v>
      </c>
      <c r="CJ23" s="3">
        <f t="shared" si="78"/>
        <v>0</v>
      </c>
      <c r="CK23" s="3">
        <f t="shared" si="57"/>
        <v>12.857142857142858</v>
      </c>
      <c r="CL23" s="214">
        <f t="shared" si="58"/>
        <v>1.35E-2</v>
      </c>
      <c r="CM23" s="50">
        <f t="shared" si="79"/>
        <v>992.94038714894941</v>
      </c>
      <c r="CP23" s="24"/>
      <c r="CQ23" s="24"/>
      <c r="CR23" s="24"/>
      <c r="CS23" s="24"/>
      <c r="CT23" s="24"/>
      <c r="CV23" s="4" t="b">
        <f t="shared" si="81"/>
        <v>0</v>
      </c>
    </row>
    <row r="24" spans="2:100">
      <c r="B24" s="7" t="str">
        <f>"VOS @ "&amp;$J$12&amp;"°C  (max µV)"</f>
        <v>VOS @ 60°C  (max µV)</v>
      </c>
      <c r="C24" s="8">
        <f>IF(C15="None","",C22+ABS($J$12-25)*C23)</f>
        <v>535</v>
      </c>
      <c r="D24" s="8">
        <f t="shared" ref="D24:G24" si="84">IF(D15="None","",D22+ABS($J$12-25)*D23)</f>
        <v>11.5</v>
      </c>
      <c r="E24" s="8">
        <f t="shared" si="84"/>
        <v>185</v>
      </c>
      <c r="F24" s="8">
        <f t="shared" si="84"/>
        <v>167.5</v>
      </c>
      <c r="G24" s="8">
        <f t="shared" si="84"/>
        <v>33.75</v>
      </c>
      <c r="H24" s="15"/>
      <c r="P24" s="116">
        <v>7.5000000000000002E-6</v>
      </c>
      <c r="Q24" s="135">
        <f t="shared" si="0"/>
        <v>3.7500000000000005E-8</v>
      </c>
      <c r="R24" s="49">
        <f t="shared" si="1"/>
        <v>13333.333333333332</v>
      </c>
      <c r="S24" s="3">
        <f t="shared" si="2"/>
        <v>8.0000000000000002E-3</v>
      </c>
      <c r="T24" s="49">
        <f t="shared" si="3"/>
        <v>106.66666666666629</v>
      </c>
      <c r="U24" s="49">
        <f t="shared" si="4"/>
        <v>0</v>
      </c>
      <c r="V24" s="49">
        <f t="shared" si="5"/>
        <v>10.666666666666668</v>
      </c>
      <c r="W24" s="3">
        <f t="shared" si="6"/>
        <v>0.01</v>
      </c>
      <c r="X24" s="50">
        <f t="shared" si="60"/>
        <v>13440.004232809664</v>
      </c>
      <c r="Y24" s="3">
        <f t="shared" si="7"/>
        <v>14266.666666666666</v>
      </c>
      <c r="Z24" s="3">
        <f t="shared" si="8"/>
        <v>8.6999999999999994E-3</v>
      </c>
      <c r="AA24" s="3">
        <f t="shared" si="61"/>
        <v>106.66666666666629</v>
      </c>
      <c r="AB24" s="3">
        <f t="shared" si="62"/>
        <v>0</v>
      </c>
      <c r="AC24" s="3">
        <f t="shared" si="9"/>
        <v>10.666666666666668</v>
      </c>
      <c r="AD24" s="214">
        <f t="shared" si="10"/>
        <v>1.35E-2</v>
      </c>
      <c r="AE24" s="136">
        <f t="shared" si="63"/>
        <v>14373.337291288575</v>
      </c>
      <c r="AF24" s="16">
        <f t="shared" si="12"/>
        <v>3.7500000000000005E-8</v>
      </c>
      <c r="AG24" s="49">
        <f t="shared" si="13"/>
        <v>213.33333333333329</v>
      </c>
      <c r="AH24" s="3">
        <f t="shared" si="14"/>
        <v>1.4999999999999999E-4</v>
      </c>
      <c r="AI24" s="49">
        <f t="shared" si="15"/>
        <v>1.3364992896727208</v>
      </c>
      <c r="AJ24" s="49">
        <f t="shared" si="16"/>
        <v>30.357865537616345</v>
      </c>
      <c r="AK24" s="49">
        <f t="shared" si="17"/>
        <v>6</v>
      </c>
      <c r="AL24" s="3">
        <f t="shared" si="18"/>
        <v>0.01</v>
      </c>
      <c r="AM24" s="50">
        <f t="shared" si="64"/>
        <v>245.10114843858963</v>
      </c>
      <c r="AN24" s="3">
        <f t="shared" si="19"/>
        <v>306.66666666666663</v>
      </c>
      <c r="AO24" s="3">
        <f t="shared" si="20"/>
        <v>2.1999999999999998E-4</v>
      </c>
      <c r="AP24" s="3">
        <f t="shared" si="65"/>
        <v>1.3364992896727208</v>
      </c>
      <c r="AQ24" s="3">
        <f t="shared" si="66"/>
        <v>30.357865537616345</v>
      </c>
      <c r="AR24" s="3">
        <f t="shared" si="21"/>
        <v>6</v>
      </c>
      <c r="AS24" s="214">
        <f t="shared" si="22"/>
        <v>1.35E-2</v>
      </c>
      <c r="AT24" s="50">
        <f t="shared" si="67"/>
        <v>338.41422519739336</v>
      </c>
      <c r="AU24" s="16">
        <f t="shared" si="24"/>
        <v>3.7500000000000005E-8</v>
      </c>
      <c r="AV24" s="49">
        <f t="shared" si="25"/>
        <v>3999.9999999999991</v>
      </c>
      <c r="AW24" s="3">
        <f t="shared" si="26"/>
        <v>8.0000000000000002E-3</v>
      </c>
      <c r="AX24" s="49">
        <f t="shared" si="27"/>
        <v>106.66666666666629</v>
      </c>
      <c r="AY24" s="49">
        <f t="shared" si="28"/>
        <v>20190.635023366169</v>
      </c>
      <c r="AZ24" s="49">
        <f t="shared" si="29"/>
        <v>10.666666666666668</v>
      </c>
      <c r="BA24" s="3">
        <f t="shared" si="30"/>
        <v>0.01</v>
      </c>
      <c r="BB24" s="50">
        <f t="shared" si="68"/>
        <v>24297.304031402622</v>
      </c>
      <c r="BC24" s="3">
        <f t="shared" si="31"/>
        <v>4933.3333333333321</v>
      </c>
      <c r="BD24" s="3">
        <f t="shared" si="32"/>
        <v>8.6999999999999994E-3</v>
      </c>
      <c r="BE24" s="3">
        <f t="shared" si="69"/>
        <v>106.66666666666629</v>
      </c>
      <c r="BF24" s="3">
        <f t="shared" si="70"/>
        <v>20190.635023366169</v>
      </c>
      <c r="BG24" s="3">
        <f t="shared" si="33"/>
        <v>10.666666666666668</v>
      </c>
      <c r="BH24" s="214">
        <f t="shared" si="34"/>
        <v>1.35E-2</v>
      </c>
      <c r="BI24" s="50">
        <f t="shared" si="71"/>
        <v>25230.63727812572</v>
      </c>
      <c r="BJ24" s="16">
        <f t="shared" si="36"/>
        <v>3.7500000000000005E-8</v>
      </c>
      <c r="BK24" s="49">
        <f t="shared" si="37"/>
        <v>3999.9999999999991</v>
      </c>
      <c r="BL24" s="3">
        <f t="shared" si="38"/>
        <v>1E-3</v>
      </c>
      <c r="BM24" s="49">
        <f t="shared" si="39"/>
        <v>26.666666666666572</v>
      </c>
      <c r="BN24" s="49">
        <f t="shared" si="40"/>
        <v>959.99999999999989</v>
      </c>
      <c r="BO24" s="49">
        <f t="shared" si="41"/>
        <v>6</v>
      </c>
      <c r="BP24" s="3">
        <f t="shared" si="42"/>
        <v>0.01</v>
      </c>
      <c r="BQ24" s="50">
        <f t="shared" si="72"/>
        <v>4986.6702763011544</v>
      </c>
      <c r="BR24" s="3">
        <f t="shared" si="43"/>
        <v>4466.6666666666661</v>
      </c>
      <c r="BS24" s="3">
        <f t="shared" si="44"/>
        <v>1.175E-3</v>
      </c>
      <c r="BT24" s="3">
        <f t="shared" si="73"/>
        <v>26.666666666666572</v>
      </c>
      <c r="BU24" s="3">
        <f t="shared" si="74"/>
        <v>959.99999999999989</v>
      </c>
      <c r="BV24" s="3">
        <f t="shared" si="45"/>
        <v>6</v>
      </c>
      <c r="BW24" s="214">
        <f t="shared" si="46"/>
        <v>1.35E-2</v>
      </c>
      <c r="BX24" s="50">
        <f t="shared" si="75"/>
        <v>5453.3366340826669</v>
      </c>
      <c r="BY24" s="16">
        <f t="shared" si="48"/>
        <v>3.7500000000000005E-8</v>
      </c>
      <c r="BZ24" s="49">
        <f t="shared" si="49"/>
        <v>666.66666666666652</v>
      </c>
      <c r="CA24" s="3">
        <f t="shared" si="50"/>
        <v>2E-3</v>
      </c>
      <c r="CB24" s="49">
        <f t="shared" si="51"/>
        <v>26.666666666666572</v>
      </c>
      <c r="CC24" s="49">
        <f t="shared" si="52"/>
        <v>0</v>
      </c>
      <c r="CD24" s="49">
        <f t="shared" si="53"/>
        <v>12</v>
      </c>
      <c r="CE24" s="3">
        <f t="shared" si="54"/>
        <v>0.01</v>
      </c>
      <c r="CF24" s="50">
        <f t="shared" si="76"/>
        <v>693.43717178639235</v>
      </c>
      <c r="CG24" s="3">
        <f t="shared" si="55"/>
        <v>899.99999999999977</v>
      </c>
      <c r="CH24" s="3">
        <f t="shared" si="56"/>
        <v>2.0874999999999999E-3</v>
      </c>
      <c r="CI24" s="3">
        <f t="shared" si="77"/>
        <v>26.666666666666572</v>
      </c>
      <c r="CJ24" s="3">
        <f t="shared" si="78"/>
        <v>0</v>
      </c>
      <c r="CK24" s="3">
        <f t="shared" si="57"/>
        <v>12</v>
      </c>
      <c r="CL24" s="214">
        <f t="shared" si="58"/>
        <v>1.35E-2</v>
      </c>
      <c r="CM24" s="50">
        <f t="shared" si="79"/>
        <v>926.74436135199562</v>
      </c>
      <c r="CO24" s="22" t="s">
        <v>178</v>
      </c>
      <c r="CP24" s="58"/>
      <c r="CQ24" s="58"/>
      <c r="CR24" s="58"/>
      <c r="CS24" s="58"/>
      <c r="CT24" s="58">
        <f>IF(C8=2, SUM(CP27:CQ28,CP31:CQ32), IF(C8=3, SUM(CP27:CR28,CP31:CR32),IF(C8=4, SUM(CP27:CS28,CP31:CS32),SUM(CP27:CT28,CP31:CT32))))</f>
        <v>0</v>
      </c>
      <c r="CV24" s="4" t="b">
        <f t="shared" si="81"/>
        <v>0</v>
      </c>
    </row>
    <row r="25" spans="2:100">
      <c r="B25" s="7" t="s">
        <v>16</v>
      </c>
      <c r="C25" s="23">
        <f>IF(C15="None","",VLOOKUP(C15,'TI Parametric Selection '!$B:$AH,11,FALSE))</f>
        <v>84</v>
      </c>
      <c r="D25" s="23">
        <f>IF(D15="None","",VLOOKUP(D15,'TI Parametric Selection '!$B:$AH,11,FALSE))</f>
        <v>150</v>
      </c>
      <c r="E25" s="23">
        <f>IF(E15="None","",VLOOKUP(E15,'TI Parametric Selection '!$B:$AH,11,FALSE))</f>
        <v>84</v>
      </c>
      <c r="F25" s="23">
        <f>IF(F15="None","",VLOOKUP(F15,'TI Parametric Selection '!$B:$AH,11,FALSE))</f>
        <v>120</v>
      </c>
      <c r="G25" s="23">
        <f>IF(G15="None","",VLOOKUP(G15,'TI Parametric Selection '!$B:$AH,11,FALSE))</f>
        <v>120</v>
      </c>
      <c r="H25" s="15"/>
      <c r="P25" s="116">
        <v>7.9999999999999996E-6</v>
      </c>
      <c r="Q25" s="135">
        <f t="shared" si="0"/>
        <v>3.9999999999999994E-8</v>
      </c>
      <c r="R25" s="49">
        <f t="shared" si="1"/>
        <v>12500.000000000002</v>
      </c>
      <c r="S25" s="3">
        <f t="shared" si="2"/>
        <v>8.0000000000000002E-3</v>
      </c>
      <c r="T25" s="49">
        <f t="shared" si="3"/>
        <v>99.999999999999673</v>
      </c>
      <c r="U25" s="49">
        <f t="shared" si="4"/>
        <v>0</v>
      </c>
      <c r="V25" s="49">
        <f t="shared" si="5"/>
        <v>10.000000000000002</v>
      </c>
      <c r="W25" s="3">
        <f t="shared" si="6"/>
        <v>0.01</v>
      </c>
      <c r="X25" s="50">
        <f t="shared" si="60"/>
        <v>12600.003968259853</v>
      </c>
      <c r="Y25" s="3">
        <f t="shared" si="7"/>
        <v>13375.000000000002</v>
      </c>
      <c r="Z25" s="3">
        <f t="shared" si="8"/>
        <v>8.6999999999999994E-3</v>
      </c>
      <c r="AA25" s="3">
        <f t="shared" si="61"/>
        <v>99.999999999999673</v>
      </c>
      <c r="AB25" s="3">
        <f t="shared" si="62"/>
        <v>0</v>
      </c>
      <c r="AC25" s="3">
        <f t="shared" si="9"/>
        <v>10.000000000000002</v>
      </c>
      <c r="AD25" s="214">
        <f t="shared" si="10"/>
        <v>1.35E-2</v>
      </c>
      <c r="AE25" s="136">
        <f t="shared" si="63"/>
        <v>13475.003710584202</v>
      </c>
      <c r="AF25" s="16">
        <f t="shared" si="12"/>
        <v>3.9999999999999994E-8</v>
      </c>
      <c r="AG25" s="49">
        <f t="shared" si="13"/>
        <v>200.00000000000003</v>
      </c>
      <c r="AH25" s="3">
        <f t="shared" si="14"/>
        <v>1.4999999999999999E-4</v>
      </c>
      <c r="AI25" s="49">
        <f t="shared" si="15"/>
        <v>1.2529680840681761</v>
      </c>
      <c r="AJ25" s="49">
        <f t="shared" si="16"/>
        <v>28.460498941515333</v>
      </c>
      <c r="AK25" s="49">
        <f t="shared" si="17"/>
        <v>5.6250000000000009</v>
      </c>
      <c r="AL25" s="3">
        <f t="shared" si="18"/>
        <v>0.01</v>
      </c>
      <c r="AM25" s="50">
        <f t="shared" si="64"/>
        <v>229.78232668753347</v>
      </c>
      <c r="AN25" s="3">
        <f t="shared" si="19"/>
        <v>287.50000000000006</v>
      </c>
      <c r="AO25" s="3">
        <f t="shared" si="20"/>
        <v>2.1999999999999998E-4</v>
      </c>
      <c r="AP25" s="3">
        <f t="shared" si="65"/>
        <v>1.2529680840681761</v>
      </c>
      <c r="AQ25" s="3">
        <f t="shared" si="66"/>
        <v>28.460498941515333</v>
      </c>
      <c r="AR25" s="3">
        <f t="shared" si="21"/>
        <v>5.6250000000000009</v>
      </c>
      <c r="AS25" s="214">
        <f t="shared" si="22"/>
        <v>1.35E-2</v>
      </c>
      <c r="AT25" s="50">
        <f t="shared" si="67"/>
        <v>317.26333615734643</v>
      </c>
      <c r="AU25" s="16">
        <f t="shared" si="24"/>
        <v>3.9999999999999994E-8</v>
      </c>
      <c r="AV25" s="49">
        <f t="shared" si="25"/>
        <v>3750</v>
      </c>
      <c r="AW25" s="3">
        <f t="shared" si="26"/>
        <v>8.0000000000000002E-3</v>
      </c>
      <c r="AX25" s="49">
        <f t="shared" si="27"/>
        <v>99.999999999999673</v>
      </c>
      <c r="AY25" s="49">
        <f t="shared" si="28"/>
        <v>18928.720334405789</v>
      </c>
      <c r="AZ25" s="49">
        <f t="shared" si="29"/>
        <v>10.000000000000002</v>
      </c>
      <c r="BA25" s="3">
        <f t="shared" si="30"/>
        <v>0.01</v>
      </c>
      <c r="BB25" s="50">
        <f t="shared" si="68"/>
        <v>22778.722529440405</v>
      </c>
      <c r="BC25" s="3">
        <f t="shared" si="31"/>
        <v>4625</v>
      </c>
      <c r="BD25" s="3">
        <f t="shared" si="32"/>
        <v>8.6999999999999994E-3</v>
      </c>
      <c r="BE25" s="3">
        <f t="shared" si="69"/>
        <v>99.999999999999673</v>
      </c>
      <c r="BF25" s="3">
        <f t="shared" si="70"/>
        <v>18928.720334405789</v>
      </c>
      <c r="BG25" s="3">
        <f t="shared" si="33"/>
        <v>10.000000000000002</v>
      </c>
      <c r="BH25" s="214">
        <f t="shared" si="34"/>
        <v>1.35E-2</v>
      </c>
      <c r="BI25" s="50">
        <f t="shared" si="71"/>
        <v>23653.72244824353</v>
      </c>
      <c r="BJ25" s="16">
        <f t="shared" si="36"/>
        <v>3.9999999999999994E-8</v>
      </c>
      <c r="BK25" s="49">
        <f t="shared" si="37"/>
        <v>3750</v>
      </c>
      <c r="BL25" s="3">
        <f t="shared" si="38"/>
        <v>1E-3</v>
      </c>
      <c r="BM25" s="49">
        <f t="shared" si="39"/>
        <v>24.999999999999918</v>
      </c>
      <c r="BN25" s="49">
        <f t="shared" si="40"/>
        <v>900.00000000000011</v>
      </c>
      <c r="BO25" s="49">
        <f t="shared" si="41"/>
        <v>5.6250000000000009</v>
      </c>
      <c r="BP25" s="3">
        <f t="shared" si="42"/>
        <v>0.01</v>
      </c>
      <c r="BQ25" s="50">
        <f t="shared" si="72"/>
        <v>4675.0033840336419</v>
      </c>
      <c r="BR25" s="3">
        <f t="shared" si="43"/>
        <v>4187.5</v>
      </c>
      <c r="BS25" s="3">
        <f t="shared" si="44"/>
        <v>1.175E-3</v>
      </c>
      <c r="BT25" s="3">
        <f t="shared" si="73"/>
        <v>24.999999999999918</v>
      </c>
      <c r="BU25" s="3">
        <f t="shared" si="74"/>
        <v>900.00000000000011</v>
      </c>
      <c r="BV25" s="3">
        <f t="shared" si="45"/>
        <v>5.6250000000000009</v>
      </c>
      <c r="BW25" s="214">
        <f t="shared" si="46"/>
        <v>1.35E-2</v>
      </c>
      <c r="BX25" s="50">
        <f t="shared" si="75"/>
        <v>5112.5030944546752</v>
      </c>
      <c r="BY25" s="16">
        <f t="shared" si="48"/>
        <v>3.9999999999999994E-8</v>
      </c>
      <c r="BZ25" s="49">
        <f t="shared" si="49"/>
        <v>625</v>
      </c>
      <c r="CA25" s="3">
        <f t="shared" si="50"/>
        <v>2E-3</v>
      </c>
      <c r="CB25" s="49">
        <f t="shared" si="51"/>
        <v>24.999999999999918</v>
      </c>
      <c r="CC25" s="49">
        <f t="shared" si="52"/>
        <v>0</v>
      </c>
      <c r="CD25" s="49">
        <f t="shared" si="53"/>
        <v>11.250000000000002</v>
      </c>
      <c r="CE25" s="3">
        <f t="shared" si="54"/>
        <v>0.01</v>
      </c>
      <c r="CF25" s="50">
        <f t="shared" si="76"/>
        <v>650.09734855942907</v>
      </c>
      <c r="CG25" s="3">
        <f t="shared" si="55"/>
        <v>843.75</v>
      </c>
      <c r="CH25" s="3">
        <f t="shared" si="56"/>
        <v>2.0874999999999999E-3</v>
      </c>
      <c r="CI25" s="3">
        <f t="shared" si="77"/>
        <v>24.999999999999918</v>
      </c>
      <c r="CJ25" s="3">
        <f t="shared" si="78"/>
        <v>0</v>
      </c>
      <c r="CK25" s="3">
        <f t="shared" si="57"/>
        <v>11.250000000000002</v>
      </c>
      <c r="CL25" s="214">
        <f t="shared" si="58"/>
        <v>1.35E-2</v>
      </c>
      <c r="CM25" s="50">
        <f t="shared" si="79"/>
        <v>868.82283878050043</v>
      </c>
      <c r="CO25" s="4" t="s">
        <v>171</v>
      </c>
      <c r="CP25" s="24">
        <f>VLOOKUP(C15,'TI Parametric Selection '!$B:$BA,3,FALSE)</f>
        <v>26</v>
      </c>
      <c r="CQ25" s="24">
        <f>VLOOKUP(D15,'TI Parametric Selection '!$B:$BA,3,FALSE)</f>
        <v>110</v>
      </c>
      <c r="CR25" s="24">
        <f>VLOOKUP(E15,'TI Parametric Selection '!$B:$BA,3,FALSE)</f>
        <v>26</v>
      </c>
      <c r="CS25" s="24">
        <f>VLOOKUP(F15,'TI Parametric Selection '!$B:$BA,3,FALSE)</f>
        <v>110</v>
      </c>
      <c r="CT25" s="24">
        <f>VLOOKUP(G15,'TI Parametric Selection '!$B:$BA,3,FALSE)</f>
        <v>80</v>
      </c>
      <c r="CV25" s="4" t="b">
        <f t="shared" si="81"/>
        <v>0</v>
      </c>
    </row>
    <row r="26" spans="2:100">
      <c r="B26" s="7" t="s">
        <v>19</v>
      </c>
      <c r="C26" s="23">
        <f>IF(C15="None", "", VLOOKUP(C15,'TI Parametric Selection '!$B:$AH,13,FALSE))</f>
        <v>87.95880017344075</v>
      </c>
      <c r="D26" s="23">
        <f>IF(D15="None", "", VLOOKUP(D15,'TI Parametric Selection '!$B:$AH,13,FALSE))</f>
        <v>126</v>
      </c>
      <c r="E26" s="23">
        <f>IF(E15="None", "", VLOOKUP(E15,'TI Parametric Selection '!$B:$AH,13,FALSE))</f>
        <v>87.95880017344075</v>
      </c>
      <c r="F26" s="23">
        <f>IF(F15="None", "", VLOOKUP(F15,'TI Parametric Selection '!$B:$AH,13,FALSE))</f>
        <v>100</v>
      </c>
      <c r="G26" s="23">
        <f>IF(G15="None", "", VLOOKUP(G15,'TI Parametric Selection '!$B:$AH,13,FALSE))</f>
        <v>100</v>
      </c>
      <c r="H26" s="15"/>
      <c r="P26" s="116">
        <v>8.4999999999999999E-6</v>
      </c>
      <c r="Q26" s="135">
        <f t="shared" si="0"/>
        <v>4.2500000000000003E-8</v>
      </c>
      <c r="R26" s="49">
        <f t="shared" si="1"/>
        <v>11764.705882352941</v>
      </c>
      <c r="S26" s="3">
        <f t="shared" si="2"/>
        <v>8.0000000000000002E-3</v>
      </c>
      <c r="T26" s="49">
        <f t="shared" si="3"/>
        <v>94.117647058823195</v>
      </c>
      <c r="U26" s="49">
        <f t="shared" si="4"/>
        <v>0</v>
      </c>
      <c r="V26" s="49">
        <f t="shared" si="5"/>
        <v>9.4117647058823533</v>
      </c>
      <c r="W26" s="3">
        <f t="shared" si="6"/>
        <v>0.01</v>
      </c>
      <c r="X26" s="50">
        <f t="shared" si="60"/>
        <v>11858.827264245354</v>
      </c>
      <c r="Y26" s="3">
        <f t="shared" si="7"/>
        <v>12588.235294117647</v>
      </c>
      <c r="Z26" s="3">
        <f t="shared" si="8"/>
        <v>8.6999999999999994E-3</v>
      </c>
      <c r="AA26" s="3">
        <f t="shared" si="61"/>
        <v>94.117647058823195</v>
      </c>
      <c r="AB26" s="3">
        <f t="shared" si="62"/>
        <v>0</v>
      </c>
      <c r="AC26" s="3">
        <f t="shared" si="9"/>
        <v>9.4117647058823533</v>
      </c>
      <c r="AD26" s="214">
        <f t="shared" si="10"/>
        <v>1.35E-2</v>
      </c>
      <c r="AE26" s="136">
        <f t="shared" si="63"/>
        <v>12682.356433492172</v>
      </c>
      <c r="AF26" s="16">
        <f t="shared" si="12"/>
        <v>4.2500000000000003E-8</v>
      </c>
      <c r="AG26" s="49">
        <f t="shared" si="13"/>
        <v>188.23529411764704</v>
      </c>
      <c r="AH26" s="3">
        <f t="shared" si="14"/>
        <v>1.4999999999999999E-4</v>
      </c>
      <c r="AI26" s="49">
        <f t="shared" si="15"/>
        <v>1.1792640791229891</v>
      </c>
      <c r="AJ26" s="49">
        <f t="shared" si="16"/>
        <v>26.786351944955602</v>
      </c>
      <c r="AK26" s="49">
        <f t="shared" si="17"/>
        <v>5.2941176470588243</v>
      </c>
      <c r="AL26" s="3">
        <f t="shared" si="18"/>
        <v>0.01</v>
      </c>
      <c r="AM26" s="50">
        <f t="shared" si="64"/>
        <v>216.26571926173116</v>
      </c>
      <c r="AN26" s="3">
        <f t="shared" si="19"/>
        <v>270.58823529411762</v>
      </c>
      <c r="AO26" s="3">
        <f t="shared" si="20"/>
        <v>2.1999999999999998E-4</v>
      </c>
      <c r="AP26" s="3">
        <f t="shared" si="65"/>
        <v>1.1792640791229891</v>
      </c>
      <c r="AQ26" s="3">
        <f t="shared" si="66"/>
        <v>26.786351944955602</v>
      </c>
      <c r="AR26" s="3">
        <f t="shared" si="21"/>
        <v>5.2941176470588243</v>
      </c>
      <c r="AS26" s="214">
        <f t="shared" si="22"/>
        <v>1.35E-2</v>
      </c>
      <c r="AT26" s="50">
        <f t="shared" si="67"/>
        <v>298.60078700647614</v>
      </c>
      <c r="AU26" s="16">
        <f t="shared" si="24"/>
        <v>4.2500000000000003E-8</v>
      </c>
      <c r="AV26" s="49">
        <f t="shared" si="25"/>
        <v>3529.411764705882</v>
      </c>
      <c r="AW26" s="3">
        <f t="shared" si="26"/>
        <v>8.0000000000000002E-3</v>
      </c>
      <c r="AX26" s="49">
        <f t="shared" si="27"/>
        <v>94.117647058823195</v>
      </c>
      <c r="AY26" s="49">
        <f t="shared" si="28"/>
        <v>17815.266197087796</v>
      </c>
      <c r="AZ26" s="49">
        <f t="shared" si="29"/>
        <v>9.4117647058823533</v>
      </c>
      <c r="BA26" s="3">
        <f t="shared" si="30"/>
        <v>0.01</v>
      </c>
      <c r="BB26" s="50">
        <f t="shared" si="68"/>
        <v>21438.797674767869</v>
      </c>
      <c r="BC26" s="3">
        <f t="shared" si="31"/>
        <v>4352.9411764705874</v>
      </c>
      <c r="BD26" s="3">
        <f t="shared" si="32"/>
        <v>8.6999999999999994E-3</v>
      </c>
      <c r="BE26" s="3">
        <f t="shared" si="69"/>
        <v>94.117647058823195</v>
      </c>
      <c r="BF26" s="3">
        <f t="shared" si="70"/>
        <v>17815.266197087796</v>
      </c>
      <c r="BG26" s="3">
        <f t="shared" si="33"/>
        <v>9.4117647058823533</v>
      </c>
      <c r="BH26" s="214">
        <f t="shared" si="34"/>
        <v>1.35E-2</v>
      </c>
      <c r="BI26" s="50">
        <f t="shared" si="71"/>
        <v>22262.327010112214</v>
      </c>
      <c r="BJ26" s="16">
        <f t="shared" si="36"/>
        <v>4.2500000000000003E-8</v>
      </c>
      <c r="BK26" s="49">
        <f t="shared" si="37"/>
        <v>3529.411764705882</v>
      </c>
      <c r="BL26" s="3">
        <f t="shared" si="38"/>
        <v>1E-3</v>
      </c>
      <c r="BM26" s="49">
        <f t="shared" si="39"/>
        <v>23.529411764705799</v>
      </c>
      <c r="BN26" s="49">
        <f t="shared" si="40"/>
        <v>847.05882352941171</v>
      </c>
      <c r="BO26" s="49">
        <f t="shared" si="41"/>
        <v>5.2941176470588243</v>
      </c>
      <c r="BP26" s="3">
        <f t="shared" si="42"/>
        <v>0.01</v>
      </c>
      <c r="BQ26" s="50">
        <f t="shared" si="72"/>
        <v>4400.0031849741499</v>
      </c>
      <c r="BR26" s="3">
        <f t="shared" si="43"/>
        <v>3941.1764705882347</v>
      </c>
      <c r="BS26" s="3">
        <f t="shared" si="44"/>
        <v>1.175E-3</v>
      </c>
      <c r="BT26" s="3">
        <f t="shared" si="73"/>
        <v>23.529411764705799</v>
      </c>
      <c r="BU26" s="3">
        <f t="shared" si="74"/>
        <v>847.05882352941171</v>
      </c>
      <c r="BV26" s="3">
        <f t="shared" si="45"/>
        <v>5.2941176470588243</v>
      </c>
      <c r="BW26" s="214">
        <f t="shared" si="46"/>
        <v>1.35E-2</v>
      </c>
      <c r="BX26" s="50">
        <f t="shared" si="75"/>
        <v>4811.7676183124604</v>
      </c>
      <c r="BY26" s="16">
        <f t="shared" si="48"/>
        <v>4.2500000000000003E-8</v>
      </c>
      <c r="BZ26" s="49">
        <f t="shared" si="49"/>
        <v>588.23529411764696</v>
      </c>
      <c r="CA26" s="3">
        <f t="shared" si="50"/>
        <v>2E-3</v>
      </c>
      <c r="CB26" s="49">
        <f t="shared" si="51"/>
        <v>23.529411764705799</v>
      </c>
      <c r="CC26" s="49">
        <f t="shared" si="52"/>
        <v>0</v>
      </c>
      <c r="CD26" s="49">
        <f t="shared" si="53"/>
        <v>10.588235294117649</v>
      </c>
      <c r="CE26" s="3">
        <f t="shared" si="54"/>
        <v>0.01</v>
      </c>
      <c r="CF26" s="50">
        <f t="shared" si="76"/>
        <v>611.85632806563751</v>
      </c>
      <c r="CG26" s="3">
        <f t="shared" si="55"/>
        <v>794.11764705882342</v>
      </c>
      <c r="CH26" s="3">
        <f t="shared" si="56"/>
        <v>2.0874999999999999E-3</v>
      </c>
      <c r="CI26" s="3">
        <f t="shared" si="77"/>
        <v>23.529411764705799</v>
      </c>
      <c r="CJ26" s="3">
        <f t="shared" si="78"/>
        <v>0</v>
      </c>
      <c r="CK26" s="3">
        <f t="shared" si="57"/>
        <v>10.588235294117649</v>
      </c>
      <c r="CL26" s="214">
        <f t="shared" si="58"/>
        <v>1.35E-2</v>
      </c>
      <c r="CM26" s="50">
        <f t="shared" si="79"/>
        <v>817.71561298291181</v>
      </c>
      <c r="CO26" s="4" t="s">
        <v>172</v>
      </c>
      <c r="CP26" s="24">
        <f>VLOOKUP(C15,'TI Parametric Selection '!$B:$BA,2,FALSE)</f>
        <v>-0.2</v>
      </c>
      <c r="CQ26" s="24">
        <f>VLOOKUP(D15,'TI Parametric Selection '!$B:$BA,2,FALSE)</f>
        <v>-5</v>
      </c>
      <c r="CR26" s="24">
        <f>VLOOKUP(E15,'TI Parametric Selection '!$B:$BA,2,FALSE)</f>
        <v>-0.2</v>
      </c>
      <c r="CS26" s="24">
        <f>VLOOKUP(F15,'TI Parametric Selection '!$B:$BA,2,FALSE)</f>
        <v>-5</v>
      </c>
      <c r="CT26" s="24">
        <f>VLOOKUP(G15,'TI Parametric Selection '!$B:$BA,2,FALSE)</f>
        <v>-4</v>
      </c>
      <c r="CV26" s="4" t="b">
        <f t="shared" si="81"/>
        <v>0</v>
      </c>
    </row>
    <row r="27" spans="2:100">
      <c r="B27" s="7" t="s">
        <v>347</v>
      </c>
      <c r="C27" s="6" t="str">
        <f>IF(C15="None", "", VLOOKUP(C15,'TI Parametric Selection '!$B:$AH,15,FALSE)&amp;" V to "&amp;VLOOKUP(C15,'TI Parametric Selection '!$B:$AH,16,FALSE)&amp;" V")</f>
        <v>2,7 V to 5,5 V</v>
      </c>
      <c r="D27" s="6" t="str">
        <f>IF(D15="None", "", VLOOKUP(D15,'TI Parametric Selection '!$B:$AH,15,FALSE)&amp;" V to "&amp;VLOOKUP(D15,'TI Parametric Selection '!$B:$AH,16,FALSE)&amp;" V")</f>
        <v>2,7 V to 20 V</v>
      </c>
      <c r="E27" s="6" t="str">
        <f>IF(E15="None", "", VLOOKUP(E15,'TI Parametric Selection '!$B:$AH,15,FALSE)&amp;" V to "&amp;VLOOKUP(E15,'TI Parametric Selection '!$B:$AH,16,FALSE)&amp;" V")</f>
        <v>2,7 V to 5,5 V</v>
      </c>
      <c r="F27" s="6" t="str">
        <f>IF(F15="None", "", VLOOKUP(F15,'TI Parametric Selection '!$B:$AH,15,FALSE)&amp;" V to "&amp;VLOOKUP(F15,'TI Parametric Selection '!$B:$AH,16,FALSE)&amp;" V")</f>
        <v>2,7 V to 20 V</v>
      </c>
      <c r="G27" s="6" t="str">
        <f>IF(G15="None", "", VLOOKUP(G15,'TI Parametric Selection '!$B:$AH,15,FALSE)&amp;" V to "&amp;VLOOKUP(G15,'TI Parametric Selection '!$B:$AH,16,FALSE)&amp;" V")</f>
        <v>2,7 V to 5,5 V</v>
      </c>
      <c r="H27" s="15"/>
      <c r="P27" s="116">
        <v>9.0000000000000002E-6</v>
      </c>
      <c r="Q27" s="135">
        <f t="shared" si="0"/>
        <v>4.5000000000000006E-8</v>
      </c>
      <c r="R27" s="49">
        <f t="shared" si="1"/>
        <v>11111.111111111109</v>
      </c>
      <c r="S27" s="3">
        <f t="shared" si="2"/>
        <v>8.0000000000000002E-3</v>
      </c>
      <c r="T27" s="49">
        <f t="shared" si="3"/>
        <v>88.888888888888573</v>
      </c>
      <c r="U27" s="49">
        <f t="shared" si="4"/>
        <v>0</v>
      </c>
      <c r="V27" s="49">
        <f t="shared" si="5"/>
        <v>8.8888888888888893</v>
      </c>
      <c r="W27" s="3">
        <f t="shared" si="6"/>
        <v>0.01</v>
      </c>
      <c r="X27" s="50">
        <f t="shared" si="60"/>
        <v>11200.003527343624</v>
      </c>
      <c r="Y27" s="3">
        <f t="shared" si="7"/>
        <v>11888.888888888887</v>
      </c>
      <c r="Z27" s="3">
        <f t="shared" si="8"/>
        <v>8.6999999999999994E-3</v>
      </c>
      <c r="AA27" s="3">
        <f t="shared" si="61"/>
        <v>88.888888888888573</v>
      </c>
      <c r="AB27" s="3">
        <f t="shared" si="62"/>
        <v>0</v>
      </c>
      <c r="AC27" s="3">
        <f t="shared" si="9"/>
        <v>8.8888888888888893</v>
      </c>
      <c r="AD27" s="214">
        <f t="shared" si="10"/>
        <v>1.35E-2</v>
      </c>
      <c r="AE27" s="136">
        <f t="shared" si="63"/>
        <v>11977.781076077101</v>
      </c>
      <c r="AF27" s="16">
        <f t="shared" si="12"/>
        <v>4.5000000000000006E-8</v>
      </c>
      <c r="AG27" s="49">
        <f t="shared" si="13"/>
        <v>177.77777777777774</v>
      </c>
      <c r="AH27" s="3">
        <f t="shared" si="14"/>
        <v>1.4999999999999999E-4</v>
      </c>
      <c r="AI27" s="49">
        <f t="shared" si="15"/>
        <v>1.1137494080606007</v>
      </c>
      <c r="AJ27" s="49">
        <f t="shared" si="16"/>
        <v>25.298221281346954</v>
      </c>
      <c r="AK27" s="49">
        <f t="shared" si="17"/>
        <v>5</v>
      </c>
      <c r="AL27" s="3">
        <f t="shared" si="18"/>
        <v>0.01</v>
      </c>
      <c r="AM27" s="50">
        <f t="shared" si="64"/>
        <v>204.25095710697394</v>
      </c>
      <c r="AN27" s="3">
        <f t="shared" si="19"/>
        <v>255.55555555555551</v>
      </c>
      <c r="AO27" s="3">
        <f t="shared" si="20"/>
        <v>2.1999999999999998E-4</v>
      </c>
      <c r="AP27" s="3">
        <f t="shared" si="65"/>
        <v>1.1137494080606007</v>
      </c>
      <c r="AQ27" s="3">
        <f t="shared" si="66"/>
        <v>25.298221281346954</v>
      </c>
      <c r="AR27" s="3">
        <f t="shared" si="21"/>
        <v>5</v>
      </c>
      <c r="AS27" s="214">
        <f t="shared" si="22"/>
        <v>1.35E-2</v>
      </c>
      <c r="AT27" s="50">
        <f t="shared" si="67"/>
        <v>282.01185442991994</v>
      </c>
      <c r="AU27" s="16">
        <f t="shared" si="24"/>
        <v>4.5000000000000006E-8</v>
      </c>
      <c r="AV27" s="49">
        <f t="shared" si="25"/>
        <v>3333.3333333333326</v>
      </c>
      <c r="AW27" s="3">
        <f t="shared" si="26"/>
        <v>8.0000000000000002E-3</v>
      </c>
      <c r="AX27" s="49">
        <f t="shared" si="27"/>
        <v>88.888888888888573</v>
      </c>
      <c r="AY27" s="49">
        <f t="shared" si="28"/>
        <v>16825.529186138472</v>
      </c>
      <c r="AZ27" s="49">
        <f t="shared" si="29"/>
        <v>8.8888888888888893</v>
      </c>
      <c r="BA27" s="3">
        <f t="shared" si="30"/>
        <v>0.01</v>
      </c>
      <c r="BB27" s="50">
        <f t="shared" si="68"/>
        <v>20247.753359503426</v>
      </c>
      <c r="BC27" s="3">
        <f t="shared" si="31"/>
        <v>4111.1111111111104</v>
      </c>
      <c r="BD27" s="3">
        <f t="shared" si="32"/>
        <v>8.6999999999999994E-3</v>
      </c>
      <c r="BE27" s="3">
        <f t="shared" si="69"/>
        <v>88.888888888888573</v>
      </c>
      <c r="BF27" s="3">
        <f t="shared" si="70"/>
        <v>16825.529186138472</v>
      </c>
      <c r="BG27" s="3">
        <f t="shared" si="33"/>
        <v>8.8888888888888893</v>
      </c>
      <c r="BH27" s="214">
        <f t="shared" si="34"/>
        <v>1.35E-2</v>
      </c>
      <c r="BI27" s="50">
        <f t="shared" si="71"/>
        <v>21025.531065106639</v>
      </c>
      <c r="BJ27" s="16">
        <f t="shared" si="36"/>
        <v>4.5000000000000006E-8</v>
      </c>
      <c r="BK27" s="49">
        <f t="shared" si="37"/>
        <v>3333.3333333333326</v>
      </c>
      <c r="BL27" s="3">
        <f t="shared" si="38"/>
        <v>1E-3</v>
      </c>
      <c r="BM27" s="49">
        <f t="shared" si="39"/>
        <v>22.222222222222143</v>
      </c>
      <c r="BN27" s="49">
        <f t="shared" si="40"/>
        <v>799.99999999999989</v>
      </c>
      <c r="BO27" s="49">
        <f t="shared" si="41"/>
        <v>5</v>
      </c>
      <c r="BP27" s="3">
        <f t="shared" si="42"/>
        <v>0.01</v>
      </c>
      <c r="BQ27" s="50">
        <f t="shared" si="72"/>
        <v>4155.5585635880088</v>
      </c>
      <c r="BR27" s="3">
        <f t="shared" si="43"/>
        <v>3722.2222222222213</v>
      </c>
      <c r="BS27" s="3">
        <f t="shared" si="44"/>
        <v>1.175E-3</v>
      </c>
      <c r="BT27" s="3">
        <f t="shared" si="73"/>
        <v>22.222222222222143</v>
      </c>
      <c r="BU27" s="3">
        <f t="shared" si="74"/>
        <v>799.99999999999989</v>
      </c>
      <c r="BV27" s="3">
        <f t="shared" si="45"/>
        <v>5</v>
      </c>
      <c r="BW27" s="214">
        <f t="shared" si="46"/>
        <v>1.35E-2</v>
      </c>
      <c r="BX27" s="50">
        <f t="shared" si="75"/>
        <v>4544.4471950750622</v>
      </c>
      <c r="BY27" s="16">
        <f t="shared" si="48"/>
        <v>4.5000000000000006E-8</v>
      </c>
      <c r="BZ27" s="49">
        <f t="shared" si="49"/>
        <v>555.55555555555543</v>
      </c>
      <c r="CA27" s="3">
        <f t="shared" si="50"/>
        <v>2E-3</v>
      </c>
      <c r="CB27" s="49">
        <f t="shared" si="51"/>
        <v>22.222222222222143</v>
      </c>
      <c r="CC27" s="49">
        <f t="shared" si="52"/>
        <v>0</v>
      </c>
      <c r="CD27" s="49">
        <f t="shared" si="53"/>
        <v>10</v>
      </c>
      <c r="CE27" s="3">
        <f t="shared" si="54"/>
        <v>0.01</v>
      </c>
      <c r="CF27" s="50">
        <f t="shared" si="76"/>
        <v>577.86430984948959</v>
      </c>
      <c r="CG27" s="3">
        <f t="shared" si="55"/>
        <v>749.99999999999977</v>
      </c>
      <c r="CH27" s="3">
        <f t="shared" si="56"/>
        <v>2.0874999999999999E-3</v>
      </c>
      <c r="CI27" s="3">
        <f t="shared" si="77"/>
        <v>22.222222222222143</v>
      </c>
      <c r="CJ27" s="3">
        <f t="shared" si="78"/>
        <v>0</v>
      </c>
      <c r="CK27" s="3">
        <f t="shared" si="57"/>
        <v>10</v>
      </c>
      <c r="CL27" s="214">
        <f t="shared" si="58"/>
        <v>1.35E-2</v>
      </c>
      <c r="CM27" s="50">
        <f t="shared" si="79"/>
        <v>772.28696783024532</v>
      </c>
      <c r="CO27" s="4" t="s">
        <v>173</v>
      </c>
      <c r="CP27" s="24">
        <f>IF(OR(CP25&gt;=Vcm,C15="None"),0,1)</f>
        <v>0</v>
      </c>
      <c r="CQ27" s="24">
        <f>IF(OR(CQ25&gt;=Vcm,D15="None"),0,1)</f>
        <v>0</v>
      </c>
      <c r="CR27" s="24">
        <f>IF(OR(CR25&gt;=Vcm,C8&lt;3),0,1)</f>
        <v>0</v>
      </c>
      <c r="CS27" s="24">
        <f>IF(OR(CS25&gt;=Vcm,C8&lt;4),0,1)</f>
        <v>0</v>
      </c>
      <c r="CT27" s="24">
        <f>IF(OR(CT25&gt;=Vcm,C8&lt;5),0,1)</f>
        <v>0</v>
      </c>
      <c r="CV27" s="4" t="b">
        <f t="shared" si="81"/>
        <v>0</v>
      </c>
    </row>
    <row r="28" spans="2:100">
      <c r="B28" s="10" t="s">
        <v>150</v>
      </c>
      <c r="C28" s="8">
        <f>IF(C15="None","",VLOOKUP(C15,'TI Parametric Selection '!$B:$AH,17,FALSE))</f>
        <v>0.52</v>
      </c>
      <c r="D28" s="8">
        <f>IF(D15="None","",VLOOKUP(D15,'TI Parametric Selection '!$B:$AH,17,FALSE))</f>
        <v>3.2</v>
      </c>
      <c r="E28" s="8">
        <f>IF(E15="None","",VLOOKUP(E15,'TI Parametric Selection '!$B:$AH,17,FALSE))</f>
        <v>1</v>
      </c>
      <c r="F28" s="8">
        <f>IF(F15="None","",VLOOKUP(F15,'TI Parametric Selection '!$B:$AH,17,FALSE))</f>
        <v>3.2</v>
      </c>
      <c r="G28" s="8">
        <f>IF(G15="None","",VLOOKUP(G15,'TI Parametric Selection '!$B:$AH,17,FALSE))</f>
        <v>2.6</v>
      </c>
      <c r="P28" s="116">
        <v>9.5000000000000005E-6</v>
      </c>
      <c r="Q28" s="135">
        <f t="shared" si="0"/>
        <v>4.7500000000000002E-8</v>
      </c>
      <c r="R28" s="49">
        <f t="shared" si="1"/>
        <v>10526.315789473683</v>
      </c>
      <c r="S28" s="3">
        <f t="shared" si="2"/>
        <v>8.0000000000000002E-3</v>
      </c>
      <c r="T28" s="49">
        <f t="shared" si="3"/>
        <v>84.210526315789181</v>
      </c>
      <c r="U28" s="49">
        <f t="shared" si="4"/>
        <v>0</v>
      </c>
      <c r="V28" s="49">
        <f t="shared" si="5"/>
        <v>8.4210526315789469</v>
      </c>
      <c r="W28" s="3">
        <f t="shared" si="6"/>
        <v>0.01</v>
      </c>
      <c r="X28" s="50">
        <f t="shared" si="60"/>
        <v>10610.529657484227</v>
      </c>
      <c r="Y28" s="3">
        <f t="shared" si="7"/>
        <v>11263.157894736842</v>
      </c>
      <c r="Z28" s="3">
        <f t="shared" si="8"/>
        <v>8.6999999999999994E-3</v>
      </c>
      <c r="AA28" s="3">
        <f t="shared" si="61"/>
        <v>84.210526315789181</v>
      </c>
      <c r="AB28" s="3">
        <f t="shared" si="62"/>
        <v>0</v>
      </c>
      <c r="AC28" s="3">
        <f t="shared" si="9"/>
        <v>8.4210526315789469</v>
      </c>
      <c r="AD28" s="214">
        <f t="shared" si="10"/>
        <v>1.35E-2</v>
      </c>
      <c r="AE28" s="136">
        <f t="shared" si="63"/>
        <v>11347.37154575842</v>
      </c>
      <c r="AF28" s="16">
        <f t="shared" si="12"/>
        <v>4.7500000000000002E-8</v>
      </c>
      <c r="AG28" s="49">
        <f t="shared" si="13"/>
        <v>168.42105263157893</v>
      </c>
      <c r="AH28" s="3">
        <f t="shared" si="14"/>
        <v>1.4999999999999999E-4</v>
      </c>
      <c r="AI28" s="49">
        <f t="shared" si="15"/>
        <v>1.0551310181626745</v>
      </c>
      <c r="AJ28" s="49">
        <f t="shared" si="16"/>
        <v>23.966735950749747</v>
      </c>
      <c r="AK28" s="49">
        <f t="shared" si="17"/>
        <v>4.7368421052631575</v>
      </c>
      <c r="AL28" s="3">
        <f t="shared" si="18"/>
        <v>0.01</v>
      </c>
      <c r="AM28" s="50">
        <f t="shared" si="64"/>
        <v>193.50090675941252</v>
      </c>
      <c r="AN28" s="3">
        <f t="shared" si="19"/>
        <v>242.10526315789471</v>
      </c>
      <c r="AO28" s="3">
        <f t="shared" si="20"/>
        <v>2.1999999999999998E-4</v>
      </c>
      <c r="AP28" s="3">
        <f t="shared" si="65"/>
        <v>1.0551310181626745</v>
      </c>
      <c r="AQ28" s="3">
        <f t="shared" si="66"/>
        <v>23.966735950749747</v>
      </c>
      <c r="AR28" s="3">
        <f t="shared" si="21"/>
        <v>4.7368421052631575</v>
      </c>
      <c r="AS28" s="214">
        <f t="shared" si="22"/>
        <v>1.35E-2</v>
      </c>
      <c r="AT28" s="50">
        <f t="shared" si="67"/>
        <v>267.16912528436501</v>
      </c>
      <c r="AU28" s="16">
        <f t="shared" si="24"/>
        <v>4.7500000000000002E-8</v>
      </c>
      <c r="AV28" s="49">
        <f t="shared" si="25"/>
        <v>3157.894736842105</v>
      </c>
      <c r="AW28" s="3">
        <f t="shared" si="26"/>
        <v>8.0000000000000002E-3</v>
      </c>
      <c r="AX28" s="49">
        <f t="shared" si="27"/>
        <v>84.210526315789181</v>
      </c>
      <c r="AY28" s="49">
        <f t="shared" si="28"/>
        <v>15939.975018446976</v>
      </c>
      <c r="AZ28" s="49">
        <f t="shared" si="29"/>
        <v>8.4210526315789469</v>
      </c>
      <c r="BA28" s="3">
        <f t="shared" si="30"/>
        <v>0.01</v>
      </c>
      <c r="BB28" s="50">
        <f t="shared" si="68"/>
        <v>19182.082130056315</v>
      </c>
      <c r="BC28" s="3">
        <f t="shared" si="31"/>
        <v>3894.7368421052629</v>
      </c>
      <c r="BD28" s="3">
        <f t="shared" si="32"/>
        <v>8.6999999999999994E-3</v>
      </c>
      <c r="BE28" s="3">
        <f t="shared" si="69"/>
        <v>84.210526315789181</v>
      </c>
      <c r="BF28" s="3">
        <f t="shared" si="70"/>
        <v>15939.975018446976</v>
      </c>
      <c r="BG28" s="3">
        <f t="shared" si="33"/>
        <v>8.4210526315789469</v>
      </c>
      <c r="BH28" s="214">
        <f t="shared" si="34"/>
        <v>1.35E-2</v>
      </c>
      <c r="BI28" s="50">
        <f t="shared" si="71"/>
        <v>19918.924166943798</v>
      </c>
      <c r="BJ28" s="16">
        <f t="shared" si="36"/>
        <v>4.7500000000000002E-8</v>
      </c>
      <c r="BK28" s="49">
        <f t="shared" si="37"/>
        <v>3157.894736842105</v>
      </c>
      <c r="BL28" s="3">
        <f t="shared" si="38"/>
        <v>1E-3</v>
      </c>
      <c r="BM28" s="49">
        <f t="shared" si="39"/>
        <v>21.052631578947295</v>
      </c>
      <c r="BN28" s="49">
        <f t="shared" si="40"/>
        <v>757.8947368421052</v>
      </c>
      <c r="BO28" s="49">
        <f t="shared" si="41"/>
        <v>4.7368421052631575</v>
      </c>
      <c r="BP28" s="3">
        <f t="shared" si="42"/>
        <v>0.01</v>
      </c>
      <c r="BQ28" s="50">
        <f t="shared" si="72"/>
        <v>3936.8449549794291</v>
      </c>
      <c r="BR28" s="3">
        <f t="shared" si="43"/>
        <v>3526.3157894736837</v>
      </c>
      <c r="BS28" s="3">
        <f t="shared" si="44"/>
        <v>1.175E-3</v>
      </c>
      <c r="BT28" s="3">
        <f t="shared" si="73"/>
        <v>21.052631578947295</v>
      </c>
      <c r="BU28" s="3">
        <f t="shared" si="74"/>
        <v>757.8947368421052</v>
      </c>
      <c r="BV28" s="3">
        <f t="shared" si="45"/>
        <v>4.7368421052631575</v>
      </c>
      <c r="BW28" s="214">
        <f t="shared" si="46"/>
        <v>1.35E-2</v>
      </c>
      <c r="BX28" s="50">
        <f t="shared" si="75"/>
        <v>4305.2657637575085</v>
      </c>
      <c r="BY28" s="16">
        <f t="shared" si="48"/>
        <v>4.7500000000000002E-8</v>
      </c>
      <c r="BZ28" s="49">
        <f t="shared" si="49"/>
        <v>526.31578947368416</v>
      </c>
      <c r="CA28" s="3">
        <f t="shared" si="50"/>
        <v>2E-3</v>
      </c>
      <c r="CB28" s="49">
        <f t="shared" si="51"/>
        <v>21.052631578947295</v>
      </c>
      <c r="CC28" s="49">
        <f t="shared" si="52"/>
        <v>0</v>
      </c>
      <c r="CD28" s="49">
        <f t="shared" si="53"/>
        <v>9.473684210526315</v>
      </c>
      <c r="CE28" s="3">
        <f t="shared" si="54"/>
        <v>0.01</v>
      </c>
      <c r="CF28" s="50">
        <f t="shared" si="76"/>
        <v>547.45039881451498</v>
      </c>
      <c r="CG28" s="3">
        <f t="shared" si="55"/>
        <v>710.52631578947364</v>
      </c>
      <c r="CH28" s="3">
        <f t="shared" si="56"/>
        <v>2.0874999999999999E-3</v>
      </c>
      <c r="CI28" s="3">
        <f t="shared" si="77"/>
        <v>21.052631578947295</v>
      </c>
      <c r="CJ28" s="3">
        <f t="shared" si="78"/>
        <v>0</v>
      </c>
      <c r="CK28" s="3">
        <f t="shared" si="57"/>
        <v>9.473684210526315</v>
      </c>
      <c r="CL28" s="214">
        <f t="shared" si="58"/>
        <v>1.35E-2</v>
      </c>
      <c r="CM28" s="50">
        <f t="shared" si="79"/>
        <v>731.64028532593477</v>
      </c>
      <c r="CO28" s="4" t="s">
        <v>174</v>
      </c>
      <c r="CP28" s="24">
        <f>IF(OR(CP26&lt;=Vcm,C15="None"),0,1)</f>
        <v>0</v>
      </c>
      <c r="CQ28" s="24">
        <f>IF(OR(CQ26&lt;=Vcm,D15="None"),0,1)</f>
        <v>0</v>
      </c>
      <c r="CR28" s="24">
        <f>IF(OR(CR26&lt;=Vcm,C8&lt;3),0,1)</f>
        <v>0</v>
      </c>
      <c r="CS28" s="24">
        <f>IF(OR(CS26&lt;=Vcm,C8&lt;4),0,1)</f>
        <v>0</v>
      </c>
      <c r="CT28" s="24">
        <f>IF(OR(CT26&lt;=Vcm,C8&lt;5),0,1)</f>
        <v>0</v>
      </c>
      <c r="CV28" s="4" t="b">
        <f t="shared" si="81"/>
        <v>0</v>
      </c>
    </row>
    <row r="29" spans="2:100">
      <c r="B29" s="10" t="s">
        <v>151</v>
      </c>
      <c r="C29" s="8">
        <f>IF(C15="None","",VLOOKUP(C15,'TI Parametric Selection '!$B:$AH,18,FALSE))</f>
        <v>80</v>
      </c>
      <c r="D29" s="8">
        <f>IF(D15="None","",VLOOKUP(D15,'TI Parametric Selection '!$B:$AH,18,FALSE))</f>
        <v>45</v>
      </c>
      <c r="E29" s="8">
        <f>IF(E15="None","",VLOOKUP(E15,'TI Parametric Selection '!$B:$AH,18,FALSE))</f>
        <v>80</v>
      </c>
      <c r="F29" s="8">
        <f>IF(F15="None","",VLOOKUP(F15,'TI Parametric Selection '!$B:$AH,18,FALSE))</f>
        <v>45</v>
      </c>
      <c r="G29" s="8">
        <f>IF(G15="None","",VLOOKUP(G15,'TI Parametric Selection '!$B:$AH,18,FALSE))</f>
        <v>90</v>
      </c>
      <c r="P29" s="116">
        <f>10*P11</f>
        <v>9.9999999999999991E-6</v>
      </c>
      <c r="Q29" s="135">
        <f t="shared" si="0"/>
        <v>4.9999999999999998E-8</v>
      </c>
      <c r="R29" s="49">
        <f t="shared" si="1"/>
        <v>10000</v>
      </c>
      <c r="S29" s="3">
        <f t="shared" si="2"/>
        <v>8.0000000000000002E-3</v>
      </c>
      <c r="T29" s="49">
        <f t="shared" si="3"/>
        <v>79.99999999999973</v>
      </c>
      <c r="U29" s="49">
        <f t="shared" si="4"/>
        <v>0</v>
      </c>
      <c r="V29" s="49">
        <f t="shared" si="5"/>
        <v>8.0000000000000018</v>
      </c>
      <c r="W29" s="3">
        <f t="shared" si="6"/>
        <v>0.01</v>
      </c>
      <c r="X29" s="50">
        <f t="shared" si="60"/>
        <v>10080.003174610809</v>
      </c>
      <c r="Y29" s="3">
        <f t="shared" si="7"/>
        <v>10700</v>
      </c>
      <c r="Z29" s="3">
        <f t="shared" si="8"/>
        <v>8.6999999999999994E-3</v>
      </c>
      <c r="AA29" s="3">
        <f t="shared" si="61"/>
        <v>79.99999999999973</v>
      </c>
      <c r="AB29" s="3">
        <f t="shared" si="62"/>
        <v>0</v>
      </c>
      <c r="AC29" s="3">
        <f t="shared" si="9"/>
        <v>8.0000000000000018</v>
      </c>
      <c r="AD29" s="214">
        <f t="shared" si="10"/>
        <v>1.35E-2</v>
      </c>
      <c r="AE29" s="136">
        <f t="shared" si="63"/>
        <v>10780.002968471666</v>
      </c>
      <c r="AF29" s="16">
        <f t="shared" si="12"/>
        <v>4.9999999999999998E-8</v>
      </c>
      <c r="AG29" s="49">
        <f t="shared" si="13"/>
        <v>160</v>
      </c>
      <c r="AH29" s="3">
        <f t="shared" si="14"/>
        <v>1.4999999999999999E-4</v>
      </c>
      <c r="AI29" s="49">
        <f t="shared" si="15"/>
        <v>1.0023744672545407</v>
      </c>
      <c r="AJ29" s="49">
        <f t="shared" si="16"/>
        <v>22.768399153212265</v>
      </c>
      <c r="AK29" s="49">
        <f t="shared" si="17"/>
        <v>4.5000000000000009</v>
      </c>
      <c r="AL29" s="3">
        <f t="shared" si="18"/>
        <v>0.01</v>
      </c>
      <c r="AM29" s="50">
        <f t="shared" si="64"/>
        <v>183.82586144796755</v>
      </c>
      <c r="AN29" s="3">
        <f t="shared" si="19"/>
        <v>230</v>
      </c>
      <c r="AO29" s="3">
        <f t="shared" si="20"/>
        <v>2.1999999999999998E-4</v>
      </c>
      <c r="AP29" s="3">
        <f t="shared" si="65"/>
        <v>1.0023744672545407</v>
      </c>
      <c r="AQ29" s="3">
        <f t="shared" si="66"/>
        <v>22.768399153212265</v>
      </c>
      <c r="AR29" s="3">
        <f t="shared" si="21"/>
        <v>4.5000000000000009</v>
      </c>
      <c r="AS29" s="214">
        <f t="shared" si="22"/>
        <v>1.35E-2</v>
      </c>
      <c r="AT29" s="50">
        <f t="shared" si="67"/>
        <v>253.8106690551613</v>
      </c>
      <c r="AU29" s="16">
        <f t="shared" si="24"/>
        <v>4.9999999999999998E-8</v>
      </c>
      <c r="AV29" s="49">
        <f t="shared" si="25"/>
        <v>3000</v>
      </c>
      <c r="AW29" s="3">
        <f t="shared" si="26"/>
        <v>8.0000000000000002E-3</v>
      </c>
      <c r="AX29" s="49">
        <f t="shared" si="27"/>
        <v>79.99999999999973</v>
      </c>
      <c r="AY29" s="49">
        <f t="shared" si="28"/>
        <v>15142.976267524629</v>
      </c>
      <c r="AZ29" s="49">
        <f t="shared" si="29"/>
        <v>8.0000000000000018</v>
      </c>
      <c r="BA29" s="3">
        <f t="shared" si="30"/>
        <v>0.01</v>
      </c>
      <c r="BB29" s="50">
        <f t="shared" si="68"/>
        <v>18222.97802355394</v>
      </c>
      <c r="BC29" s="3">
        <f t="shared" si="31"/>
        <v>3700</v>
      </c>
      <c r="BD29" s="3">
        <f t="shared" si="32"/>
        <v>8.6999999999999994E-3</v>
      </c>
      <c r="BE29" s="3">
        <f t="shared" si="69"/>
        <v>79.99999999999973</v>
      </c>
      <c r="BF29" s="3">
        <f t="shared" si="70"/>
        <v>15142.976267524629</v>
      </c>
      <c r="BG29" s="3">
        <f t="shared" si="33"/>
        <v>8.0000000000000018</v>
      </c>
      <c r="BH29" s="214">
        <f t="shared" si="34"/>
        <v>1.35E-2</v>
      </c>
      <c r="BI29" s="50">
        <f t="shared" si="71"/>
        <v>18922.977958597272</v>
      </c>
      <c r="BJ29" s="16">
        <f t="shared" si="36"/>
        <v>4.9999999999999998E-8</v>
      </c>
      <c r="BK29" s="49">
        <f t="shared" si="37"/>
        <v>3000</v>
      </c>
      <c r="BL29" s="3">
        <f t="shared" si="38"/>
        <v>1E-3</v>
      </c>
      <c r="BM29" s="49">
        <f t="shared" si="39"/>
        <v>19.999999999999932</v>
      </c>
      <c r="BN29" s="49">
        <f t="shared" si="40"/>
        <v>720</v>
      </c>
      <c r="BO29" s="49">
        <f t="shared" si="41"/>
        <v>4.5000000000000009</v>
      </c>
      <c r="BP29" s="3">
        <f t="shared" si="42"/>
        <v>0.01</v>
      </c>
      <c r="BQ29" s="50">
        <f t="shared" si="72"/>
        <v>3740.0027072317744</v>
      </c>
      <c r="BR29" s="3">
        <f t="shared" si="43"/>
        <v>3350</v>
      </c>
      <c r="BS29" s="3">
        <f t="shared" si="44"/>
        <v>1.175E-3</v>
      </c>
      <c r="BT29" s="3">
        <f t="shared" si="73"/>
        <v>19.999999999999932</v>
      </c>
      <c r="BU29" s="3">
        <f t="shared" si="74"/>
        <v>720</v>
      </c>
      <c r="BV29" s="3">
        <f t="shared" si="45"/>
        <v>4.5000000000000009</v>
      </c>
      <c r="BW29" s="214">
        <f t="shared" si="46"/>
        <v>1.35E-2</v>
      </c>
      <c r="BX29" s="50">
        <f t="shared" si="75"/>
        <v>4090.0024755718218</v>
      </c>
      <c r="BY29" s="16">
        <f t="shared" si="48"/>
        <v>4.9999999999999998E-8</v>
      </c>
      <c r="BZ29" s="49">
        <f t="shared" si="49"/>
        <v>500</v>
      </c>
      <c r="CA29" s="3">
        <f t="shared" si="50"/>
        <v>2E-3</v>
      </c>
      <c r="CB29" s="49">
        <f t="shared" si="51"/>
        <v>19.999999999999932</v>
      </c>
      <c r="CC29" s="49">
        <f t="shared" si="52"/>
        <v>0</v>
      </c>
      <c r="CD29" s="49">
        <f t="shared" si="53"/>
        <v>9.0000000000000018</v>
      </c>
      <c r="CE29" s="3">
        <f t="shared" si="54"/>
        <v>0.01</v>
      </c>
      <c r="CF29" s="50">
        <f t="shared" si="76"/>
        <v>520.07787888353789</v>
      </c>
      <c r="CG29" s="3">
        <f t="shared" si="55"/>
        <v>675</v>
      </c>
      <c r="CH29" s="3">
        <f t="shared" si="56"/>
        <v>2.0874999999999999E-3</v>
      </c>
      <c r="CI29" s="3">
        <f t="shared" si="77"/>
        <v>19.999999999999932</v>
      </c>
      <c r="CJ29" s="3">
        <f t="shared" si="78"/>
        <v>0</v>
      </c>
      <c r="CK29" s="3">
        <f t="shared" si="57"/>
        <v>9.0000000000000018</v>
      </c>
      <c r="CL29" s="214">
        <f t="shared" si="58"/>
        <v>1.35E-2</v>
      </c>
      <c r="CM29" s="50">
        <f t="shared" si="79"/>
        <v>695.05827107272626</v>
      </c>
      <c r="CO29" s="4" t="s">
        <v>179</v>
      </c>
      <c r="CP29" s="24">
        <f>VLOOKUP(C15,'TI Parametric Selection '!$B:$BA,16,FALSE)</f>
        <v>5.5</v>
      </c>
      <c r="CQ29" s="24">
        <f>VLOOKUP(D15,'TI Parametric Selection '!$B:$BA,16,FALSE)</f>
        <v>20</v>
      </c>
      <c r="CR29" s="24">
        <f>VLOOKUP(E15,'TI Parametric Selection '!$B:$BA,16,FALSE)</f>
        <v>5.5</v>
      </c>
      <c r="CS29" s="24">
        <f>VLOOKUP(F15,'TI Parametric Selection '!$B:$BA,16,FALSE)</f>
        <v>20</v>
      </c>
      <c r="CT29" s="24">
        <f>VLOOKUP(G15,'TI Parametric Selection '!$B:$BA,16,FALSE)</f>
        <v>5.5</v>
      </c>
      <c r="CV29" s="4" t="b">
        <f t="shared" si="81"/>
        <v>0</v>
      </c>
    </row>
    <row r="30" spans="2:100">
      <c r="B30" s="10" t="s">
        <v>152</v>
      </c>
      <c r="C30" s="8" t="str">
        <f>IF(C15="None", "",VLOOKUP(C15,'TI Parametric Selection '!$B:$AH,19,FALSE))</f>
        <v>N/A</v>
      </c>
      <c r="D30" s="8" t="str">
        <f>IF(D15="None", "",VLOOKUP(D15,'TI Parametric Selection '!$B:$AH,19,FALSE))</f>
        <v>N/A</v>
      </c>
      <c r="E30" s="8" t="str">
        <f>IF(E15="None", "",VLOOKUP(E15,'TI Parametric Selection '!$B:$AH,19,FALSE))</f>
        <v>N/A</v>
      </c>
      <c r="F30" s="8" t="str">
        <f>IF(F15="None", "",VLOOKUP(F15,'TI Parametric Selection '!$B:$AH,19,FALSE))</f>
        <v>N/A</v>
      </c>
      <c r="G30" s="8" t="str">
        <f>IF(G15="None", "",VLOOKUP(G15,'TI Parametric Selection '!$B:$AH,19,FALSE))</f>
        <v>N/A</v>
      </c>
      <c r="P30" s="116">
        <f t="shared" ref="P30:P93" si="85">10*P12</f>
        <v>1.5E-5</v>
      </c>
      <c r="Q30" s="135">
        <f t="shared" si="0"/>
        <v>7.500000000000001E-8</v>
      </c>
      <c r="R30" s="49">
        <f t="shared" si="1"/>
        <v>6666.6666666666661</v>
      </c>
      <c r="S30" s="3">
        <f t="shared" si="2"/>
        <v>8.0000000000000002E-3</v>
      </c>
      <c r="T30" s="49">
        <f t="shared" si="3"/>
        <v>53.333333333333144</v>
      </c>
      <c r="U30" s="49">
        <f t="shared" si="4"/>
        <v>0</v>
      </c>
      <c r="V30" s="49">
        <f t="shared" si="5"/>
        <v>5.3333333333333339</v>
      </c>
      <c r="W30" s="3">
        <f t="shared" si="6"/>
        <v>0.01</v>
      </c>
      <c r="X30" s="50">
        <f t="shared" si="60"/>
        <v>6720.0021164139844</v>
      </c>
      <c r="Y30" s="3">
        <f t="shared" si="7"/>
        <v>7133.333333333333</v>
      </c>
      <c r="Z30" s="3">
        <f t="shared" si="8"/>
        <v>8.6999999999999994E-3</v>
      </c>
      <c r="AA30" s="3">
        <f t="shared" si="61"/>
        <v>53.333333333333144</v>
      </c>
      <c r="AB30" s="3">
        <f t="shared" si="62"/>
        <v>0</v>
      </c>
      <c r="AC30" s="3">
        <f t="shared" si="9"/>
        <v>5.3333333333333339</v>
      </c>
      <c r="AD30" s="214">
        <f t="shared" si="10"/>
        <v>1.35E-2</v>
      </c>
      <c r="AE30" s="136">
        <f t="shared" si="63"/>
        <v>7186.6686456577472</v>
      </c>
      <c r="AF30" s="16">
        <f t="shared" si="12"/>
        <v>7.500000000000001E-8</v>
      </c>
      <c r="AG30" s="49">
        <f t="shared" si="13"/>
        <v>106.66666666666664</v>
      </c>
      <c r="AH30" s="3">
        <f t="shared" si="14"/>
        <v>1.4999999999999999E-4</v>
      </c>
      <c r="AI30" s="49">
        <f t="shared" si="15"/>
        <v>0.6682496448363604</v>
      </c>
      <c r="AJ30" s="49">
        <f t="shared" si="16"/>
        <v>15.178932768808172</v>
      </c>
      <c r="AK30" s="49">
        <f t="shared" si="17"/>
        <v>3</v>
      </c>
      <c r="AL30" s="3">
        <f t="shared" si="18"/>
        <v>0.01</v>
      </c>
      <c r="AM30" s="50">
        <f t="shared" si="64"/>
        <v>122.55057452535979</v>
      </c>
      <c r="AN30" s="3">
        <f t="shared" si="19"/>
        <v>153.33333333333331</v>
      </c>
      <c r="AO30" s="3">
        <f t="shared" si="20"/>
        <v>2.1999999999999998E-4</v>
      </c>
      <c r="AP30" s="3">
        <f t="shared" si="65"/>
        <v>0.6682496448363604</v>
      </c>
      <c r="AQ30" s="3">
        <f t="shared" si="66"/>
        <v>15.178932768808172</v>
      </c>
      <c r="AR30" s="3">
        <f t="shared" si="21"/>
        <v>3</v>
      </c>
      <c r="AS30" s="214">
        <f t="shared" si="22"/>
        <v>1.35E-2</v>
      </c>
      <c r="AT30" s="50">
        <f t="shared" si="67"/>
        <v>169.20711300270986</v>
      </c>
      <c r="AU30" s="16">
        <f t="shared" si="24"/>
        <v>7.500000000000001E-8</v>
      </c>
      <c r="AV30" s="49">
        <f t="shared" si="25"/>
        <v>1999.9999999999995</v>
      </c>
      <c r="AW30" s="3">
        <f t="shared" si="26"/>
        <v>8.0000000000000002E-3</v>
      </c>
      <c r="AX30" s="49">
        <f t="shared" si="27"/>
        <v>53.333333333333144</v>
      </c>
      <c r="AY30" s="49">
        <f t="shared" si="28"/>
        <v>10095.317511683084</v>
      </c>
      <c r="AZ30" s="49">
        <f t="shared" si="29"/>
        <v>5.3333333333333339</v>
      </c>
      <c r="BA30" s="3">
        <f t="shared" si="30"/>
        <v>0.01</v>
      </c>
      <c r="BB30" s="50">
        <f t="shared" si="68"/>
        <v>12148.652015706371</v>
      </c>
      <c r="BC30" s="3">
        <f t="shared" si="31"/>
        <v>2466.6666666666661</v>
      </c>
      <c r="BD30" s="3">
        <f t="shared" si="32"/>
        <v>8.6999999999999994E-3</v>
      </c>
      <c r="BE30" s="3">
        <f t="shared" si="69"/>
        <v>53.333333333333144</v>
      </c>
      <c r="BF30" s="3">
        <f t="shared" si="70"/>
        <v>10095.317511683084</v>
      </c>
      <c r="BG30" s="3">
        <f t="shared" si="33"/>
        <v>5.3333333333333339</v>
      </c>
      <c r="BH30" s="214">
        <f t="shared" si="34"/>
        <v>1.35E-2</v>
      </c>
      <c r="BI30" s="50">
        <f t="shared" si="71"/>
        <v>12615.318639070527</v>
      </c>
      <c r="BJ30" s="16">
        <f t="shared" si="36"/>
        <v>7.500000000000001E-8</v>
      </c>
      <c r="BK30" s="49">
        <f t="shared" si="37"/>
        <v>1999.9999999999995</v>
      </c>
      <c r="BL30" s="3">
        <f t="shared" si="38"/>
        <v>1E-3</v>
      </c>
      <c r="BM30" s="49">
        <f t="shared" si="39"/>
        <v>13.333333333333286</v>
      </c>
      <c r="BN30" s="49">
        <f t="shared" si="40"/>
        <v>479.99999999999994</v>
      </c>
      <c r="BO30" s="49">
        <f t="shared" si="41"/>
        <v>3</v>
      </c>
      <c r="BP30" s="3">
        <f t="shared" si="42"/>
        <v>0.01</v>
      </c>
      <c r="BQ30" s="50">
        <f t="shared" si="72"/>
        <v>2493.3351381657676</v>
      </c>
      <c r="BR30" s="3">
        <f t="shared" si="43"/>
        <v>2233.333333333333</v>
      </c>
      <c r="BS30" s="3">
        <f t="shared" si="44"/>
        <v>1.175E-3</v>
      </c>
      <c r="BT30" s="3">
        <f t="shared" si="73"/>
        <v>13.333333333333286</v>
      </c>
      <c r="BU30" s="3">
        <f t="shared" si="74"/>
        <v>479.99999999999994</v>
      </c>
      <c r="BV30" s="3">
        <f t="shared" si="45"/>
        <v>3</v>
      </c>
      <c r="BW30" s="214">
        <f t="shared" si="46"/>
        <v>1.35E-2</v>
      </c>
      <c r="BX30" s="50">
        <f t="shared" si="75"/>
        <v>2726.6683170665883</v>
      </c>
      <c r="BY30" s="16">
        <f t="shared" si="48"/>
        <v>7.500000000000001E-8</v>
      </c>
      <c r="BZ30" s="49">
        <f t="shared" si="49"/>
        <v>333.33333333333326</v>
      </c>
      <c r="CA30" s="3">
        <f t="shared" si="50"/>
        <v>2E-3</v>
      </c>
      <c r="CB30" s="49">
        <f t="shared" si="51"/>
        <v>13.333333333333286</v>
      </c>
      <c r="CC30" s="49">
        <f t="shared" si="52"/>
        <v>0</v>
      </c>
      <c r="CD30" s="49">
        <f t="shared" si="53"/>
        <v>6</v>
      </c>
      <c r="CE30" s="3">
        <f t="shared" si="54"/>
        <v>0.01</v>
      </c>
      <c r="CF30" s="50">
        <f t="shared" si="76"/>
        <v>346.71858600567936</v>
      </c>
      <c r="CG30" s="3">
        <f t="shared" si="55"/>
        <v>449.99999999999989</v>
      </c>
      <c r="CH30" s="3">
        <f t="shared" si="56"/>
        <v>2.0874999999999999E-3</v>
      </c>
      <c r="CI30" s="3">
        <f t="shared" si="77"/>
        <v>13.333333333333286</v>
      </c>
      <c r="CJ30" s="3">
        <f t="shared" si="78"/>
        <v>0</v>
      </c>
      <c r="CK30" s="3">
        <f t="shared" si="57"/>
        <v>6</v>
      </c>
      <c r="CL30" s="214">
        <f t="shared" si="58"/>
        <v>1.35E-2</v>
      </c>
      <c r="CM30" s="50">
        <f t="shared" si="79"/>
        <v>463.37218082701645</v>
      </c>
      <c r="CO30" s="4" t="s">
        <v>180</v>
      </c>
      <c r="CP30" s="24">
        <f>VLOOKUP(C15,'TI Parametric Selection '!$B:$BA,15,FALSE)</f>
        <v>2.7</v>
      </c>
      <c r="CQ30" s="24">
        <f>VLOOKUP(D15,'TI Parametric Selection '!$B:$BA,15,FALSE)</f>
        <v>2.7</v>
      </c>
      <c r="CR30" s="24">
        <f>VLOOKUP(E15,'TI Parametric Selection '!$B:$BA,15,FALSE)</f>
        <v>2.7</v>
      </c>
      <c r="CS30" s="24">
        <f>VLOOKUP(F15,'TI Parametric Selection '!$B:$BA,15,FALSE)</f>
        <v>2.7</v>
      </c>
      <c r="CT30" s="24">
        <f>VLOOKUP(G15,'TI Parametric Selection '!$B:$BA,15,FALSE)</f>
        <v>2.7</v>
      </c>
      <c r="CV30" s="4" t="b">
        <f t="shared" si="81"/>
        <v>1</v>
      </c>
    </row>
    <row r="31" spans="2:100">
      <c r="B31" s="146" t="s">
        <v>392</v>
      </c>
      <c r="C31" s="20"/>
      <c r="D31" s="20"/>
      <c r="E31" s="42"/>
      <c r="F31" s="20"/>
      <c r="G31" s="20"/>
      <c r="P31" s="116">
        <f t="shared" si="85"/>
        <v>1.9999999999999998E-5</v>
      </c>
      <c r="Q31" s="135">
        <f t="shared" si="0"/>
        <v>9.9999999999999995E-8</v>
      </c>
      <c r="R31" s="49">
        <f t="shared" si="1"/>
        <v>5000</v>
      </c>
      <c r="S31" s="3">
        <f t="shared" si="2"/>
        <v>8.0000000000000002E-3</v>
      </c>
      <c r="T31" s="49">
        <f t="shared" si="3"/>
        <v>39.999999999999865</v>
      </c>
      <c r="U31" s="49">
        <f t="shared" si="4"/>
        <v>0</v>
      </c>
      <c r="V31" s="49">
        <f t="shared" si="5"/>
        <v>4.0000000000000009</v>
      </c>
      <c r="W31" s="3">
        <f t="shared" si="6"/>
        <v>0.01</v>
      </c>
      <c r="X31" s="50">
        <f t="shared" si="60"/>
        <v>5040.0015873176071</v>
      </c>
      <c r="Y31" s="3">
        <f t="shared" si="7"/>
        <v>5350</v>
      </c>
      <c r="Z31" s="3">
        <f t="shared" si="8"/>
        <v>8.6999999999999994E-3</v>
      </c>
      <c r="AA31" s="3">
        <f t="shared" si="61"/>
        <v>39.999999999999865</v>
      </c>
      <c r="AB31" s="3">
        <f t="shared" si="62"/>
        <v>0</v>
      </c>
      <c r="AC31" s="3">
        <f t="shared" si="9"/>
        <v>4.0000000000000009</v>
      </c>
      <c r="AD31" s="214">
        <f t="shared" si="10"/>
        <v>1.35E-2</v>
      </c>
      <c r="AE31" s="136">
        <f t="shared" si="63"/>
        <v>5390.0014842537785</v>
      </c>
      <c r="AF31" s="16">
        <f t="shared" si="12"/>
        <v>9.9999999999999995E-8</v>
      </c>
      <c r="AG31" s="49">
        <f t="shared" si="13"/>
        <v>80</v>
      </c>
      <c r="AH31" s="3">
        <f t="shared" si="14"/>
        <v>1.4999999999999999E-4</v>
      </c>
      <c r="AI31" s="49">
        <f t="shared" si="15"/>
        <v>0.50118723362727036</v>
      </c>
      <c r="AJ31" s="49">
        <f t="shared" si="16"/>
        <v>11.384199576606132</v>
      </c>
      <c r="AK31" s="49">
        <f t="shared" si="17"/>
        <v>2.2500000000000004</v>
      </c>
      <c r="AL31" s="3">
        <f t="shared" si="18"/>
        <v>0.01</v>
      </c>
      <c r="AM31" s="50">
        <f t="shared" si="64"/>
        <v>91.912931132070398</v>
      </c>
      <c r="AN31" s="3">
        <f t="shared" si="19"/>
        <v>115</v>
      </c>
      <c r="AO31" s="3">
        <f t="shared" si="20"/>
        <v>2.1999999999999998E-4</v>
      </c>
      <c r="AP31" s="3">
        <f t="shared" si="65"/>
        <v>0.50118723362727036</v>
      </c>
      <c r="AQ31" s="3">
        <f t="shared" si="66"/>
        <v>11.384199576606132</v>
      </c>
      <c r="AR31" s="3">
        <f t="shared" si="21"/>
        <v>2.2500000000000004</v>
      </c>
      <c r="AS31" s="214">
        <f t="shared" si="22"/>
        <v>1.35E-2</v>
      </c>
      <c r="AT31" s="50">
        <f t="shared" si="67"/>
        <v>126.90533506626487</v>
      </c>
      <c r="AU31" s="16">
        <f t="shared" si="24"/>
        <v>9.9999999999999995E-8</v>
      </c>
      <c r="AV31" s="49">
        <f t="shared" si="25"/>
        <v>1500</v>
      </c>
      <c r="AW31" s="3">
        <f t="shared" si="26"/>
        <v>8.0000000000000002E-3</v>
      </c>
      <c r="AX31" s="49">
        <f t="shared" si="27"/>
        <v>39.999999999999865</v>
      </c>
      <c r="AY31" s="49">
        <f t="shared" si="28"/>
        <v>7571.4881337623146</v>
      </c>
      <c r="AZ31" s="49">
        <f t="shared" si="29"/>
        <v>4.0000000000000009</v>
      </c>
      <c r="BA31" s="3">
        <f t="shared" si="30"/>
        <v>0.01</v>
      </c>
      <c r="BB31" s="50">
        <f t="shared" si="68"/>
        <v>9111.4890117837185</v>
      </c>
      <c r="BC31" s="3">
        <f t="shared" si="31"/>
        <v>1850</v>
      </c>
      <c r="BD31" s="3">
        <f t="shared" si="32"/>
        <v>8.6999999999999994E-3</v>
      </c>
      <c r="BE31" s="3">
        <f t="shared" si="69"/>
        <v>39.999999999999865</v>
      </c>
      <c r="BF31" s="3">
        <f t="shared" si="70"/>
        <v>7571.4881337623146</v>
      </c>
      <c r="BG31" s="3">
        <f t="shared" si="33"/>
        <v>4.0000000000000009</v>
      </c>
      <c r="BH31" s="214">
        <f t="shared" si="34"/>
        <v>1.35E-2</v>
      </c>
      <c r="BI31" s="50">
        <f t="shared" si="71"/>
        <v>9461.4889793088605</v>
      </c>
      <c r="BJ31" s="16">
        <f t="shared" si="36"/>
        <v>9.9999999999999995E-8</v>
      </c>
      <c r="BK31" s="49">
        <f t="shared" si="37"/>
        <v>1500</v>
      </c>
      <c r="BL31" s="3">
        <f t="shared" si="38"/>
        <v>1E-3</v>
      </c>
      <c r="BM31" s="49">
        <f t="shared" si="39"/>
        <v>9.9999999999999662</v>
      </c>
      <c r="BN31" s="49">
        <f t="shared" si="40"/>
        <v>360</v>
      </c>
      <c r="BO31" s="49">
        <f t="shared" si="41"/>
        <v>2.2500000000000004</v>
      </c>
      <c r="BP31" s="3">
        <f t="shared" si="42"/>
        <v>0.01</v>
      </c>
      <c r="BQ31" s="50">
        <f t="shared" si="72"/>
        <v>1870.0013536361409</v>
      </c>
      <c r="BR31" s="3">
        <f t="shared" si="43"/>
        <v>1675</v>
      </c>
      <c r="BS31" s="3">
        <f t="shared" si="44"/>
        <v>1.175E-3</v>
      </c>
      <c r="BT31" s="3">
        <f t="shared" si="73"/>
        <v>9.9999999999999662</v>
      </c>
      <c r="BU31" s="3">
        <f t="shared" si="74"/>
        <v>360</v>
      </c>
      <c r="BV31" s="3">
        <f t="shared" si="45"/>
        <v>2.2500000000000004</v>
      </c>
      <c r="BW31" s="214">
        <f t="shared" si="46"/>
        <v>1.35E-2</v>
      </c>
      <c r="BX31" s="50">
        <f t="shared" si="75"/>
        <v>2045.001237819584</v>
      </c>
      <c r="BY31" s="16">
        <f t="shared" si="48"/>
        <v>9.9999999999999995E-8</v>
      </c>
      <c r="BZ31" s="49">
        <f t="shared" si="49"/>
        <v>250</v>
      </c>
      <c r="CA31" s="3">
        <f t="shared" si="50"/>
        <v>2E-3</v>
      </c>
      <c r="CB31" s="49">
        <f t="shared" si="51"/>
        <v>9.9999999999999662</v>
      </c>
      <c r="CC31" s="49">
        <f t="shared" si="52"/>
        <v>0</v>
      </c>
      <c r="CD31" s="49">
        <f t="shared" si="53"/>
        <v>4.5000000000000009</v>
      </c>
      <c r="CE31" s="3">
        <f t="shared" si="54"/>
        <v>0.01</v>
      </c>
      <c r="CF31" s="50">
        <f t="shared" si="76"/>
        <v>260.0389395917465</v>
      </c>
      <c r="CG31" s="3">
        <f t="shared" si="55"/>
        <v>337.5</v>
      </c>
      <c r="CH31" s="3">
        <f t="shared" si="56"/>
        <v>2.0874999999999999E-3</v>
      </c>
      <c r="CI31" s="3">
        <f t="shared" si="77"/>
        <v>9.9999999999999662</v>
      </c>
      <c r="CJ31" s="3">
        <f t="shared" si="78"/>
        <v>0</v>
      </c>
      <c r="CK31" s="3">
        <f t="shared" si="57"/>
        <v>4.5000000000000009</v>
      </c>
      <c r="CL31" s="214">
        <f t="shared" si="58"/>
        <v>1.35E-2</v>
      </c>
      <c r="CM31" s="50">
        <f t="shared" si="79"/>
        <v>347.52913573772145</v>
      </c>
      <c r="CO31" s="4" t="s">
        <v>173</v>
      </c>
      <c r="CP31" s="24">
        <f>IF(OR(C15="None",CP29&gt;=Vsupply),0,1)</f>
        <v>0</v>
      </c>
      <c r="CQ31" s="24">
        <f>IF(OR(D15="None",CQ29&gt;=Vsupply),0,1)</f>
        <v>0</v>
      </c>
      <c r="CR31" s="24">
        <f>IF(OR(C8&lt;3,CR29&gt;=Vsupply),0,1)</f>
        <v>0</v>
      </c>
      <c r="CS31" s="24">
        <f>IF(OR(C8&lt;4,CS29&gt;=Vsupply),0,1)</f>
        <v>0</v>
      </c>
      <c r="CT31" s="24">
        <f>IF(OR(C6&lt;5,CT29&gt;=Vsupply),0,1)</f>
        <v>0</v>
      </c>
      <c r="CV31" s="4" t="b">
        <f t="shared" ref="CV31:CV38" si="86">OR(AND($C$8=2,($C38=$D38)),AND($C$8=3,$C38=$D38,$D38=$E38),AND($C$8=4,$C38=$D38,$D38=$E38,$E38=$F38),AND($C$8=5,$C38=$D38,$D38=$E38,$E38=$F38,$F38=$G38))</f>
        <v>1</v>
      </c>
    </row>
    <row r="32" spans="2:100">
      <c r="B32" s="7" t="s">
        <v>363</v>
      </c>
      <c r="C32" s="123">
        <f>IFERROR(IF(C18="Adjustable","N/A",IF(C45="N/A",((Vsupply+CP43)/(maxcurrent*C18)*1000),VLOOKUP(C15,$CO$46:$CR$121,4,FALSE))),"")</f>
        <v>2.5349999999999997</v>
      </c>
      <c r="D32" s="123">
        <f>IFERROR(IF(D18="Adjustable","N/A",IF(D45="N/A",((Vsupply+CQ43)/(maxcurrent*D18)*1000),VLOOKUP(D15,$CO$46:$CR$121,4,FALSE))),"")</f>
        <v>2.4499999999999997</v>
      </c>
      <c r="E32" s="123">
        <f>IFERROR(IF(E18="Adjustable","N/A",IF(E45="N/A",((Vsupply+CR43)/(maxcurrent*E18)*1000),VLOOKUP(E15,$CO$46:$CR$121,4,FALSE))),"")</f>
        <v>25.349999999999998</v>
      </c>
      <c r="F32" s="123">
        <f>IFERROR(IF(F18="Adjustable","N/A",IF(F45="N/A",((Vsupply+CS43)/(maxcurrent*F18)*1000),VLOOKUP(F15,$CO$46:$CR$121,4,FALSE))),"")</f>
        <v>9.7999999999999989</v>
      </c>
      <c r="G32" s="123">
        <f>IFERROR(IF(G18="Adjustable","N/A",IF(G45="N/A",((Vsupply+CT43)/(maxcurrent*G18)*1000),VLOOKUP(G15,$CO$46:$CR$121,4,FALSE))),"")</f>
        <v>9.7999999999999989</v>
      </c>
      <c r="P32" s="116">
        <f t="shared" si="85"/>
        <v>2.5000000000000001E-5</v>
      </c>
      <c r="Q32" s="135">
        <f t="shared" si="0"/>
        <v>1.2499999999999999E-7</v>
      </c>
      <c r="R32" s="49">
        <f t="shared" si="1"/>
        <v>4000.0000000000005</v>
      </c>
      <c r="S32" s="3">
        <f t="shared" si="2"/>
        <v>8.0000000000000002E-3</v>
      </c>
      <c r="T32" s="49">
        <f t="shared" si="3"/>
        <v>31.99999999999989</v>
      </c>
      <c r="U32" s="49">
        <f t="shared" si="4"/>
        <v>0</v>
      </c>
      <c r="V32" s="49">
        <f t="shared" si="5"/>
        <v>3.2</v>
      </c>
      <c r="W32" s="3">
        <f t="shared" si="6"/>
        <v>0.01</v>
      </c>
      <c r="X32" s="50">
        <f t="shared" si="60"/>
        <v>4032.0012698614078</v>
      </c>
      <c r="Y32" s="3">
        <f t="shared" si="7"/>
        <v>4280</v>
      </c>
      <c r="Z32" s="3">
        <f t="shared" si="8"/>
        <v>8.6999999999999994E-3</v>
      </c>
      <c r="AA32" s="3">
        <f t="shared" si="61"/>
        <v>31.99999999999989</v>
      </c>
      <c r="AB32" s="3">
        <f t="shared" si="62"/>
        <v>0</v>
      </c>
      <c r="AC32" s="3">
        <f t="shared" si="9"/>
        <v>3.2</v>
      </c>
      <c r="AD32" s="214">
        <f t="shared" si="10"/>
        <v>1.35E-2</v>
      </c>
      <c r="AE32" s="136">
        <f t="shared" si="63"/>
        <v>4312.0011874137899</v>
      </c>
      <c r="AF32" s="16">
        <f t="shared" si="12"/>
        <v>1.2499999999999999E-7</v>
      </c>
      <c r="AG32" s="49">
        <f t="shared" si="13"/>
        <v>64</v>
      </c>
      <c r="AH32" s="3">
        <f t="shared" si="14"/>
        <v>1.4999999999999999E-4</v>
      </c>
      <c r="AI32" s="49">
        <f t="shared" si="15"/>
        <v>0.40094978690181632</v>
      </c>
      <c r="AJ32" s="49">
        <f t="shared" si="16"/>
        <v>9.1073596612849048</v>
      </c>
      <c r="AK32" s="49">
        <f t="shared" si="17"/>
        <v>1.8</v>
      </c>
      <c r="AL32" s="3">
        <f t="shared" si="18"/>
        <v>0.01</v>
      </c>
      <c r="AM32" s="50">
        <f t="shared" si="64"/>
        <v>73.530345150508282</v>
      </c>
      <c r="AN32" s="3">
        <f t="shared" si="19"/>
        <v>92</v>
      </c>
      <c r="AO32" s="3">
        <f t="shared" si="20"/>
        <v>2.1999999999999998E-4</v>
      </c>
      <c r="AP32" s="3">
        <f t="shared" si="65"/>
        <v>0.40094978690181632</v>
      </c>
      <c r="AQ32" s="3">
        <f t="shared" si="66"/>
        <v>9.1073596612849048</v>
      </c>
      <c r="AR32" s="3">
        <f t="shared" si="21"/>
        <v>1.8</v>
      </c>
      <c r="AS32" s="214">
        <f t="shared" si="22"/>
        <v>1.35E-2</v>
      </c>
      <c r="AT32" s="50">
        <f t="shared" si="67"/>
        <v>101.52426837622241</v>
      </c>
      <c r="AU32" s="16">
        <f t="shared" si="24"/>
        <v>1.2499999999999999E-7</v>
      </c>
      <c r="AV32" s="49">
        <f t="shared" si="25"/>
        <v>1200</v>
      </c>
      <c r="AW32" s="3">
        <f t="shared" si="26"/>
        <v>8.0000000000000002E-3</v>
      </c>
      <c r="AX32" s="49">
        <f t="shared" si="27"/>
        <v>31.99999999999989</v>
      </c>
      <c r="AY32" s="49">
        <f t="shared" si="28"/>
        <v>6057.1905070098519</v>
      </c>
      <c r="AZ32" s="49">
        <f t="shared" si="29"/>
        <v>3.2</v>
      </c>
      <c r="BA32" s="3">
        <f t="shared" si="30"/>
        <v>0.01</v>
      </c>
      <c r="BB32" s="50">
        <f t="shared" si="68"/>
        <v>7289.1912094310255</v>
      </c>
      <c r="BC32" s="3">
        <f t="shared" si="31"/>
        <v>1480</v>
      </c>
      <c r="BD32" s="3">
        <f t="shared" si="32"/>
        <v>8.6999999999999994E-3</v>
      </c>
      <c r="BE32" s="3">
        <f t="shared" si="69"/>
        <v>31.99999999999989</v>
      </c>
      <c r="BF32" s="3">
        <f t="shared" si="70"/>
        <v>6057.1905070098519</v>
      </c>
      <c r="BG32" s="3">
        <f t="shared" si="33"/>
        <v>3.2</v>
      </c>
      <c r="BH32" s="214">
        <f t="shared" si="34"/>
        <v>1.35E-2</v>
      </c>
      <c r="BI32" s="50">
        <f t="shared" si="71"/>
        <v>7569.1911834532229</v>
      </c>
      <c r="BJ32" s="16">
        <f t="shared" si="36"/>
        <v>1.2499999999999999E-7</v>
      </c>
      <c r="BK32" s="49">
        <f t="shared" si="37"/>
        <v>1200</v>
      </c>
      <c r="BL32" s="3">
        <f t="shared" si="38"/>
        <v>1E-3</v>
      </c>
      <c r="BM32" s="49">
        <f t="shared" si="39"/>
        <v>7.9999999999999725</v>
      </c>
      <c r="BN32" s="49">
        <f t="shared" si="40"/>
        <v>288</v>
      </c>
      <c r="BO32" s="49">
        <f t="shared" si="41"/>
        <v>1.8</v>
      </c>
      <c r="BP32" s="3">
        <f t="shared" si="42"/>
        <v>0.01</v>
      </c>
      <c r="BQ32" s="50">
        <f t="shared" si="72"/>
        <v>1496.0010829210653</v>
      </c>
      <c r="BR32" s="3">
        <f t="shared" si="43"/>
        <v>1340</v>
      </c>
      <c r="BS32" s="3">
        <f t="shared" si="44"/>
        <v>1.175E-3</v>
      </c>
      <c r="BT32" s="3">
        <f t="shared" si="73"/>
        <v>7.9999999999999725</v>
      </c>
      <c r="BU32" s="3">
        <f t="shared" si="74"/>
        <v>288</v>
      </c>
      <c r="BV32" s="3">
        <f t="shared" si="45"/>
        <v>1.8</v>
      </c>
      <c r="BW32" s="214">
        <f t="shared" si="46"/>
        <v>1.35E-2</v>
      </c>
      <c r="BX32" s="50">
        <f t="shared" si="75"/>
        <v>1636.0009902758711</v>
      </c>
      <c r="BY32" s="16">
        <f t="shared" si="48"/>
        <v>1.2499999999999999E-7</v>
      </c>
      <c r="BZ32" s="49">
        <f t="shared" si="49"/>
        <v>200</v>
      </c>
      <c r="CA32" s="3">
        <f t="shared" si="50"/>
        <v>2E-3</v>
      </c>
      <c r="CB32" s="49">
        <f t="shared" si="51"/>
        <v>7.9999999999999725</v>
      </c>
      <c r="CC32" s="49">
        <f t="shared" si="52"/>
        <v>0</v>
      </c>
      <c r="CD32" s="49">
        <f t="shared" si="53"/>
        <v>3.6</v>
      </c>
      <c r="CE32" s="3">
        <f t="shared" si="54"/>
        <v>0.01</v>
      </c>
      <c r="CF32" s="50">
        <f t="shared" si="76"/>
        <v>208.03115176338372</v>
      </c>
      <c r="CG32" s="3">
        <f t="shared" si="55"/>
        <v>270</v>
      </c>
      <c r="CH32" s="3">
        <f t="shared" si="56"/>
        <v>2.0874999999999999E-3</v>
      </c>
      <c r="CI32" s="3">
        <f t="shared" si="77"/>
        <v>7.9999999999999725</v>
      </c>
      <c r="CJ32" s="3">
        <f t="shared" si="78"/>
        <v>0</v>
      </c>
      <c r="CK32" s="3">
        <f t="shared" si="57"/>
        <v>3.6</v>
      </c>
      <c r="CL32" s="214">
        <f t="shared" si="58"/>
        <v>1.35E-2</v>
      </c>
      <c r="CM32" s="50">
        <f t="shared" si="79"/>
        <v>278.02330871099218</v>
      </c>
      <c r="CO32" s="4" t="s">
        <v>174</v>
      </c>
      <c r="CP32" s="24">
        <f>IF(OR(C15="None",CP30&lt;=Vsupply),0,1)</f>
        <v>0</v>
      </c>
      <c r="CQ32" s="24">
        <f>IF(OR(D15="None",CQ30&lt;=Vsupply),0,1)</f>
        <v>0</v>
      </c>
      <c r="CR32" s="24">
        <f>IF(OR(C8&lt;3,CR30&lt;=Vsupply),0,1)</f>
        <v>0</v>
      </c>
      <c r="CS32" s="24">
        <f>IF(OR(C8&lt;4,CS30&lt;=Vsupply),0,1)</f>
        <v>0</v>
      </c>
      <c r="CT32" s="24">
        <f>IF(OR(C8&lt;5,CT30&lt;=Vsupply),0,1)</f>
        <v>0</v>
      </c>
      <c r="CV32" s="4" t="b">
        <f t="shared" si="86"/>
        <v>0</v>
      </c>
    </row>
    <row r="33" spans="2:100">
      <c r="B33" s="7" t="s">
        <v>348</v>
      </c>
      <c r="C33" s="123">
        <f>IF(C15="None", "",IF(calcshunt="Yes",C32, $J$19))</f>
        <v>5</v>
      </c>
      <c r="D33" s="123">
        <f>IF(D15="None", "",IF(calcshunt="Yes",D32, $J$19))</f>
        <v>5</v>
      </c>
      <c r="E33" s="123">
        <f>IF(E15="None", "",IF(calcshunt="Yes",E32, $J$19))</f>
        <v>5</v>
      </c>
      <c r="F33" s="123">
        <f>IF(F15="None", "",IF(calcshunt="Yes",F32, $J$19))</f>
        <v>5</v>
      </c>
      <c r="G33" s="123">
        <f>IF(G15="None", "",IF(calcshunt="Yes",G32, $J$19))</f>
        <v>5</v>
      </c>
      <c r="P33" s="116">
        <f t="shared" si="85"/>
        <v>3.0000000000000001E-5</v>
      </c>
      <c r="Q33" s="135">
        <f t="shared" si="0"/>
        <v>1.5000000000000002E-7</v>
      </c>
      <c r="R33" s="49">
        <f t="shared" si="1"/>
        <v>3333.333333333333</v>
      </c>
      <c r="S33" s="3">
        <f t="shared" si="2"/>
        <v>8.0000000000000002E-3</v>
      </c>
      <c r="T33" s="49">
        <f t="shared" si="3"/>
        <v>26.666666666666572</v>
      </c>
      <c r="U33" s="49">
        <f t="shared" si="4"/>
        <v>0</v>
      </c>
      <c r="V33" s="49">
        <f t="shared" si="5"/>
        <v>2.666666666666667</v>
      </c>
      <c r="W33" s="3">
        <f t="shared" si="6"/>
        <v>0.01</v>
      </c>
      <c r="X33" s="50">
        <f t="shared" si="60"/>
        <v>3360.0010582252958</v>
      </c>
      <c r="Y33" s="3">
        <f t="shared" si="7"/>
        <v>3566.6666666666665</v>
      </c>
      <c r="Z33" s="3">
        <f t="shared" si="8"/>
        <v>8.6999999999999994E-3</v>
      </c>
      <c r="AA33" s="3">
        <f t="shared" si="61"/>
        <v>26.666666666666572</v>
      </c>
      <c r="AB33" s="3">
        <f t="shared" si="62"/>
        <v>0</v>
      </c>
      <c r="AC33" s="3">
        <f t="shared" si="9"/>
        <v>2.666666666666667</v>
      </c>
      <c r="AD33" s="214">
        <f t="shared" si="10"/>
        <v>1.35E-2</v>
      </c>
      <c r="AE33" s="136">
        <f t="shared" si="63"/>
        <v>3593.3343228557924</v>
      </c>
      <c r="AF33" s="16">
        <f t="shared" si="12"/>
        <v>1.5000000000000002E-7</v>
      </c>
      <c r="AG33" s="49">
        <f t="shared" si="13"/>
        <v>53.333333333333321</v>
      </c>
      <c r="AH33" s="3">
        <f t="shared" si="14"/>
        <v>1.4999999999999999E-4</v>
      </c>
      <c r="AI33" s="49">
        <f t="shared" si="15"/>
        <v>0.3341248224181802</v>
      </c>
      <c r="AJ33" s="49">
        <f t="shared" si="16"/>
        <v>7.5894663844040862</v>
      </c>
      <c r="AK33" s="49">
        <f t="shared" si="17"/>
        <v>1.5</v>
      </c>
      <c r="AL33" s="3">
        <f t="shared" si="18"/>
        <v>0.01</v>
      </c>
      <c r="AM33" s="50">
        <f t="shared" si="64"/>
        <v>61.275287874809827</v>
      </c>
      <c r="AN33" s="3">
        <f t="shared" si="19"/>
        <v>76.666666666666657</v>
      </c>
      <c r="AO33" s="3">
        <f t="shared" si="20"/>
        <v>2.1999999999999998E-4</v>
      </c>
      <c r="AP33" s="3">
        <f t="shared" si="65"/>
        <v>0.3341248224181802</v>
      </c>
      <c r="AQ33" s="3">
        <f t="shared" si="66"/>
        <v>7.5894663844040862</v>
      </c>
      <c r="AR33" s="3">
        <f t="shared" si="21"/>
        <v>1.5</v>
      </c>
      <c r="AS33" s="214">
        <f t="shared" si="22"/>
        <v>1.35E-2</v>
      </c>
      <c r="AT33" s="50">
        <f t="shared" si="67"/>
        <v>84.60355730938123</v>
      </c>
      <c r="AU33" s="16">
        <f t="shared" si="24"/>
        <v>1.5000000000000002E-7</v>
      </c>
      <c r="AV33" s="49">
        <f t="shared" si="25"/>
        <v>999.99999999999977</v>
      </c>
      <c r="AW33" s="3">
        <f t="shared" si="26"/>
        <v>8.0000000000000002E-3</v>
      </c>
      <c r="AX33" s="49">
        <f t="shared" si="27"/>
        <v>26.666666666666572</v>
      </c>
      <c r="AY33" s="49">
        <f t="shared" si="28"/>
        <v>5047.6587558415422</v>
      </c>
      <c r="AZ33" s="49">
        <f t="shared" si="29"/>
        <v>2.666666666666667</v>
      </c>
      <c r="BA33" s="3">
        <f t="shared" si="30"/>
        <v>0.01</v>
      </c>
      <c r="BB33" s="50">
        <f t="shared" si="68"/>
        <v>6074.3260078633111</v>
      </c>
      <c r="BC33" s="3">
        <f t="shared" si="31"/>
        <v>1233.333333333333</v>
      </c>
      <c r="BD33" s="3">
        <f t="shared" si="32"/>
        <v>8.6999999999999994E-3</v>
      </c>
      <c r="BE33" s="3">
        <f t="shared" si="69"/>
        <v>26.666666666666572</v>
      </c>
      <c r="BF33" s="3">
        <f t="shared" si="70"/>
        <v>5047.6587558415422</v>
      </c>
      <c r="BG33" s="3">
        <f t="shared" si="33"/>
        <v>2.666666666666667</v>
      </c>
      <c r="BH33" s="214">
        <f t="shared" si="34"/>
        <v>1.35E-2</v>
      </c>
      <c r="BI33" s="50">
        <f t="shared" si="71"/>
        <v>6307.6593195505984</v>
      </c>
      <c r="BJ33" s="16">
        <f t="shared" si="36"/>
        <v>1.5000000000000002E-7</v>
      </c>
      <c r="BK33" s="49">
        <f t="shared" si="37"/>
        <v>999.99999999999977</v>
      </c>
      <c r="BL33" s="3">
        <f t="shared" si="38"/>
        <v>1E-3</v>
      </c>
      <c r="BM33" s="49">
        <f t="shared" si="39"/>
        <v>6.666666666666643</v>
      </c>
      <c r="BN33" s="49">
        <f t="shared" si="40"/>
        <v>239.99999999999997</v>
      </c>
      <c r="BO33" s="49">
        <f t="shared" si="41"/>
        <v>1.5</v>
      </c>
      <c r="BP33" s="3">
        <f t="shared" si="42"/>
        <v>0.01</v>
      </c>
      <c r="BQ33" s="50">
        <f t="shared" si="72"/>
        <v>1246.6675691132648</v>
      </c>
      <c r="BR33" s="3">
        <f t="shared" si="43"/>
        <v>1116.6666666666665</v>
      </c>
      <c r="BS33" s="3">
        <f t="shared" si="44"/>
        <v>1.175E-3</v>
      </c>
      <c r="BT33" s="3">
        <f t="shared" si="73"/>
        <v>6.666666666666643</v>
      </c>
      <c r="BU33" s="3">
        <f t="shared" si="74"/>
        <v>239.99999999999997</v>
      </c>
      <c r="BV33" s="3">
        <f t="shared" si="45"/>
        <v>1.5</v>
      </c>
      <c r="BW33" s="214">
        <f t="shared" si="46"/>
        <v>1.35E-2</v>
      </c>
      <c r="BX33" s="50">
        <f t="shared" si="75"/>
        <v>1363.3341585838039</v>
      </c>
      <c r="BY33" s="16">
        <f t="shared" si="48"/>
        <v>1.5000000000000002E-7</v>
      </c>
      <c r="BZ33" s="49">
        <f t="shared" si="49"/>
        <v>166.66666666666663</v>
      </c>
      <c r="CA33" s="3">
        <f t="shared" si="50"/>
        <v>2E-3</v>
      </c>
      <c r="CB33" s="49">
        <f t="shared" si="51"/>
        <v>6.666666666666643</v>
      </c>
      <c r="CC33" s="49">
        <f t="shared" si="52"/>
        <v>0</v>
      </c>
      <c r="CD33" s="49">
        <f t="shared" si="53"/>
        <v>3</v>
      </c>
      <c r="CE33" s="3">
        <f t="shared" si="54"/>
        <v>0.01</v>
      </c>
      <c r="CF33" s="50">
        <f t="shared" si="76"/>
        <v>173.35929322780601</v>
      </c>
      <c r="CG33" s="3">
        <f t="shared" si="55"/>
        <v>224.99999999999994</v>
      </c>
      <c r="CH33" s="3">
        <f t="shared" si="56"/>
        <v>2.0874999999999999E-3</v>
      </c>
      <c r="CI33" s="3">
        <f t="shared" si="77"/>
        <v>6.666666666666643</v>
      </c>
      <c r="CJ33" s="3">
        <f t="shared" si="78"/>
        <v>0</v>
      </c>
      <c r="CK33" s="3">
        <f t="shared" si="57"/>
        <v>3</v>
      </c>
      <c r="CL33" s="214">
        <f t="shared" si="58"/>
        <v>1.35E-2</v>
      </c>
      <c r="CM33" s="50">
        <f t="shared" si="79"/>
        <v>231.68609071554567</v>
      </c>
      <c r="CV33" s="4" t="b">
        <f t="shared" si="86"/>
        <v>0</v>
      </c>
    </row>
    <row r="34" spans="2:100">
      <c r="B34" s="124" t="str">
        <f>"Power (mW) at "&amp;maxcurrent&amp;"A"</f>
        <v>Power (mW) at 10A</v>
      </c>
      <c r="C34" s="48">
        <f>IF(C15="None", "",C33*(maxcurrent^2))</f>
        <v>500</v>
      </c>
      <c r="D34" s="48">
        <f>IF(D15="None", "",D33*(maxcurrent^2))</f>
        <v>500</v>
      </c>
      <c r="E34" s="48">
        <f>IF(E15="None", "",E33*(maxcurrent^2))</f>
        <v>500</v>
      </c>
      <c r="F34" s="48">
        <f>IF(F15="None", "",F33*(maxcurrent^2))</f>
        <v>500</v>
      </c>
      <c r="G34" s="48">
        <f>IF(G15="None", "",G33*(maxcurrent^2))</f>
        <v>500</v>
      </c>
      <c r="P34" s="116">
        <f t="shared" si="85"/>
        <v>3.4999999999999997E-5</v>
      </c>
      <c r="Q34" s="135">
        <f t="shared" si="0"/>
        <v>1.7499999999999997E-7</v>
      </c>
      <c r="R34" s="49">
        <f t="shared" si="1"/>
        <v>2857.1428571428578</v>
      </c>
      <c r="S34" s="3">
        <f t="shared" si="2"/>
        <v>8.0000000000000002E-3</v>
      </c>
      <c r="T34" s="49">
        <f t="shared" si="3"/>
        <v>22.857142857142783</v>
      </c>
      <c r="U34" s="49">
        <f t="shared" si="4"/>
        <v>0</v>
      </c>
      <c r="V34" s="49">
        <f t="shared" si="5"/>
        <v>2.285714285714286</v>
      </c>
      <c r="W34" s="3">
        <f t="shared" si="6"/>
        <v>0.01</v>
      </c>
      <c r="X34" s="50">
        <f t="shared" si="60"/>
        <v>2880.000907057808</v>
      </c>
      <c r="Y34" s="3">
        <f t="shared" si="7"/>
        <v>3057.1428571428578</v>
      </c>
      <c r="Z34" s="3">
        <f t="shared" si="8"/>
        <v>8.6999999999999994E-3</v>
      </c>
      <c r="AA34" s="3">
        <f t="shared" si="61"/>
        <v>22.857142857142783</v>
      </c>
      <c r="AB34" s="3">
        <f t="shared" si="62"/>
        <v>0</v>
      </c>
      <c r="AC34" s="3">
        <f t="shared" si="9"/>
        <v>2.285714285714286</v>
      </c>
      <c r="AD34" s="214">
        <f t="shared" si="10"/>
        <v>1.35E-2</v>
      </c>
      <c r="AE34" s="136">
        <f t="shared" si="63"/>
        <v>3080.0008481732175</v>
      </c>
      <c r="AF34" s="16">
        <f t="shared" si="12"/>
        <v>1.7499999999999997E-7</v>
      </c>
      <c r="AG34" s="49">
        <f t="shared" si="13"/>
        <v>45.714285714285722</v>
      </c>
      <c r="AH34" s="3">
        <f t="shared" si="14"/>
        <v>1.4999999999999999E-4</v>
      </c>
      <c r="AI34" s="49">
        <f t="shared" si="15"/>
        <v>0.28639270492986885</v>
      </c>
      <c r="AJ34" s="49">
        <f t="shared" si="16"/>
        <v>6.5052569009177903</v>
      </c>
      <c r="AK34" s="49">
        <f t="shared" si="17"/>
        <v>1.2857142857142858</v>
      </c>
      <c r="AL34" s="3">
        <f t="shared" si="18"/>
        <v>0.01</v>
      </c>
      <c r="AM34" s="50">
        <f t="shared" si="64"/>
        <v>52.521675573890633</v>
      </c>
      <c r="AN34" s="3">
        <f t="shared" si="19"/>
        <v>65.714285714285722</v>
      </c>
      <c r="AO34" s="3">
        <f t="shared" si="20"/>
        <v>2.1999999999999998E-4</v>
      </c>
      <c r="AP34" s="3">
        <f t="shared" si="65"/>
        <v>0.28639270492986885</v>
      </c>
      <c r="AQ34" s="3">
        <f t="shared" si="66"/>
        <v>6.5052569009177903</v>
      </c>
      <c r="AR34" s="3">
        <f t="shared" si="21"/>
        <v>1.2857142857142858</v>
      </c>
      <c r="AS34" s="214">
        <f t="shared" si="22"/>
        <v>1.35E-2</v>
      </c>
      <c r="AT34" s="50">
        <f t="shared" si="67"/>
        <v>72.517335170083669</v>
      </c>
      <c r="AU34" s="16">
        <f t="shared" si="24"/>
        <v>1.7499999999999997E-7</v>
      </c>
      <c r="AV34" s="49">
        <f t="shared" si="25"/>
        <v>857.14285714285722</v>
      </c>
      <c r="AW34" s="3">
        <f t="shared" si="26"/>
        <v>8.0000000000000002E-3</v>
      </c>
      <c r="AX34" s="49">
        <f t="shared" si="27"/>
        <v>22.857142857142783</v>
      </c>
      <c r="AY34" s="49">
        <f t="shared" si="28"/>
        <v>4326.5646478641802</v>
      </c>
      <c r="AZ34" s="49">
        <f t="shared" si="29"/>
        <v>2.285714285714286</v>
      </c>
      <c r="BA34" s="3">
        <f t="shared" si="30"/>
        <v>0.01</v>
      </c>
      <c r="BB34" s="50">
        <f t="shared" si="68"/>
        <v>5206.5651496013043</v>
      </c>
      <c r="BC34" s="3">
        <f t="shared" si="31"/>
        <v>1057.1428571428573</v>
      </c>
      <c r="BD34" s="3">
        <f t="shared" si="32"/>
        <v>8.6999999999999994E-3</v>
      </c>
      <c r="BE34" s="3">
        <f t="shared" si="69"/>
        <v>22.857142857142783</v>
      </c>
      <c r="BF34" s="3">
        <f t="shared" si="70"/>
        <v>4326.5646478641802</v>
      </c>
      <c r="BG34" s="3">
        <f t="shared" si="33"/>
        <v>2.285714285714286</v>
      </c>
      <c r="BH34" s="214">
        <f t="shared" si="34"/>
        <v>1.35E-2</v>
      </c>
      <c r="BI34" s="50">
        <f t="shared" si="71"/>
        <v>5406.5651310497005</v>
      </c>
      <c r="BJ34" s="16">
        <f t="shared" si="36"/>
        <v>1.7499999999999997E-7</v>
      </c>
      <c r="BK34" s="49">
        <f t="shared" si="37"/>
        <v>857.14285714285722</v>
      </c>
      <c r="BL34" s="3">
        <f t="shared" si="38"/>
        <v>1E-3</v>
      </c>
      <c r="BM34" s="49">
        <f t="shared" si="39"/>
        <v>5.7142857142856958</v>
      </c>
      <c r="BN34" s="49">
        <f t="shared" si="40"/>
        <v>205.71428571428575</v>
      </c>
      <c r="BO34" s="49">
        <f t="shared" si="41"/>
        <v>1.2857142857142858</v>
      </c>
      <c r="BP34" s="3">
        <f t="shared" si="42"/>
        <v>0.01</v>
      </c>
      <c r="BQ34" s="50">
        <f t="shared" si="72"/>
        <v>1068.5722021096226</v>
      </c>
      <c r="BR34" s="3">
        <f t="shared" si="43"/>
        <v>957.14285714285722</v>
      </c>
      <c r="BS34" s="3">
        <f t="shared" si="44"/>
        <v>1.175E-3</v>
      </c>
      <c r="BT34" s="3">
        <f t="shared" si="73"/>
        <v>5.7142857142856958</v>
      </c>
      <c r="BU34" s="3">
        <f t="shared" si="74"/>
        <v>205.71428571428575</v>
      </c>
      <c r="BV34" s="3">
        <f t="shared" si="45"/>
        <v>1.2857142857142858</v>
      </c>
      <c r="BW34" s="214">
        <f t="shared" si="46"/>
        <v>1.35E-2</v>
      </c>
      <c r="BX34" s="50">
        <f t="shared" si="75"/>
        <v>1168.57213594982</v>
      </c>
      <c r="BY34" s="16">
        <f t="shared" si="48"/>
        <v>1.7499999999999997E-7</v>
      </c>
      <c r="BZ34" s="49">
        <f t="shared" si="49"/>
        <v>142.85714285714286</v>
      </c>
      <c r="CA34" s="3">
        <f t="shared" si="50"/>
        <v>2E-3</v>
      </c>
      <c r="CB34" s="49">
        <f t="shared" si="51"/>
        <v>5.7142857142856958</v>
      </c>
      <c r="CC34" s="49">
        <f t="shared" si="52"/>
        <v>0</v>
      </c>
      <c r="CD34" s="49">
        <f t="shared" si="53"/>
        <v>2.5714285714285716</v>
      </c>
      <c r="CE34" s="3">
        <f t="shared" si="54"/>
        <v>0.01</v>
      </c>
      <c r="CF34" s="50">
        <f t="shared" si="76"/>
        <v>148.59368000239127</v>
      </c>
      <c r="CG34" s="3">
        <f t="shared" si="55"/>
        <v>192.85714285714286</v>
      </c>
      <c r="CH34" s="3">
        <f t="shared" si="56"/>
        <v>2.0874999999999999E-3</v>
      </c>
      <c r="CI34" s="3">
        <f t="shared" si="77"/>
        <v>5.7142857142856958</v>
      </c>
      <c r="CJ34" s="3">
        <f t="shared" si="78"/>
        <v>0</v>
      </c>
      <c r="CK34" s="3">
        <f t="shared" si="57"/>
        <v>2.5714285714285716</v>
      </c>
      <c r="CL34" s="214">
        <f t="shared" si="58"/>
        <v>1.35E-2</v>
      </c>
      <c r="CM34" s="50">
        <f t="shared" si="79"/>
        <v>198.58807788083243</v>
      </c>
      <c r="CV34" s="4" t="b">
        <f t="shared" si="86"/>
        <v>0</v>
      </c>
    </row>
    <row r="35" spans="2:100">
      <c r="B35" s="124" t="str">
        <f>"Error at "&amp;$J$14&amp;"A"</f>
        <v>Error at 10A</v>
      </c>
      <c r="C35" s="75">
        <f>IF((CP$22+CP$27+CP$28+CP$31+CP$32)&gt;0,"SPEC ERROR",IF(C$15="None","",X181))</f>
        <v>1.629743734456433E-2</v>
      </c>
      <c r="D35" s="75">
        <f>IF((CQ$22+CQ$27+CQ$28+CQ$31+CQ$32)&gt;0,"SPEC ERROR",IF(D$15="None","",AM181))</f>
        <v>1.0002814201375384E-2</v>
      </c>
      <c r="E35" s="75">
        <f>IF((CR$22+CR$27+CR$28+CR$31+CR$32)&gt;0,"SPEC ERROR",IF(E$15="None","",BB181))</f>
        <v>2.22727844699931E-2</v>
      </c>
      <c r="F35" s="75">
        <f>IF((CS$22+CS$27+CS$28+CS$31+CS$32)&gt;0,"SPEC ERROR",IF(F$15="None","",BQ181))</f>
        <v>1.0723228070408649E-2</v>
      </c>
      <c r="G35" s="75">
        <f>IF((CT$22+CT$27+CT$28+CT$31+CT$32)&gt;0,"SPEC ERROR",IF(G$15="None","",CF181))</f>
        <v>1.0211291837960563E-2</v>
      </c>
      <c r="P35" s="116">
        <f t="shared" si="85"/>
        <v>3.9999999999999996E-5</v>
      </c>
      <c r="Q35" s="135">
        <f t="shared" si="0"/>
        <v>1.9999999999999999E-7</v>
      </c>
      <c r="R35" s="49">
        <f t="shared" si="1"/>
        <v>2500</v>
      </c>
      <c r="S35" s="3">
        <f t="shared" si="2"/>
        <v>8.0000000000000002E-3</v>
      </c>
      <c r="T35" s="49">
        <f t="shared" si="3"/>
        <v>19.999999999999932</v>
      </c>
      <c r="U35" s="49">
        <f t="shared" si="4"/>
        <v>0</v>
      </c>
      <c r="V35" s="49">
        <f t="shared" si="5"/>
        <v>2.0000000000000004</v>
      </c>
      <c r="W35" s="3">
        <f t="shared" si="6"/>
        <v>0.01</v>
      </c>
      <c r="X35" s="50">
        <f t="shared" si="60"/>
        <v>2520.000793683208</v>
      </c>
      <c r="Y35" s="3">
        <f t="shared" si="7"/>
        <v>2675</v>
      </c>
      <c r="Z35" s="3">
        <f t="shared" si="8"/>
        <v>8.6999999999999994E-3</v>
      </c>
      <c r="AA35" s="3">
        <f t="shared" si="61"/>
        <v>19.999999999999932</v>
      </c>
      <c r="AB35" s="3">
        <f t="shared" si="62"/>
        <v>0</v>
      </c>
      <c r="AC35" s="3">
        <f t="shared" si="9"/>
        <v>2.0000000000000004</v>
      </c>
      <c r="AD35" s="214">
        <f t="shared" si="10"/>
        <v>1.35E-2</v>
      </c>
      <c r="AE35" s="136">
        <f t="shared" si="63"/>
        <v>2695.0007421627811</v>
      </c>
      <c r="AF35" s="16">
        <f t="shared" si="12"/>
        <v>1.9999999999999999E-7</v>
      </c>
      <c r="AG35" s="49">
        <f t="shared" si="13"/>
        <v>40</v>
      </c>
      <c r="AH35" s="3">
        <f t="shared" si="14"/>
        <v>1.4999999999999999E-4</v>
      </c>
      <c r="AI35" s="49">
        <f t="shared" si="15"/>
        <v>0.25059361681363518</v>
      </c>
      <c r="AJ35" s="49">
        <f t="shared" si="16"/>
        <v>5.6920997883030662</v>
      </c>
      <c r="AK35" s="49">
        <f t="shared" si="17"/>
        <v>1.1250000000000002</v>
      </c>
      <c r="AL35" s="3">
        <f t="shared" si="18"/>
        <v>0.01</v>
      </c>
      <c r="AM35" s="50">
        <f t="shared" si="64"/>
        <v>45.95646638220844</v>
      </c>
      <c r="AN35" s="3">
        <f t="shared" si="19"/>
        <v>57.5</v>
      </c>
      <c r="AO35" s="3">
        <f t="shared" si="20"/>
        <v>2.1999999999999998E-4</v>
      </c>
      <c r="AP35" s="3">
        <f t="shared" si="65"/>
        <v>0.25059361681363518</v>
      </c>
      <c r="AQ35" s="3">
        <f t="shared" si="66"/>
        <v>5.6920997883030662</v>
      </c>
      <c r="AR35" s="3">
        <f t="shared" si="21"/>
        <v>1.1250000000000002</v>
      </c>
      <c r="AS35" s="214">
        <f t="shared" si="22"/>
        <v>1.35E-2</v>
      </c>
      <c r="AT35" s="50">
        <f t="shared" si="67"/>
        <v>63.452668610500844</v>
      </c>
      <c r="AU35" s="16">
        <f t="shared" si="24"/>
        <v>1.9999999999999999E-7</v>
      </c>
      <c r="AV35" s="49">
        <f t="shared" si="25"/>
        <v>750</v>
      </c>
      <c r="AW35" s="3">
        <f t="shared" si="26"/>
        <v>8.0000000000000002E-3</v>
      </c>
      <c r="AX35" s="49">
        <f t="shared" si="27"/>
        <v>19.999999999999932</v>
      </c>
      <c r="AY35" s="49">
        <f t="shared" si="28"/>
        <v>3785.7440668811573</v>
      </c>
      <c r="AZ35" s="49">
        <f t="shared" si="29"/>
        <v>2.0000000000000004</v>
      </c>
      <c r="BA35" s="3">
        <f t="shared" si="30"/>
        <v>0.01</v>
      </c>
      <c r="BB35" s="50">
        <f t="shared" si="68"/>
        <v>4555.7445059053589</v>
      </c>
      <c r="BC35" s="3">
        <f t="shared" si="31"/>
        <v>925</v>
      </c>
      <c r="BD35" s="3">
        <f t="shared" si="32"/>
        <v>8.6999999999999994E-3</v>
      </c>
      <c r="BE35" s="3">
        <f t="shared" si="69"/>
        <v>19.999999999999932</v>
      </c>
      <c r="BF35" s="3">
        <f t="shared" si="70"/>
        <v>3785.7440668811573</v>
      </c>
      <c r="BG35" s="3">
        <f t="shared" si="33"/>
        <v>2.0000000000000004</v>
      </c>
      <c r="BH35" s="214">
        <f t="shared" si="34"/>
        <v>1.35E-2</v>
      </c>
      <c r="BI35" s="50">
        <f t="shared" si="71"/>
        <v>4730.7444896748766</v>
      </c>
      <c r="BJ35" s="16">
        <f t="shared" si="36"/>
        <v>1.9999999999999999E-7</v>
      </c>
      <c r="BK35" s="49">
        <f t="shared" si="37"/>
        <v>750</v>
      </c>
      <c r="BL35" s="3">
        <f t="shared" si="38"/>
        <v>1E-3</v>
      </c>
      <c r="BM35" s="49">
        <f t="shared" si="39"/>
        <v>4.9999999999999831</v>
      </c>
      <c r="BN35" s="49">
        <f t="shared" si="40"/>
        <v>180</v>
      </c>
      <c r="BO35" s="49">
        <f t="shared" si="41"/>
        <v>1.1250000000000002</v>
      </c>
      <c r="BP35" s="3">
        <f t="shared" si="42"/>
        <v>0.01</v>
      </c>
      <c r="BQ35" s="50">
        <f t="shared" si="72"/>
        <v>935.00067685857846</v>
      </c>
      <c r="BR35" s="3">
        <f t="shared" si="43"/>
        <v>837.5</v>
      </c>
      <c r="BS35" s="3">
        <f t="shared" si="44"/>
        <v>1.175E-3</v>
      </c>
      <c r="BT35" s="3">
        <f t="shared" si="73"/>
        <v>4.9999999999999831</v>
      </c>
      <c r="BU35" s="3">
        <f t="shared" si="74"/>
        <v>180</v>
      </c>
      <c r="BV35" s="3">
        <f t="shared" si="45"/>
        <v>1.1250000000000002</v>
      </c>
      <c r="BW35" s="214">
        <f t="shared" si="46"/>
        <v>1.35E-2</v>
      </c>
      <c r="BX35" s="50">
        <f t="shared" si="75"/>
        <v>1022.5006189771382</v>
      </c>
      <c r="BY35" s="16">
        <f t="shared" si="48"/>
        <v>1.9999999999999999E-7</v>
      </c>
      <c r="BZ35" s="49">
        <f t="shared" si="49"/>
        <v>125</v>
      </c>
      <c r="CA35" s="3">
        <f t="shared" si="50"/>
        <v>2E-3</v>
      </c>
      <c r="CB35" s="49">
        <f t="shared" si="51"/>
        <v>4.9999999999999831</v>
      </c>
      <c r="CC35" s="49">
        <f t="shared" si="52"/>
        <v>0</v>
      </c>
      <c r="CD35" s="49">
        <f t="shared" si="53"/>
        <v>2.2500000000000004</v>
      </c>
      <c r="CE35" s="3">
        <f t="shared" si="54"/>
        <v>0.01</v>
      </c>
      <c r="CF35" s="50">
        <f t="shared" si="76"/>
        <v>130.01947009582832</v>
      </c>
      <c r="CG35" s="3">
        <f t="shared" si="55"/>
        <v>168.75</v>
      </c>
      <c r="CH35" s="3">
        <f t="shared" si="56"/>
        <v>2.0874999999999999E-3</v>
      </c>
      <c r="CI35" s="3">
        <f t="shared" si="77"/>
        <v>4.9999999999999831</v>
      </c>
      <c r="CJ35" s="3">
        <f t="shared" si="78"/>
        <v>0</v>
      </c>
      <c r="CK35" s="3">
        <f t="shared" si="57"/>
        <v>2.2500000000000004</v>
      </c>
      <c r="CL35" s="214">
        <f t="shared" si="58"/>
        <v>1.35E-2</v>
      </c>
      <c r="CM35" s="50">
        <f t="shared" si="79"/>
        <v>173.7645682715773</v>
      </c>
      <c r="CV35" s="4" t="b">
        <f t="shared" si="86"/>
        <v>1</v>
      </c>
    </row>
    <row r="36" spans="2:100">
      <c r="B36" s="124" t="str">
        <f>"Error at "&amp;$J$15&amp;"A"</f>
        <v>Error at 4A</v>
      </c>
      <c r="C36" s="75">
        <f>IF((CP$22+CP$27+CP$28+CP$31+CP$32)&gt;0,"SPEC ERROR",IF(C$15="None","",X182))</f>
        <v>2.8267302665800995E-2</v>
      </c>
      <c r="D36" s="75">
        <f>IF((CQ$22+CQ$27+CQ$28+CQ$31+CQ$32)&gt;0,"SPEC ERROR",IF(D$15="None","",AM182))</f>
        <v>1.0011678164535237E-2</v>
      </c>
      <c r="E36" s="75">
        <f>IF((CR$22+CR$27+CR$28+CR$31+CR$32)&gt;0,"SPEC ERROR",IF(E$15="None","",BB182))</f>
        <v>4.7323152898895965E-2</v>
      </c>
      <c r="F36" s="75">
        <f>IF((CS$22+CS$27+CS$28+CS$31+CS$32)&gt;0,"SPEC ERROR",IF(F$15="None","",BQ182))</f>
        <v>1.3726712154135817E-2</v>
      </c>
      <c r="G36" s="75">
        <f>IF((CT$22+CT$27+CT$28+CT$31+CT$32)&gt;0,"SPEC ERROR",IF(G$15="None","",CF182))</f>
        <v>1.0280588808526486E-2</v>
      </c>
      <c r="P36" s="116">
        <f t="shared" si="85"/>
        <v>4.5000000000000003E-5</v>
      </c>
      <c r="Q36" s="135">
        <f t="shared" si="0"/>
        <v>2.2500000000000002E-7</v>
      </c>
      <c r="R36" s="49">
        <f t="shared" si="1"/>
        <v>2222.2222222222222</v>
      </c>
      <c r="S36" s="3">
        <f t="shared" si="2"/>
        <v>8.0000000000000002E-3</v>
      </c>
      <c r="T36" s="49">
        <f t="shared" si="3"/>
        <v>17.777777777777715</v>
      </c>
      <c r="U36" s="49">
        <f t="shared" si="4"/>
        <v>0</v>
      </c>
      <c r="V36" s="49">
        <f t="shared" si="5"/>
        <v>1.7777777777777779</v>
      </c>
      <c r="W36" s="3">
        <f t="shared" si="6"/>
        <v>0.01</v>
      </c>
      <c r="X36" s="50">
        <f t="shared" si="60"/>
        <v>2240.0007055038682</v>
      </c>
      <c r="Y36" s="3">
        <f t="shared" si="7"/>
        <v>2377.7777777777778</v>
      </c>
      <c r="Z36" s="3">
        <f t="shared" si="8"/>
        <v>8.6999999999999994E-3</v>
      </c>
      <c r="AA36" s="3">
        <f t="shared" si="61"/>
        <v>17.777777777777715</v>
      </c>
      <c r="AB36" s="3">
        <f t="shared" si="62"/>
        <v>0</v>
      </c>
      <c r="AC36" s="3">
        <f t="shared" si="9"/>
        <v>1.7777777777777779</v>
      </c>
      <c r="AD36" s="214">
        <f t="shared" si="10"/>
        <v>1.35E-2</v>
      </c>
      <c r="AE36" s="136">
        <f t="shared" si="63"/>
        <v>2395.5562152671046</v>
      </c>
      <c r="AF36" s="16">
        <f t="shared" si="12"/>
        <v>2.2500000000000002E-7</v>
      </c>
      <c r="AG36" s="49">
        <f t="shared" si="13"/>
        <v>35.55555555555555</v>
      </c>
      <c r="AH36" s="3">
        <f t="shared" si="14"/>
        <v>1.4999999999999999E-4</v>
      </c>
      <c r="AI36" s="49">
        <f t="shared" si="15"/>
        <v>0.22274988161212014</v>
      </c>
      <c r="AJ36" s="49">
        <f t="shared" si="16"/>
        <v>5.0596442562693911</v>
      </c>
      <c r="AK36" s="49">
        <f t="shared" si="17"/>
        <v>1</v>
      </c>
      <c r="AL36" s="3">
        <f t="shared" si="18"/>
        <v>0.01</v>
      </c>
      <c r="AM36" s="50">
        <f t="shared" si="64"/>
        <v>40.850192596684245</v>
      </c>
      <c r="AN36" s="3">
        <f t="shared" si="19"/>
        <v>51.1111111111111</v>
      </c>
      <c r="AO36" s="3">
        <f t="shared" si="20"/>
        <v>2.1999999999999998E-4</v>
      </c>
      <c r="AP36" s="3">
        <f t="shared" si="65"/>
        <v>0.22274988161212014</v>
      </c>
      <c r="AQ36" s="3">
        <f t="shared" si="66"/>
        <v>5.0596442562693911</v>
      </c>
      <c r="AR36" s="3">
        <f t="shared" si="21"/>
        <v>1</v>
      </c>
      <c r="AS36" s="214">
        <f t="shared" si="22"/>
        <v>1.35E-2</v>
      </c>
      <c r="AT36" s="50">
        <f t="shared" si="67"/>
        <v>56.402372437394483</v>
      </c>
      <c r="AU36" s="16">
        <f t="shared" si="24"/>
        <v>2.2500000000000002E-7</v>
      </c>
      <c r="AV36" s="49">
        <f t="shared" si="25"/>
        <v>666.66666666666652</v>
      </c>
      <c r="AW36" s="3">
        <f t="shared" si="26"/>
        <v>8.0000000000000002E-3</v>
      </c>
      <c r="AX36" s="49">
        <f t="shared" si="27"/>
        <v>17.777777777777715</v>
      </c>
      <c r="AY36" s="49">
        <f t="shared" si="28"/>
        <v>3365.1058372276948</v>
      </c>
      <c r="AZ36" s="49">
        <f t="shared" si="29"/>
        <v>1.7777777777777779</v>
      </c>
      <c r="BA36" s="3">
        <f t="shared" si="30"/>
        <v>0.01</v>
      </c>
      <c r="BB36" s="50">
        <f t="shared" si="68"/>
        <v>4049.5506719201239</v>
      </c>
      <c r="BC36" s="3">
        <f t="shared" si="31"/>
        <v>822.22222222222206</v>
      </c>
      <c r="BD36" s="3">
        <f t="shared" si="32"/>
        <v>8.6999999999999994E-3</v>
      </c>
      <c r="BE36" s="3">
        <f t="shared" si="69"/>
        <v>17.777777777777715</v>
      </c>
      <c r="BF36" s="3">
        <f t="shared" si="70"/>
        <v>3365.1058372276948</v>
      </c>
      <c r="BG36" s="3">
        <f t="shared" si="33"/>
        <v>1.7777777777777779</v>
      </c>
      <c r="BH36" s="214">
        <f t="shared" si="34"/>
        <v>1.35E-2</v>
      </c>
      <c r="BI36" s="50">
        <f t="shared" si="71"/>
        <v>4205.1062130507717</v>
      </c>
      <c r="BJ36" s="16">
        <f t="shared" si="36"/>
        <v>2.2500000000000002E-7</v>
      </c>
      <c r="BK36" s="49">
        <f t="shared" si="37"/>
        <v>666.66666666666652</v>
      </c>
      <c r="BL36" s="3">
        <f t="shared" si="38"/>
        <v>1E-3</v>
      </c>
      <c r="BM36" s="49">
        <f t="shared" si="39"/>
        <v>4.4444444444444287</v>
      </c>
      <c r="BN36" s="49">
        <f t="shared" si="40"/>
        <v>160</v>
      </c>
      <c r="BO36" s="49">
        <f t="shared" si="41"/>
        <v>1</v>
      </c>
      <c r="BP36" s="3">
        <f t="shared" si="42"/>
        <v>0.01</v>
      </c>
      <c r="BQ36" s="50">
        <f t="shared" si="72"/>
        <v>831.11171277593326</v>
      </c>
      <c r="BR36" s="3">
        <f t="shared" si="43"/>
        <v>744.44444444444434</v>
      </c>
      <c r="BS36" s="3">
        <f t="shared" si="44"/>
        <v>1.175E-3</v>
      </c>
      <c r="BT36" s="3">
        <f t="shared" si="73"/>
        <v>4.4444444444444287</v>
      </c>
      <c r="BU36" s="3">
        <f t="shared" si="74"/>
        <v>160</v>
      </c>
      <c r="BV36" s="3">
        <f t="shared" si="45"/>
        <v>1</v>
      </c>
      <c r="BW36" s="214">
        <f t="shared" si="46"/>
        <v>1.35E-2</v>
      </c>
      <c r="BX36" s="50">
        <f t="shared" si="75"/>
        <v>908.8894391119909</v>
      </c>
      <c r="BY36" s="16">
        <f t="shared" si="48"/>
        <v>2.2500000000000002E-7</v>
      </c>
      <c r="BZ36" s="49">
        <f t="shared" si="49"/>
        <v>111.1111111111111</v>
      </c>
      <c r="CA36" s="3">
        <f t="shared" si="50"/>
        <v>2E-3</v>
      </c>
      <c r="CB36" s="49">
        <f t="shared" si="51"/>
        <v>4.4444444444444287</v>
      </c>
      <c r="CC36" s="49">
        <f t="shared" si="52"/>
        <v>0</v>
      </c>
      <c r="CD36" s="49">
        <f t="shared" si="53"/>
        <v>2</v>
      </c>
      <c r="CE36" s="3">
        <f t="shared" si="54"/>
        <v>0.01</v>
      </c>
      <c r="CF36" s="50">
        <f t="shared" si="76"/>
        <v>115.57286240183325</v>
      </c>
      <c r="CG36" s="3">
        <f t="shared" si="55"/>
        <v>150</v>
      </c>
      <c r="CH36" s="3">
        <f t="shared" si="56"/>
        <v>2.0874999999999999E-3</v>
      </c>
      <c r="CI36" s="3">
        <f t="shared" si="77"/>
        <v>4.4444444444444287</v>
      </c>
      <c r="CJ36" s="3">
        <f t="shared" si="78"/>
        <v>0</v>
      </c>
      <c r="CK36" s="3">
        <f t="shared" si="57"/>
        <v>2</v>
      </c>
      <c r="CL36" s="214">
        <f t="shared" si="58"/>
        <v>1.35E-2</v>
      </c>
      <c r="CM36" s="50">
        <f t="shared" si="79"/>
        <v>154.45739414596096</v>
      </c>
      <c r="CO36" s="4">
        <v>2</v>
      </c>
      <c r="CR36" s="4" t="s">
        <v>43</v>
      </c>
      <c r="CV36" s="4" t="b">
        <f t="shared" si="86"/>
        <v>1</v>
      </c>
    </row>
    <row r="37" spans="2:100">
      <c r="B37" s="124" t="str">
        <f>"Error at "&amp;$J$16&amp;"A"</f>
        <v>Error at 0,5A</v>
      </c>
      <c r="C37" s="75">
        <f>IF((CP$22+CP$27+CP$28+CP$31+CP$32)&gt;0,"SPEC ERROR",IF(C$15="None","",X183))</f>
        <v>0.2020063998986171</v>
      </c>
      <c r="D37" s="75">
        <f>IF((CQ$22+CQ$27+CQ$28+CQ$31+CQ$32)&gt;0,"SPEC ERROR",IF(D$15="None","",AM183))</f>
        <v>1.0655481166743525E-2</v>
      </c>
      <c r="E37" s="75">
        <f>IF((CR$22+CR$27+CR$28+CR$31+CR$32)&gt;0,"SPEC ERROR",IF(E$15="None","",BB183))</f>
        <v>0.36468448173552204</v>
      </c>
      <c r="F37" s="75">
        <f>IF((CS$22+CS$27+CS$28+CS$31+CS$32)&gt;0,"SPEC ERROR",IF(F$15="None","",BQ183))</f>
        <v>7.5472167717642771E-2</v>
      </c>
      <c r="G37" s="75">
        <f>IF((CT$22+CT$27+CT$28+CT$31+CT$32)&gt;0,"SPEC ERROR",IF(G$15="None","",CF183))</f>
        <v>1.4566825323315989E-2</v>
      </c>
      <c r="P37" s="116">
        <f t="shared" si="85"/>
        <v>5.0000000000000002E-5</v>
      </c>
      <c r="Q37" s="135">
        <f t="shared" si="0"/>
        <v>2.4999999999999999E-7</v>
      </c>
      <c r="R37" s="49">
        <f t="shared" si="1"/>
        <v>2000.0000000000002</v>
      </c>
      <c r="S37" s="3">
        <f t="shared" si="2"/>
        <v>8.0000000000000002E-3</v>
      </c>
      <c r="T37" s="49">
        <f t="shared" si="3"/>
        <v>15.999999999999945</v>
      </c>
      <c r="U37" s="49">
        <f t="shared" si="4"/>
        <v>0</v>
      </c>
      <c r="V37" s="49">
        <f t="shared" si="5"/>
        <v>1.6</v>
      </c>
      <c r="W37" s="3">
        <f t="shared" si="6"/>
        <v>0.01</v>
      </c>
      <c r="X37" s="50">
        <f t="shared" si="60"/>
        <v>2016.0006349612097</v>
      </c>
      <c r="Y37" s="3">
        <f t="shared" si="7"/>
        <v>2140</v>
      </c>
      <c r="Z37" s="3">
        <f t="shared" si="8"/>
        <v>8.6999999999999994E-3</v>
      </c>
      <c r="AA37" s="3">
        <f t="shared" si="61"/>
        <v>15.999999999999945</v>
      </c>
      <c r="AB37" s="3">
        <f t="shared" si="62"/>
        <v>0</v>
      </c>
      <c r="AC37" s="3">
        <f t="shared" si="9"/>
        <v>1.6</v>
      </c>
      <c r="AD37" s="214">
        <f t="shared" si="10"/>
        <v>1.35E-2</v>
      </c>
      <c r="AE37" s="136">
        <f t="shared" si="63"/>
        <v>2156.0005937517594</v>
      </c>
      <c r="AF37" s="16">
        <f t="shared" si="12"/>
        <v>2.4999999999999999E-7</v>
      </c>
      <c r="AG37" s="49">
        <f t="shared" si="13"/>
        <v>32</v>
      </c>
      <c r="AH37" s="3">
        <f t="shared" si="14"/>
        <v>1.4999999999999999E-4</v>
      </c>
      <c r="AI37" s="49">
        <f t="shared" si="15"/>
        <v>0.20047489345090816</v>
      </c>
      <c r="AJ37" s="49">
        <f t="shared" si="16"/>
        <v>4.5536798306424524</v>
      </c>
      <c r="AK37" s="49">
        <f t="shared" si="17"/>
        <v>0.9</v>
      </c>
      <c r="AL37" s="3">
        <f t="shared" si="18"/>
        <v>0.01</v>
      </c>
      <c r="AM37" s="50">
        <f t="shared" si="64"/>
        <v>36.765173595470678</v>
      </c>
      <c r="AN37" s="3">
        <f t="shared" si="19"/>
        <v>46</v>
      </c>
      <c r="AO37" s="3">
        <f t="shared" si="20"/>
        <v>2.1999999999999998E-4</v>
      </c>
      <c r="AP37" s="3">
        <f t="shared" si="65"/>
        <v>0.20047489345090816</v>
      </c>
      <c r="AQ37" s="3">
        <f t="shared" si="66"/>
        <v>4.5536798306424524</v>
      </c>
      <c r="AR37" s="3">
        <f t="shared" si="21"/>
        <v>0.9</v>
      </c>
      <c r="AS37" s="214">
        <f t="shared" si="22"/>
        <v>1.35E-2</v>
      </c>
      <c r="AT37" s="50">
        <f t="shared" si="67"/>
        <v>50.762135534821702</v>
      </c>
      <c r="AU37" s="16">
        <f t="shared" si="24"/>
        <v>2.4999999999999999E-7</v>
      </c>
      <c r="AV37" s="49">
        <f t="shared" si="25"/>
        <v>600</v>
      </c>
      <c r="AW37" s="3">
        <f t="shared" si="26"/>
        <v>8.0000000000000002E-3</v>
      </c>
      <c r="AX37" s="49">
        <f t="shared" si="27"/>
        <v>15.999999999999945</v>
      </c>
      <c r="AY37" s="49">
        <f t="shared" si="28"/>
        <v>3028.5952535049259</v>
      </c>
      <c r="AZ37" s="49">
        <f t="shared" si="29"/>
        <v>1.6</v>
      </c>
      <c r="BA37" s="3">
        <f t="shared" si="30"/>
        <v>0.01</v>
      </c>
      <c r="BB37" s="50">
        <f t="shared" si="68"/>
        <v>3644.5956047323871</v>
      </c>
      <c r="BC37" s="3">
        <f t="shared" si="31"/>
        <v>740</v>
      </c>
      <c r="BD37" s="3">
        <f t="shared" si="32"/>
        <v>8.6999999999999994E-3</v>
      </c>
      <c r="BE37" s="3">
        <f t="shared" si="69"/>
        <v>15.999999999999945</v>
      </c>
      <c r="BF37" s="3">
        <f t="shared" si="70"/>
        <v>3028.5952535049259</v>
      </c>
      <c r="BG37" s="3">
        <f t="shared" si="33"/>
        <v>1.6</v>
      </c>
      <c r="BH37" s="214">
        <f t="shared" si="34"/>
        <v>1.35E-2</v>
      </c>
      <c r="BI37" s="50">
        <f t="shared" si="71"/>
        <v>3784.5955917521701</v>
      </c>
      <c r="BJ37" s="16">
        <f t="shared" si="36"/>
        <v>2.4999999999999999E-7</v>
      </c>
      <c r="BK37" s="49">
        <f t="shared" si="37"/>
        <v>600</v>
      </c>
      <c r="BL37" s="3">
        <f t="shared" si="38"/>
        <v>1E-3</v>
      </c>
      <c r="BM37" s="49">
        <f t="shared" si="39"/>
        <v>3.9999999999999862</v>
      </c>
      <c r="BN37" s="49">
        <f t="shared" si="40"/>
        <v>144</v>
      </c>
      <c r="BO37" s="49">
        <f t="shared" si="41"/>
        <v>0.9</v>
      </c>
      <c r="BP37" s="3">
        <f t="shared" si="42"/>
        <v>0.01</v>
      </c>
      <c r="BQ37" s="50">
        <f t="shared" si="72"/>
        <v>748.00054151116763</v>
      </c>
      <c r="BR37" s="3">
        <f t="shared" si="43"/>
        <v>670</v>
      </c>
      <c r="BS37" s="3">
        <f t="shared" si="44"/>
        <v>1.175E-3</v>
      </c>
      <c r="BT37" s="3">
        <f t="shared" si="73"/>
        <v>3.9999999999999862</v>
      </c>
      <c r="BU37" s="3">
        <f t="shared" si="74"/>
        <v>144</v>
      </c>
      <c r="BV37" s="3">
        <f t="shared" si="45"/>
        <v>0.9</v>
      </c>
      <c r="BW37" s="214">
        <f t="shared" si="46"/>
        <v>1.35E-2</v>
      </c>
      <c r="BX37" s="50">
        <f t="shared" si="75"/>
        <v>818.00049522211827</v>
      </c>
      <c r="BY37" s="16">
        <f t="shared" si="48"/>
        <v>2.4999999999999999E-7</v>
      </c>
      <c r="BZ37" s="49">
        <f t="shared" si="49"/>
        <v>100</v>
      </c>
      <c r="CA37" s="3">
        <f t="shared" si="50"/>
        <v>2E-3</v>
      </c>
      <c r="CB37" s="49">
        <f t="shared" si="51"/>
        <v>3.9999999999999862</v>
      </c>
      <c r="CC37" s="49">
        <f t="shared" si="52"/>
        <v>0</v>
      </c>
      <c r="CD37" s="49">
        <f t="shared" si="53"/>
        <v>1.8</v>
      </c>
      <c r="CE37" s="3">
        <f t="shared" si="54"/>
        <v>0.01</v>
      </c>
      <c r="CF37" s="50">
        <f t="shared" si="76"/>
        <v>104.0155762566357</v>
      </c>
      <c r="CG37" s="3">
        <f t="shared" si="55"/>
        <v>135</v>
      </c>
      <c r="CH37" s="3">
        <f t="shared" si="56"/>
        <v>2.0874999999999999E-3</v>
      </c>
      <c r="CI37" s="3">
        <f t="shared" si="77"/>
        <v>3.9999999999999862</v>
      </c>
      <c r="CJ37" s="3">
        <f t="shared" si="78"/>
        <v>0</v>
      </c>
      <c r="CK37" s="3">
        <f t="shared" si="57"/>
        <v>1.8</v>
      </c>
      <c r="CL37" s="214">
        <f t="shared" si="58"/>
        <v>1.35E-2</v>
      </c>
      <c r="CM37" s="50">
        <f t="shared" si="79"/>
        <v>139.0116548588918</v>
      </c>
      <c r="CO37" s="4">
        <v>3</v>
      </c>
      <c r="CR37" s="4" t="s">
        <v>44</v>
      </c>
      <c r="CV37" s="4" t="b">
        <f t="shared" si="86"/>
        <v>1</v>
      </c>
    </row>
    <row r="38" spans="2:100">
      <c r="B38" s="146" t="s">
        <v>90</v>
      </c>
      <c r="C38" s="20"/>
      <c r="D38" s="20"/>
      <c r="E38" s="42"/>
      <c r="F38" s="20"/>
      <c r="G38" s="20"/>
      <c r="P38" s="116">
        <f t="shared" si="85"/>
        <v>5.4999999999999995E-5</v>
      </c>
      <c r="Q38" s="135">
        <f t="shared" si="0"/>
        <v>2.7499999999999996E-7</v>
      </c>
      <c r="R38" s="49">
        <f t="shared" si="1"/>
        <v>1818.1818181818185</v>
      </c>
      <c r="S38" s="3">
        <f t="shared" si="2"/>
        <v>8.0000000000000002E-3</v>
      </c>
      <c r="T38" s="49">
        <f t="shared" si="3"/>
        <v>14.545454545454497</v>
      </c>
      <c r="U38" s="49">
        <f t="shared" si="4"/>
        <v>0</v>
      </c>
      <c r="V38" s="49">
        <f t="shared" si="5"/>
        <v>1.4545454545454548</v>
      </c>
      <c r="W38" s="3">
        <f t="shared" si="6"/>
        <v>0.01</v>
      </c>
      <c r="X38" s="50">
        <f t="shared" si="60"/>
        <v>1832.7278499725012</v>
      </c>
      <c r="Y38" s="3">
        <f t="shared" si="7"/>
        <v>1945.4545454545457</v>
      </c>
      <c r="Z38" s="3">
        <f t="shared" si="8"/>
        <v>8.6999999999999994E-3</v>
      </c>
      <c r="AA38" s="3">
        <f t="shared" si="61"/>
        <v>14.545454545454497</v>
      </c>
      <c r="AB38" s="3">
        <f t="shared" si="62"/>
        <v>0</v>
      </c>
      <c r="AC38" s="3">
        <f t="shared" si="9"/>
        <v>1.4545454545454548</v>
      </c>
      <c r="AD38" s="214">
        <f t="shared" si="10"/>
        <v>1.35E-2</v>
      </c>
      <c r="AE38" s="136">
        <f t="shared" si="63"/>
        <v>1960.0005397857472</v>
      </c>
      <c r="AF38" s="16">
        <f t="shared" si="12"/>
        <v>2.7499999999999996E-7</v>
      </c>
      <c r="AG38" s="49">
        <f t="shared" si="13"/>
        <v>29.090909090909093</v>
      </c>
      <c r="AH38" s="3">
        <f t="shared" si="14"/>
        <v>1.4999999999999999E-4</v>
      </c>
      <c r="AI38" s="49">
        <f t="shared" si="15"/>
        <v>0.18224990313718925</v>
      </c>
      <c r="AJ38" s="49">
        <f t="shared" si="16"/>
        <v>4.1397089369476845</v>
      </c>
      <c r="AK38" s="49">
        <f t="shared" si="17"/>
        <v>0.81818181818181834</v>
      </c>
      <c r="AL38" s="3">
        <f t="shared" si="18"/>
        <v>0.01</v>
      </c>
      <c r="AM38" s="50">
        <f t="shared" si="64"/>
        <v>33.422885346483007</v>
      </c>
      <c r="AN38" s="3">
        <f t="shared" si="19"/>
        <v>41.81818181818182</v>
      </c>
      <c r="AO38" s="3">
        <f t="shared" si="20"/>
        <v>2.1999999999999998E-4</v>
      </c>
      <c r="AP38" s="3">
        <f t="shared" si="65"/>
        <v>0.18224990313718925</v>
      </c>
      <c r="AQ38" s="3">
        <f t="shared" si="66"/>
        <v>4.1397089369476845</v>
      </c>
      <c r="AR38" s="3">
        <f t="shared" si="21"/>
        <v>0.81818181818181834</v>
      </c>
      <c r="AS38" s="214">
        <f t="shared" si="22"/>
        <v>1.35E-2</v>
      </c>
      <c r="AT38" s="50">
        <f t="shared" si="67"/>
        <v>46.147396283546037</v>
      </c>
      <c r="AU38" s="16">
        <f t="shared" si="24"/>
        <v>2.7499999999999996E-7</v>
      </c>
      <c r="AV38" s="49">
        <f t="shared" si="25"/>
        <v>545.4545454545455</v>
      </c>
      <c r="AW38" s="3">
        <f t="shared" si="26"/>
        <v>8.0000000000000002E-3</v>
      </c>
      <c r="AX38" s="49">
        <f t="shared" si="27"/>
        <v>14.545454545454497</v>
      </c>
      <c r="AY38" s="49">
        <f t="shared" si="28"/>
        <v>2753.2684122772057</v>
      </c>
      <c r="AZ38" s="49">
        <f t="shared" si="29"/>
        <v>1.4545454545454548</v>
      </c>
      <c r="BA38" s="3">
        <f t="shared" si="30"/>
        <v>0.01</v>
      </c>
      <c r="BB38" s="50">
        <f t="shared" si="68"/>
        <v>3313.2687315791932</v>
      </c>
      <c r="BC38" s="3">
        <f t="shared" si="31"/>
        <v>672.72727272727275</v>
      </c>
      <c r="BD38" s="3">
        <f t="shared" si="32"/>
        <v>8.6999999999999994E-3</v>
      </c>
      <c r="BE38" s="3">
        <f t="shared" si="69"/>
        <v>14.545454545454497</v>
      </c>
      <c r="BF38" s="3">
        <f t="shared" si="70"/>
        <v>2753.2684122772057</v>
      </c>
      <c r="BG38" s="3">
        <f t="shared" si="33"/>
        <v>1.4545454545454548</v>
      </c>
      <c r="BH38" s="214">
        <f t="shared" si="34"/>
        <v>1.35E-2</v>
      </c>
      <c r="BI38" s="50">
        <f t="shared" si="71"/>
        <v>3440.5414470539336</v>
      </c>
      <c r="BJ38" s="16">
        <f t="shared" si="36"/>
        <v>2.7499999999999996E-7</v>
      </c>
      <c r="BK38" s="49">
        <f t="shared" si="37"/>
        <v>545.4545454545455</v>
      </c>
      <c r="BL38" s="3">
        <f t="shared" si="38"/>
        <v>1E-3</v>
      </c>
      <c r="BM38" s="49">
        <f t="shared" si="39"/>
        <v>3.6363636363636243</v>
      </c>
      <c r="BN38" s="49">
        <f t="shared" si="40"/>
        <v>130.90909090909093</v>
      </c>
      <c r="BO38" s="49">
        <f t="shared" si="41"/>
        <v>0.81818181818181834</v>
      </c>
      <c r="BP38" s="3">
        <f t="shared" si="42"/>
        <v>0.01</v>
      </c>
      <c r="BQ38" s="50">
        <f t="shared" si="72"/>
        <v>680.00049229576859</v>
      </c>
      <c r="BR38" s="3">
        <f t="shared" si="43"/>
        <v>609.09090909090912</v>
      </c>
      <c r="BS38" s="3">
        <f t="shared" si="44"/>
        <v>1.175E-3</v>
      </c>
      <c r="BT38" s="3">
        <f t="shared" si="73"/>
        <v>3.6363636363636243</v>
      </c>
      <c r="BU38" s="3">
        <f t="shared" si="74"/>
        <v>130.90909090909093</v>
      </c>
      <c r="BV38" s="3">
        <f t="shared" si="45"/>
        <v>0.81818181818181834</v>
      </c>
      <c r="BW38" s="214">
        <f t="shared" si="46"/>
        <v>1.35E-2</v>
      </c>
      <c r="BX38" s="50">
        <f t="shared" si="75"/>
        <v>743.63681385971768</v>
      </c>
      <c r="BY38" s="16">
        <f t="shared" si="48"/>
        <v>2.7499999999999996E-7</v>
      </c>
      <c r="BZ38" s="49">
        <f t="shared" si="49"/>
        <v>90.909090909090921</v>
      </c>
      <c r="CA38" s="3">
        <f t="shared" si="50"/>
        <v>2E-3</v>
      </c>
      <c r="CB38" s="49">
        <f t="shared" si="51"/>
        <v>3.6363636363636243</v>
      </c>
      <c r="CC38" s="49">
        <f t="shared" si="52"/>
        <v>0</v>
      </c>
      <c r="CD38" s="49">
        <f t="shared" si="53"/>
        <v>1.6363636363636367</v>
      </c>
      <c r="CE38" s="3">
        <f t="shared" si="54"/>
        <v>0.01</v>
      </c>
      <c r="CF38" s="50">
        <f t="shared" si="76"/>
        <v>94.559614874199994</v>
      </c>
      <c r="CG38" s="3">
        <f t="shared" si="55"/>
        <v>122.72727272727275</v>
      </c>
      <c r="CH38" s="3">
        <f t="shared" si="56"/>
        <v>2.0874999999999999E-3</v>
      </c>
      <c r="CI38" s="3">
        <f t="shared" si="77"/>
        <v>3.6363636363636243</v>
      </c>
      <c r="CJ38" s="3">
        <f t="shared" si="78"/>
        <v>0</v>
      </c>
      <c r="CK38" s="3">
        <f t="shared" si="57"/>
        <v>1.6363636363636367</v>
      </c>
      <c r="CL38" s="214">
        <f t="shared" si="58"/>
        <v>1.35E-2</v>
      </c>
      <c r="CM38" s="50">
        <f t="shared" si="79"/>
        <v>126.37423181803874</v>
      </c>
      <c r="CO38" s="4">
        <v>4</v>
      </c>
      <c r="CV38" s="4" t="b">
        <f t="shared" si="86"/>
        <v>1</v>
      </c>
    </row>
    <row r="39" spans="2:100">
      <c r="B39" s="7" t="s">
        <v>0</v>
      </c>
      <c r="C39" s="8">
        <f>IF(C15="None", "",VLOOKUP(C15,'TI Parametric Selection '!$B:$AH,20,FALSE))</f>
        <v>105</v>
      </c>
      <c r="D39" s="8">
        <f>IF(D15="None", "",VLOOKUP(D15,'TI Parametric Selection '!$B:$AH,20,FALSE))</f>
        <v>1100</v>
      </c>
      <c r="E39" s="8">
        <f>IF(E15="None", "",VLOOKUP(E15,'TI Parametric Selection '!$B:$AH,20,FALSE))</f>
        <v>350</v>
      </c>
      <c r="F39" s="8">
        <f>IF(F15="None", "",VLOOKUP(F15,'TI Parametric Selection '!$B:$AH,20,FALSE))</f>
        <v>1100</v>
      </c>
      <c r="G39" s="8">
        <f>IF(G15="None", "",VLOOKUP(G15,'TI Parametric Selection '!$B:$AH,20,FALSE))</f>
        <v>400</v>
      </c>
      <c r="N39" s="15"/>
      <c r="P39" s="116">
        <f t="shared" si="85"/>
        <v>6.0000000000000002E-5</v>
      </c>
      <c r="Q39" s="135">
        <f t="shared" si="0"/>
        <v>3.0000000000000004E-7</v>
      </c>
      <c r="R39" s="49">
        <f t="shared" si="1"/>
        <v>1666.6666666666665</v>
      </c>
      <c r="S39" s="3">
        <f t="shared" si="2"/>
        <v>8.0000000000000002E-3</v>
      </c>
      <c r="T39" s="49">
        <f t="shared" si="3"/>
        <v>13.333333333333286</v>
      </c>
      <c r="U39" s="49">
        <f t="shared" si="4"/>
        <v>0</v>
      </c>
      <c r="V39" s="49">
        <f t="shared" si="5"/>
        <v>1.3333333333333335</v>
      </c>
      <c r="W39" s="3">
        <f t="shared" si="6"/>
        <v>0.01</v>
      </c>
      <c r="X39" s="50">
        <f t="shared" si="60"/>
        <v>1680.000529149255</v>
      </c>
      <c r="Y39" s="3">
        <f t="shared" si="7"/>
        <v>1783.3333333333333</v>
      </c>
      <c r="Z39" s="3">
        <f t="shared" si="8"/>
        <v>8.6999999999999994E-3</v>
      </c>
      <c r="AA39" s="3">
        <f t="shared" si="61"/>
        <v>13.333333333333286</v>
      </c>
      <c r="AB39" s="3">
        <f t="shared" si="62"/>
        <v>0</v>
      </c>
      <c r="AC39" s="3">
        <f t="shared" si="9"/>
        <v>1.3333333333333335</v>
      </c>
      <c r="AD39" s="214">
        <f t="shared" si="10"/>
        <v>1.35E-2</v>
      </c>
      <c r="AE39" s="136">
        <f t="shared" si="63"/>
        <v>1796.6671614817333</v>
      </c>
      <c r="AF39" s="16">
        <f t="shared" si="12"/>
        <v>3.0000000000000004E-7</v>
      </c>
      <c r="AG39" s="49">
        <f t="shared" si="13"/>
        <v>26.666666666666661</v>
      </c>
      <c r="AH39" s="3">
        <f t="shared" si="14"/>
        <v>1.4999999999999999E-4</v>
      </c>
      <c r="AI39" s="49">
        <f t="shared" si="15"/>
        <v>0.1670624112090901</v>
      </c>
      <c r="AJ39" s="49">
        <f t="shared" si="16"/>
        <v>3.7947331922020431</v>
      </c>
      <c r="AK39" s="49">
        <f t="shared" si="17"/>
        <v>0.75</v>
      </c>
      <c r="AL39" s="3">
        <f t="shared" si="18"/>
        <v>0.01</v>
      </c>
      <c r="AM39" s="50">
        <f t="shared" si="64"/>
        <v>30.637645161664739</v>
      </c>
      <c r="AN39" s="3">
        <f t="shared" si="19"/>
        <v>38.333333333333329</v>
      </c>
      <c r="AO39" s="3">
        <f t="shared" si="20"/>
        <v>2.1999999999999998E-4</v>
      </c>
      <c r="AP39" s="3">
        <f t="shared" si="65"/>
        <v>0.1670624112090901</v>
      </c>
      <c r="AQ39" s="3">
        <f t="shared" si="66"/>
        <v>3.7947331922020431</v>
      </c>
      <c r="AR39" s="3">
        <f t="shared" si="21"/>
        <v>0.75</v>
      </c>
      <c r="AS39" s="214">
        <f t="shared" si="22"/>
        <v>1.35E-2</v>
      </c>
      <c r="AT39" s="50">
        <f t="shared" si="67"/>
        <v>42.301780270743201</v>
      </c>
      <c r="AU39" s="16">
        <f t="shared" si="24"/>
        <v>3.0000000000000004E-7</v>
      </c>
      <c r="AV39" s="49">
        <f t="shared" si="25"/>
        <v>499.99999999999989</v>
      </c>
      <c r="AW39" s="3">
        <f t="shared" si="26"/>
        <v>8.0000000000000002E-3</v>
      </c>
      <c r="AX39" s="49">
        <f t="shared" si="27"/>
        <v>13.333333333333286</v>
      </c>
      <c r="AY39" s="49">
        <f t="shared" si="28"/>
        <v>2523.8293779207711</v>
      </c>
      <c r="AZ39" s="49">
        <f t="shared" si="29"/>
        <v>1.3333333333333335</v>
      </c>
      <c r="BA39" s="3">
        <f t="shared" si="30"/>
        <v>0.01</v>
      </c>
      <c r="BB39" s="50">
        <f t="shared" si="68"/>
        <v>3037.163003951905</v>
      </c>
      <c r="BC39" s="3">
        <f t="shared" si="31"/>
        <v>616.66666666666652</v>
      </c>
      <c r="BD39" s="3">
        <f t="shared" si="32"/>
        <v>8.6999999999999994E-3</v>
      </c>
      <c r="BE39" s="3">
        <f t="shared" si="69"/>
        <v>13.333333333333286</v>
      </c>
      <c r="BF39" s="3">
        <f t="shared" si="70"/>
        <v>2523.8293779207711</v>
      </c>
      <c r="BG39" s="3">
        <f t="shared" si="33"/>
        <v>1.3333333333333335</v>
      </c>
      <c r="BH39" s="214">
        <f t="shared" si="34"/>
        <v>1.35E-2</v>
      </c>
      <c r="BI39" s="50">
        <f t="shared" si="71"/>
        <v>3153.8296598059692</v>
      </c>
      <c r="BJ39" s="16">
        <f t="shared" si="36"/>
        <v>3.0000000000000004E-7</v>
      </c>
      <c r="BK39" s="49">
        <f t="shared" si="37"/>
        <v>499.99999999999989</v>
      </c>
      <c r="BL39" s="3">
        <f t="shared" si="38"/>
        <v>1E-3</v>
      </c>
      <c r="BM39" s="49">
        <f t="shared" si="39"/>
        <v>3.3333333333333215</v>
      </c>
      <c r="BN39" s="49">
        <f t="shared" si="40"/>
        <v>119.99999999999999</v>
      </c>
      <c r="BO39" s="49">
        <f t="shared" si="41"/>
        <v>0.75</v>
      </c>
      <c r="BP39" s="3">
        <f t="shared" si="42"/>
        <v>0.01</v>
      </c>
      <c r="BQ39" s="50">
        <f t="shared" si="72"/>
        <v>623.33378461739437</v>
      </c>
      <c r="BR39" s="3">
        <f t="shared" si="43"/>
        <v>558.33333333333326</v>
      </c>
      <c r="BS39" s="3">
        <f t="shared" si="44"/>
        <v>1.175E-3</v>
      </c>
      <c r="BT39" s="3">
        <f t="shared" si="73"/>
        <v>3.3333333333333215</v>
      </c>
      <c r="BU39" s="3">
        <f t="shared" si="74"/>
        <v>119.99999999999999</v>
      </c>
      <c r="BV39" s="3">
        <f t="shared" si="45"/>
        <v>0.75</v>
      </c>
      <c r="BW39" s="214">
        <f t="shared" si="46"/>
        <v>1.35E-2</v>
      </c>
      <c r="BX39" s="50">
        <f t="shared" si="75"/>
        <v>681.6670793929211</v>
      </c>
      <c r="BY39" s="16">
        <f t="shared" si="48"/>
        <v>3.0000000000000004E-7</v>
      </c>
      <c r="BZ39" s="49">
        <f t="shared" si="49"/>
        <v>83.333333333333314</v>
      </c>
      <c r="CA39" s="3">
        <f t="shared" si="50"/>
        <v>2E-3</v>
      </c>
      <c r="CB39" s="49">
        <f t="shared" si="51"/>
        <v>3.3333333333333215</v>
      </c>
      <c r="CC39" s="49">
        <f t="shared" si="52"/>
        <v>0</v>
      </c>
      <c r="CD39" s="49">
        <f t="shared" si="53"/>
        <v>1.5</v>
      </c>
      <c r="CE39" s="3">
        <f t="shared" si="54"/>
        <v>0.01</v>
      </c>
      <c r="CF39" s="50">
        <f t="shared" si="76"/>
        <v>86.679647063835617</v>
      </c>
      <c r="CG39" s="3">
        <f t="shared" si="55"/>
        <v>112.49999999999997</v>
      </c>
      <c r="CH39" s="3">
        <f t="shared" si="56"/>
        <v>2.0874999999999999E-3</v>
      </c>
      <c r="CI39" s="3">
        <f t="shared" si="77"/>
        <v>3.3333333333333215</v>
      </c>
      <c r="CJ39" s="3">
        <f t="shared" si="78"/>
        <v>0</v>
      </c>
      <c r="CK39" s="3">
        <f t="shared" si="57"/>
        <v>1.5</v>
      </c>
      <c r="CL39" s="214">
        <f t="shared" si="58"/>
        <v>1.35E-2</v>
      </c>
      <c r="CM39" s="50">
        <f t="shared" si="79"/>
        <v>115.84304596184769</v>
      </c>
      <c r="CO39" s="4">
        <v>5</v>
      </c>
      <c r="CV39" s="4" t="e">
        <f>OR(AND($C$8=2,(#REF!=#REF!)),AND($C$8=3,#REF!=#REF!,#REF!=#REF!),AND($C$8=4,#REF!=#REF!,#REF!=#REF!,#REF!=#REF!),AND($C$8=5,#REF!=#REF!,#REF!=#REF!,#REF!=#REF!,#REF!=#REF!))</f>
        <v>#REF!</v>
      </c>
    </row>
    <row r="40" spans="2:100">
      <c r="B40" s="7" t="s">
        <v>17</v>
      </c>
      <c r="C40" s="8">
        <f>IF(C15="None", "",VLOOKUP(C15,'TI Parametric Selection '!$B:$AH,21,FALSE))</f>
        <v>2</v>
      </c>
      <c r="D40" s="8">
        <f>IF(D15="None", "",VLOOKUP(D15,'TI Parametric Selection '!$B:$AH,21,FALSE))</f>
        <v>8</v>
      </c>
      <c r="E40" s="8">
        <f>IF(E15="None", "",VLOOKUP(E15,'TI Parametric Selection '!$B:$AH,21,FALSE))</f>
        <v>2</v>
      </c>
      <c r="F40" s="8">
        <f>IF(F15="None", "",VLOOKUP(F15,'TI Parametric Selection '!$B:$AH,21,FALSE))</f>
        <v>8</v>
      </c>
      <c r="G40" s="8">
        <f>IF(G15="None", "",VLOOKUP(G15,'TI Parametric Selection '!$B:$AH,21,FALSE))</f>
        <v>2</v>
      </c>
      <c r="I40" s="15"/>
      <c r="J40" s="15"/>
      <c r="K40" s="106"/>
      <c r="L40" s="15"/>
      <c r="M40" s="15"/>
      <c r="N40" s="15"/>
      <c r="P40" s="116">
        <f t="shared" si="85"/>
        <v>6.4999999999999994E-5</v>
      </c>
      <c r="Q40" s="135">
        <f t="shared" si="0"/>
        <v>3.2499999999999996E-7</v>
      </c>
      <c r="R40" s="49">
        <f t="shared" si="1"/>
        <v>1538.4615384615388</v>
      </c>
      <c r="S40" s="3">
        <f t="shared" si="2"/>
        <v>8.0000000000000002E-3</v>
      </c>
      <c r="T40" s="49">
        <f t="shared" si="3"/>
        <v>12.307692307692268</v>
      </c>
      <c r="U40" s="49">
        <f t="shared" si="4"/>
        <v>0</v>
      </c>
      <c r="V40" s="49">
        <f t="shared" si="5"/>
        <v>1.2307692307692311</v>
      </c>
      <c r="W40" s="3">
        <f t="shared" si="6"/>
        <v>0.01</v>
      </c>
      <c r="X40" s="50">
        <f t="shared" si="60"/>
        <v>1550.7697192225196</v>
      </c>
      <c r="Y40" s="3">
        <f t="shared" si="7"/>
        <v>1646.1538461538464</v>
      </c>
      <c r="Z40" s="3">
        <f t="shared" si="8"/>
        <v>8.6999999999999994E-3</v>
      </c>
      <c r="AA40" s="3">
        <f t="shared" si="61"/>
        <v>12.307692307692268</v>
      </c>
      <c r="AB40" s="3">
        <f t="shared" si="62"/>
        <v>0</v>
      </c>
      <c r="AC40" s="3">
        <f t="shared" si="9"/>
        <v>1.2307692307692311</v>
      </c>
      <c r="AD40" s="214">
        <f t="shared" si="10"/>
        <v>1.35E-2</v>
      </c>
      <c r="AE40" s="136">
        <f t="shared" si="63"/>
        <v>1658.4619952254118</v>
      </c>
      <c r="AF40" s="16">
        <f t="shared" si="12"/>
        <v>3.2499999999999996E-7</v>
      </c>
      <c r="AG40" s="49">
        <f t="shared" si="13"/>
        <v>24.615384615384617</v>
      </c>
      <c r="AH40" s="3">
        <f t="shared" si="14"/>
        <v>1.4999999999999999E-4</v>
      </c>
      <c r="AI40" s="49">
        <f t="shared" si="15"/>
        <v>0.15421145650069859</v>
      </c>
      <c r="AJ40" s="49">
        <f t="shared" si="16"/>
        <v>3.5028306389557331</v>
      </c>
      <c r="AK40" s="49">
        <f t="shared" si="17"/>
        <v>0.6923076923076924</v>
      </c>
      <c r="AL40" s="3">
        <f t="shared" si="18"/>
        <v>0.01</v>
      </c>
      <c r="AM40" s="50">
        <f t="shared" si="64"/>
        <v>28.280903487746048</v>
      </c>
      <c r="AN40" s="3">
        <f t="shared" si="19"/>
        <v>35.384615384615387</v>
      </c>
      <c r="AO40" s="3">
        <f t="shared" si="20"/>
        <v>2.1999999999999998E-4</v>
      </c>
      <c r="AP40" s="3">
        <f t="shared" si="65"/>
        <v>0.15421145650069859</v>
      </c>
      <c r="AQ40" s="3">
        <f t="shared" si="66"/>
        <v>3.5028306389557331</v>
      </c>
      <c r="AR40" s="3">
        <f t="shared" si="21"/>
        <v>0.6923076923076924</v>
      </c>
      <c r="AS40" s="214">
        <f t="shared" si="22"/>
        <v>1.35E-2</v>
      </c>
      <c r="AT40" s="50">
        <f t="shared" si="67"/>
        <v>39.047797518304108</v>
      </c>
      <c r="AU40" s="16">
        <f t="shared" si="24"/>
        <v>3.2499999999999996E-7</v>
      </c>
      <c r="AV40" s="49">
        <f t="shared" si="25"/>
        <v>461.53846153846155</v>
      </c>
      <c r="AW40" s="3">
        <f t="shared" si="26"/>
        <v>8.0000000000000002E-3</v>
      </c>
      <c r="AX40" s="49">
        <f t="shared" si="27"/>
        <v>12.307692307692268</v>
      </c>
      <c r="AY40" s="49">
        <f t="shared" si="28"/>
        <v>2329.6886565422506</v>
      </c>
      <c r="AZ40" s="49">
        <f t="shared" si="29"/>
        <v>1.2307692307692311</v>
      </c>
      <c r="BA40" s="3">
        <f t="shared" si="30"/>
        <v>0.01</v>
      </c>
      <c r="BB40" s="50">
        <f t="shared" si="68"/>
        <v>2803.5350805753164</v>
      </c>
      <c r="BC40" s="3">
        <f t="shared" si="31"/>
        <v>569.23076923076928</v>
      </c>
      <c r="BD40" s="3">
        <f t="shared" si="32"/>
        <v>8.6999999999999994E-3</v>
      </c>
      <c r="BE40" s="3">
        <f t="shared" si="69"/>
        <v>12.307692307692268</v>
      </c>
      <c r="BF40" s="3">
        <f t="shared" si="70"/>
        <v>2329.6886565422506</v>
      </c>
      <c r="BG40" s="3">
        <f t="shared" si="33"/>
        <v>1.2307692307692311</v>
      </c>
      <c r="BH40" s="214">
        <f t="shared" si="34"/>
        <v>1.35E-2</v>
      </c>
      <c r="BI40" s="50">
        <f t="shared" si="71"/>
        <v>2911.227378288987</v>
      </c>
      <c r="BJ40" s="16">
        <f t="shared" si="36"/>
        <v>3.2499999999999996E-7</v>
      </c>
      <c r="BK40" s="49">
        <f t="shared" si="37"/>
        <v>461.53846153846155</v>
      </c>
      <c r="BL40" s="3">
        <f t="shared" si="38"/>
        <v>1E-3</v>
      </c>
      <c r="BM40" s="49">
        <f t="shared" si="39"/>
        <v>3.0769230769230669</v>
      </c>
      <c r="BN40" s="49">
        <f t="shared" si="40"/>
        <v>110.76923076923079</v>
      </c>
      <c r="BO40" s="49">
        <f t="shared" si="41"/>
        <v>0.6923076923076924</v>
      </c>
      <c r="BP40" s="3">
        <f t="shared" si="42"/>
        <v>0.01</v>
      </c>
      <c r="BQ40" s="50">
        <f t="shared" si="72"/>
        <v>575.3850319675015</v>
      </c>
      <c r="BR40" s="3">
        <f t="shared" si="43"/>
        <v>515.38461538461536</v>
      </c>
      <c r="BS40" s="3">
        <f t="shared" si="44"/>
        <v>1.175E-3</v>
      </c>
      <c r="BT40" s="3">
        <f t="shared" si="73"/>
        <v>3.0769230769230669</v>
      </c>
      <c r="BU40" s="3">
        <f t="shared" si="74"/>
        <v>110.76923076923079</v>
      </c>
      <c r="BV40" s="3">
        <f t="shared" si="45"/>
        <v>0.6923076923076924</v>
      </c>
      <c r="BW40" s="214">
        <f t="shared" si="46"/>
        <v>1.35E-2</v>
      </c>
      <c r="BX40" s="50">
        <f t="shared" si="75"/>
        <v>629.23115023043567</v>
      </c>
      <c r="BY40" s="16">
        <f t="shared" si="48"/>
        <v>3.2499999999999996E-7</v>
      </c>
      <c r="BZ40" s="49">
        <f t="shared" si="49"/>
        <v>76.92307692307692</v>
      </c>
      <c r="CA40" s="3">
        <f t="shared" si="50"/>
        <v>2E-3</v>
      </c>
      <c r="CB40" s="49">
        <f t="shared" si="51"/>
        <v>3.0769230769230669</v>
      </c>
      <c r="CC40" s="49">
        <f t="shared" si="52"/>
        <v>0</v>
      </c>
      <c r="CD40" s="49">
        <f t="shared" si="53"/>
        <v>1.3846153846153848</v>
      </c>
      <c r="CE40" s="3">
        <f t="shared" si="54"/>
        <v>0.01</v>
      </c>
      <c r="CF40" s="50">
        <f t="shared" si="76"/>
        <v>80.011982001218499</v>
      </c>
      <c r="CG40" s="3">
        <f t="shared" si="55"/>
        <v>103.84615384615384</v>
      </c>
      <c r="CH40" s="3">
        <f t="shared" si="56"/>
        <v>2.0874999999999999E-3</v>
      </c>
      <c r="CI40" s="3">
        <f t="shared" si="77"/>
        <v>3.0769230769230669</v>
      </c>
      <c r="CJ40" s="3">
        <f t="shared" si="78"/>
        <v>0</v>
      </c>
      <c r="CK40" s="3">
        <f t="shared" si="57"/>
        <v>1.3846153846153848</v>
      </c>
      <c r="CL40" s="214">
        <f t="shared" si="58"/>
        <v>1.35E-2</v>
      </c>
      <c r="CM40" s="50">
        <f t="shared" si="79"/>
        <v>106.93204255539679</v>
      </c>
      <c r="CV40" s="4" t="b">
        <f>OR(AND($C$8=2,($C52=$D52)),AND($C$8=3,$C52=$D52,$D52=$E52),AND($C$8=4,$C52=$D52,$D52=$E52,$E52=$F52),AND($C$8=5,$C52=$D52,$D52=$E52,$E52=$F52,$F52=$G52))</f>
        <v>1</v>
      </c>
    </row>
    <row r="41" spans="2:100">
      <c r="B41" s="7" t="s">
        <v>18</v>
      </c>
      <c r="C41" s="8">
        <f>IF(C15="None", "",VLOOKUP(C15,'TI Parametric Selection '!$B:$AH,22,FALSE))</f>
        <v>5</v>
      </c>
      <c r="D41" s="8">
        <f>IF(D15="None", "",VLOOKUP(D15,'TI Parametric Selection '!$B:$AH,22,FALSE))</f>
        <v>20</v>
      </c>
      <c r="E41" s="8">
        <f>IF(E15="None", "",VLOOKUP(E15,'TI Parametric Selection '!$B:$AH,22,FALSE))</f>
        <v>5</v>
      </c>
      <c r="F41" s="8">
        <f>IF(F15="None", "",VLOOKUP(F15,'TI Parametric Selection '!$B:$AH,22,FALSE))</f>
        <v>20</v>
      </c>
      <c r="G41" s="8">
        <f>IF(G15="None", "",VLOOKUP(G15,'TI Parametric Selection '!$B:$AH,22,FALSE))</f>
        <v>10</v>
      </c>
      <c r="I41" s="15"/>
      <c r="J41" s="15"/>
      <c r="K41" s="106"/>
      <c r="L41" s="15"/>
      <c r="M41" s="15"/>
      <c r="N41" s="15"/>
      <c r="P41" s="116">
        <f t="shared" si="85"/>
        <v>6.9999999999999994E-5</v>
      </c>
      <c r="Q41" s="135">
        <f t="shared" si="0"/>
        <v>3.4999999999999993E-7</v>
      </c>
      <c r="R41" s="49">
        <f t="shared" si="1"/>
        <v>1428.5714285714289</v>
      </c>
      <c r="S41" s="3">
        <f t="shared" si="2"/>
        <v>8.0000000000000002E-3</v>
      </c>
      <c r="T41" s="49">
        <f t="shared" si="3"/>
        <v>11.428571428571392</v>
      </c>
      <c r="U41" s="49">
        <f t="shared" si="4"/>
        <v>0</v>
      </c>
      <c r="V41" s="49">
        <f t="shared" si="5"/>
        <v>1.142857142857143</v>
      </c>
      <c r="W41" s="3">
        <f t="shared" si="6"/>
        <v>0.01</v>
      </c>
      <c r="X41" s="50">
        <f t="shared" si="60"/>
        <v>1440.0004535716125</v>
      </c>
      <c r="Y41" s="3">
        <f t="shared" si="7"/>
        <v>1528.5714285714289</v>
      </c>
      <c r="Z41" s="3">
        <f t="shared" si="8"/>
        <v>8.6999999999999994E-3</v>
      </c>
      <c r="AA41" s="3">
        <f t="shared" si="61"/>
        <v>11.428571428571392</v>
      </c>
      <c r="AB41" s="3">
        <f t="shared" si="62"/>
        <v>0</v>
      </c>
      <c r="AC41" s="3">
        <f t="shared" si="9"/>
        <v>1.142857142857143</v>
      </c>
      <c r="AD41" s="214">
        <f t="shared" si="10"/>
        <v>1.35E-2</v>
      </c>
      <c r="AE41" s="136">
        <f t="shared" si="63"/>
        <v>1540.0004241494187</v>
      </c>
      <c r="AF41" s="16">
        <f t="shared" si="12"/>
        <v>3.4999999999999993E-7</v>
      </c>
      <c r="AG41" s="49">
        <f t="shared" si="13"/>
        <v>22.857142857142861</v>
      </c>
      <c r="AH41" s="3">
        <f t="shared" si="14"/>
        <v>1.4999999999999999E-4</v>
      </c>
      <c r="AI41" s="49">
        <f t="shared" si="15"/>
        <v>0.14319635246493442</v>
      </c>
      <c r="AJ41" s="49">
        <f t="shared" si="16"/>
        <v>3.2526284504588951</v>
      </c>
      <c r="AK41" s="49">
        <f t="shared" si="17"/>
        <v>0.6428571428571429</v>
      </c>
      <c r="AL41" s="3">
        <f t="shared" si="18"/>
        <v>0.01</v>
      </c>
      <c r="AM41" s="50">
        <f t="shared" si="64"/>
        <v>26.260839215248431</v>
      </c>
      <c r="AN41" s="3">
        <f t="shared" si="19"/>
        <v>32.857142857142861</v>
      </c>
      <c r="AO41" s="3">
        <f t="shared" si="20"/>
        <v>2.1999999999999998E-4</v>
      </c>
      <c r="AP41" s="3">
        <f t="shared" si="65"/>
        <v>0.14319635246493442</v>
      </c>
      <c r="AQ41" s="3">
        <f t="shared" si="66"/>
        <v>3.2526284504588951</v>
      </c>
      <c r="AR41" s="3">
        <f t="shared" si="21"/>
        <v>0.6428571428571429</v>
      </c>
      <c r="AS41" s="214">
        <f t="shared" si="22"/>
        <v>1.35E-2</v>
      </c>
      <c r="AT41" s="50">
        <f t="shared" si="67"/>
        <v>36.258669470436494</v>
      </c>
      <c r="AU41" s="16">
        <f t="shared" si="24"/>
        <v>3.4999999999999993E-7</v>
      </c>
      <c r="AV41" s="49">
        <f t="shared" si="25"/>
        <v>428.57142857142861</v>
      </c>
      <c r="AW41" s="3">
        <f t="shared" si="26"/>
        <v>8.0000000000000002E-3</v>
      </c>
      <c r="AX41" s="49">
        <f t="shared" si="27"/>
        <v>11.428571428571392</v>
      </c>
      <c r="AY41" s="49">
        <f t="shared" si="28"/>
        <v>2163.2823239320901</v>
      </c>
      <c r="AZ41" s="49">
        <f t="shared" si="29"/>
        <v>1.142857142857143</v>
      </c>
      <c r="BA41" s="3">
        <f t="shared" si="30"/>
        <v>0.01</v>
      </c>
      <c r="BB41" s="50">
        <f t="shared" si="68"/>
        <v>2603.2825748242758</v>
      </c>
      <c r="BC41" s="3">
        <f t="shared" si="31"/>
        <v>528.57142857142867</v>
      </c>
      <c r="BD41" s="3">
        <f t="shared" si="32"/>
        <v>8.6999999999999994E-3</v>
      </c>
      <c r="BE41" s="3">
        <f t="shared" si="69"/>
        <v>11.428571428571392</v>
      </c>
      <c r="BF41" s="3">
        <f t="shared" si="70"/>
        <v>2163.2823239320901</v>
      </c>
      <c r="BG41" s="3">
        <f t="shared" si="33"/>
        <v>1.142857142857143</v>
      </c>
      <c r="BH41" s="214">
        <f t="shared" si="34"/>
        <v>1.35E-2</v>
      </c>
      <c r="BI41" s="50">
        <f t="shared" si="71"/>
        <v>2703.2825655606316</v>
      </c>
      <c r="BJ41" s="16">
        <f t="shared" si="36"/>
        <v>3.4999999999999993E-7</v>
      </c>
      <c r="BK41" s="49">
        <f t="shared" si="37"/>
        <v>428.57142857142861</v>
      </c>
      <c r="BL41" s="3">
        <f t="shared" si="38"/>
        <v>1E-3</v>
      </c>
      <c r="BM41" s="49">
        <f t="shared" si="39"/>
        <v>2.8571428571428479</v>
      </c>
      <c r="BN41" s="49">
        <f t="shared" si="40"/>
        <v>102.85714285714288</v>
      </c>
      <c r="BO41" s="49">
        <f t="shared" si="41"/>
        <v>0.6428571428571429</v>
      </c>
      <c r="BP41" s="3">
        <f t="shared" si="42"/>
        <v>0.01</v>
      </c>
      <c r="BQ41" s="50">
        <f t="shared" si="72"/>
        <v>534.28610112570038</v>
      </c>
      <c r="BR41" s="3">
        <f t="shared" si="43"/>
        <v>478.57142857142861</v>
      </c>
      <c r="BS41" s="3">
        <f t="shared" si="44"/>
        <v>1.175E-3</v>
      </c>
      <c r="BT41" s="3">
        <f t="shared" si="73"/>
        <v>2.8571428571428479</v>
      </c>
      <c r="BU41" s="3">
        <f t="shared" si="74"/>
        <v>102.85714285714288</v>
      </c>
      <c r="BV41" s="3">
        <f t="shared" si="45"/>
        <v>0.6428571428571429</v>
      </c>
      <c r="BW41" s="214">
        <f t="shared" si="46"/>
        <v>1.35E-2</v>
      </c>
      <c r="BX41" s="50">
        <f t="shared" si="75"/>
        <v>584.28606809276573</v>
      </c>
      <c r="BY41" s="16">
        <f t="shared" si="48"/>
        <v>3.4999999999999993E-7</v>
      </c>
      <c r="BZ41" s="49">
        <f t="shared" si="49"/>
        <v>71.428571428571431</v>
      </c>
      <c r="CA41" s="3">
        <f t="shared" si="50"/>
        <v>2E-3</v>
      </c>
      <c r="CB41" s="49">
        <f t="shared" si="51"/>
        <v>2.8571428571428479</v>
      </c>
      <c r="CC41" s="49">
        <f t="shared" si="52"/>
        <v>0</v>
      </c>
      <c r="CD41" s="49">
        <f t="shared" si="53"/>
        <v>1.2857142857142858</v>
      </c>
      <c r="CE41" s="3">
        <f t="shared" si="54"/>
        <v>0.01</v>
      </c>
      <c r="CF41" s="50">
        <f t="shared" si="76"/>
        <v>74.296840526117023</v>
      </c>
      <c r="CG41" s="3">
        <f t="shared" si="55"/>
        <v>96.428571428571431</v>
      </c>
      <c r="CH41" s="3">
        <f t="shared" si="56"/>
        <v>2.0874999999999999E-3</v>
      </c>
      <c r="CI41" s="3">
        <f t="shared" si="77"/>
        <v>2.8571428571428479</v>
      </c>
      <c r="CJ41" s="3">
        <f t="shared" si="78"/>
        <v>0</v>
      </c>
      <c r="CK41" s="3">
        <f t="shared" si="57"/>
        <v>1.2857142857142858</v>
      </c>
      <c r="CL41" s="214">
        <f t="shared" si="58"/>
        <v>1.35E-2</v>
      </c>
      <c r="CM41" s="50">
        <f t="shared" si="79"/>
        <v>99.294039645170216</v>
      </c>
      <c r="CV41" s="4" t="b">
        <f>OR(AND($C$8=2,($C53=$D53)),AND($C$8=3,$C53=$D53,$D53=$E53),AND($C$8=4,$C53=$D53,$D53=$E53,$E53=$F53),AND($C$8=5,$C53=$D53,$D53=$E53,$E53=$F53,$F53=$G53))</f>
        <v>0</v>
      </c>
    </row>
    <row r="42" spans="2:100">
      <c r="B42" s="146" t="s">
        <v>141</v>
      </c>
      <c r="C42" s="20"/>
      <c r="D42" s="20"/>
      <c r="E42" s="20"/>
      <c r="F42" s="20"/>
      <c r="G42" s="20"/>
      <c r="I42" s="15"/>
      <c r="J42" s="15"/>
      <c r="K42" s="106"/>
      <c r="L42" s="15"/>
      <c r="M42" s="15"/>
      <c r="N42" s="15"/>
      <c r="P42" s="116">
        <f t="shared" si="85"/>
        <v>7.5000000000000007E-5</v>
      </c>
      <c r="Q42" s="135">
        <f t="shared" si="0"/>
        <v>3.7500000000000001E-7</v>
      </c>
      <c r="R42" s="49">
        <f t="shared" si="1"/>
        <v>1333.3333333333333</v>
      </c>
      <c r="S42" s="3">
        <f t="shared" si="2"/>
        <v>8.0000000000000002E-3</v>
      </c>
      <c r="T42" s="49">
        <f t="shared" si="3"/>
        <v>10.666666666666631</v>
      </c>
      <c r="U42" s="49">
        <f t="shared" si="4"/>
        <v>0</v>
      </c>
      <c r="V42" s="49">
        <f t="shared" si="5"/>
        <v>1.0666666666666667</v>
      </c>
      <c r="W42" s="3">
        <f t="shared" si="6"/>
        <v>0.01</v>
      </c>
      <c r="X42" s="50">
        <f t="shared" si="60"/>
        <v>1344.0004233413686</v>
      </c>
      <c r="Y42" s="3">
        <f t="shared" si="7"/>
        <v>1426.6666666666665</v>
      </c>
      <c r="Z42" s="3">
        <f t="shared" si="8"/>
        <v>8.6999999999999994E-3</v>
      </c>
      <c r="AA42" s="3">
        <f t="shared" si="61"/>
        <v>10.666666666666631</v>
      </c>
      <c r="AB42" s="3">
        <f t="shared" si="62"/>
        <v>0</v>
      </c>
      <c r="AC42" s="3">
        <f t="shared" si="9"/>
        <v>1.0666666666666667</v>
      </c>
      <c r="AD42" s="214">
        <f t="shared" si="10"/>
        <v>1.35E-2</v>
      </c>
      <c r="AE42" s="136">
        <f t="shared" si="63"/>
        <v>1437.3337292176891</v>
      </c>
      <c r="AF42" s="16">
        <f t="shared" si="12"/>
        <v>3.7500000000000001E-7</v>
      </c>
      <c r="AG42" s="49">
        <f t="shared" si="13"/>
        <v>21.333333333333332</v>
      </c>
      <c r="AH42" s="3">
        <f t="shared" si="14"/>
        <v>1.4999999999999999E-4</v>
      </c>
      <c r="AI42" s="49">
        <f t="shared" si="15"/>
        <v>0.1336499289672721</v>
      </c>
      <c r="AJ42" s="49">
        <f t="shared" si="16"/>
        <v>3.0357865537616351</v>
      </c>
      <c r="AK42" s="49">
        <f t="shared" si="17"/>
        <v>0.6</v>
      </c>
      <c r="AL42" s="3">
        <f t="shared" si="18"/>
        <v>0.01</v>
      </c>
      <c r="AM42" s="50">
        <f t="shared" si="64"/>
        <v>24.510116863887671</v>
      </c>
      <c r="AN42" s="3">
        <f t="shared" si="19"/>
        <v>30.666666666666664</v>
      </c>
      <c r="AO42" s="3">
        <f t="shared" si="20"/>
        <v>2.1999999999999998E-4</v>
      </c>
      <c r="AP42" s="3">
        <f t="shared" si="65"/>
        <v>0.1336499289672721</v>
      </c>
      <c r="AQ42" s="3">
        <f t="shared" si="66"/>
        <v>3.0357865537616351</v>
      </c>
      <c r="AR42" s="3">
        <f t="shared" si="21"/>
        <v>0.6</v>
      </c>
      <c r="AS42" s="214">
        <f t="shared" si="22"/>
        <v>1.35E-2</v>
      </c>
      <c r="AT42" s="50">
        <f t="shared" si="67"/>
        <v>33.841425186226076</v>
      </c>
      <c r="AU42" s="16">
        <f t="shared" si="24"/>
        <v>3.7500000000000001E-7</v>
      </c>
      <c r="AV42" s="49">
        <f t="shared" si="25"/>
        <v>399.99999999999994</v>
      </c>
      <c r="AW42" s="3">
        <f t="shared" si="26"/>
        <v>8.0000000000000002E-3</v>
      </c>
      <c r="AX42" s="49">
        <f t="shared" si="27"/>
        <v>10.666666666666631</v>
      </c>
      <c r="AY42" s="49">
        <f t="shared" si="28"/>
        <v>2019.0635023366171</v>
      </c>
      <c r="AZ42" s="49">
        <f t="shared" si="29"/>
        <v>1.0666666666666667</v>
      </c>
      <c r="BA42" s="3">
        <f t="shared" si="30"/>
        <v>0.01</v>
      </c>
      <c r="BB42" s="50">
        <f t="shared" si="68"/>
        <v>2429.7304031736735</v>
      </c>
      <c r="BC42" s="3">
        <f t="shared" si="31"/>
        <v>493.33333333333326</v>
      </c>
      <c r="BD42" s="3">
        <f t="shared" si="32"/>
        <v>8.6999999999999994E-3</v>
      </c>
      <c r="BE42" s="3">
        <f t="shared" si="69"/>
        <v>10.666666666666631</v>
      </c>
      <c r="BF42" s="3">
        <f t="shared" si="70"/>
        <v>2019.0635023366171</v>
      </c>
      <c r="BG42" s="3">
        <f t="shared" si="33"/>
        <v>1.0666666666666667</v>
      </c>
      <c r="BH42" s="214">
        <f t="shared" si="34"/>
        <v>1.35E-2</v>
      </c>
      <c r="BI42" s="50">
        <f t="shared" si="71"/>
        <v>2523.0637278631775</v>
      </c>
      <c r="BJ42" s="16">
        <f t="shared" si="36"/>
        <v>3.7500000000000001E-7</v>
      </c>
      <c r="BK42" s="49">
        <f t="shared" si="37"/>
        <v>399.99999999999994</v>
      </c>
      <c r="BL42" s="3">
        <f t="shared" si="38"/>
        <v>1E-3</v>
      </c>
      <c r="BM42" s="49">
        <f t="shared" si="39"/>
        <v>2.6666666666666576</v>
      </c>
      <c r="BN42" s="49">
        <f t="shared" si="40"/>
        <v>96</v>
      </c>
      <c r="BO42" s="49">
        <f t="shared" si="41"/>
        <v>0.6</v>
      </c>
      <c r="BP42" s="3">
        <f t="shared" si="42"/>
        <v>0.01</v>
      </c>
      <c r="BQ42" s="50">
        <f t="shared" si="72"/>
        <v>498.66702773037281</v>
      </c>
      <c r="BR42" s="3">
        <f t="shared" si="43"/>
        <v>446.66666666666663</v>
      </c>
      <c r="BS42" s="3">
        <f t="shared" si="44"/>
        <v>1.175E-3</v>
      </c>
      <c r="BT42" s="3">
        <f t="shared" si="73"/>
        <v>2.6666666666666576</v>
      </c>
      <c r="BU42" s="3">
        <f t="shared" si="74"/>
        <v>96</v>
      </c>
      <c r="BV42" s="3">
        <f t="shared" si="45"/>
        <v>0.6</v>
      </c>
      <c r="BW42" s="214">
        <f t="shared" si="46"/>
        <v>1.35E-2</v>
      </c>
      <c r="BX42" s="50">
        <f t="shared" si="75"/>
        <v>545.33366357494833</v>
      </c>
      <c r="BY42" s="16">
        <f t="shared" si="48"/>
        <v>3.7500000000000001E-7</v>
      </c>
      <c r="BZ42" s="49">
        <f t="shared" si="49"/>
        <v>66.666666666666657</v>
      </c>
      <c r="CA42" s="3">
        <f t="shared" si="50"/>
        <v>2E-3</v>
      </c>
      <c r="CB42" s="49">
        <f t="shared" si="51"/>
        <v>2.6666666666666576</v>
      </c>
      <c r="CC42" s="49">
        <f t="shared" si="52"/>
        <v>0</v>
      </c>
      <c r="CD42" s="49">
        <f t="shared" si="53"/>
        <v>1.2</v>
      </c>
      <c r="CE42" s="3">
        <f t="shared" si="54"/>
        <v>0.01</v>
      </c>
      <c r="CF42" s="50">
        <f t="shared" si="76"/>
        <v>69.343717921028059</v>
      </c>
      <c r="CG42" s="3">
        <f t="shared" si="55"/>
        <v>89.999999999999986</v>
      </c>
      <c r="CH42" s="3">
        <f t="shared" si="56"/>
        <v>2.0874999999999999E-3</v>
      </c>
      <c r="CI42" s="3">
        <f t="shared" si="77"/>
        <v>2.6666666666666576</v>
      </c>
      <c r="CJ42" s="3">
        <f t="shared" si="78"/>
        <v>0</v>
      </c>
      <c r="CK42" s="3">
        <f t="shared" si="57"/>
        <v>1.2</v>
      </c>
      <c r="CL42" s="214">
        <f t="shared" si="58"/>
        <v>1.35E-2</v>
      </c>
      <c r="CM42" s="50">
        <f t="shared" si="79"/>
        <v>92.674437131923071</v>
      </c>
      <c r="CV42" s="4" t="b">
        <f>OR(AND($C$8=2,($C54=$D54)),AND($C$8=3,$C54=$D54,$D54=$E54),AND($C$8=4,$C54=$D54,$D54=$E54,$E54=$F54),AND($C$8=5,$C54=$D54,$D54=$E54,$E54=$F54,$F54=$G54))</f>
        <v>1</v>
      </c>
    </row>
    <row r="43" spans="2:100">
      <c r="B43" s="7" t="s">
        <v>142</v>
      </c>
      <c r="C43" s="8" t="str">
        <f>IF(C15="None", "",VLOOKUP(C15,'TI Parametric Selection '!$B:$AH,24,FALSE))</f>
        <v>N/A</v>
      </c>
      <c r="D43" s="8" t="str">
        <f>IF(D15="None", "",VLOOKUP(D15,'TI Parametric Selection '!$B:$AH,24,FALSE))</f>
        <v>N/A</v>
      </c>
      <c r="E43" s="8" t="str">
        <f>IF(E15="None", "",VLOOKUP(E15,'TI Parametric Selection '!$B:$AH,24,FALSE))</f>
        <v>N/A</v>
      </c>
      <c r="F43" s="8" t="str">
        <f>IF(F15="None", "",VLOOKUP(F15,'TI Parametric Selection '!$B:$AH,24,FALSE))</f>
        <v>N/A</v>
      </c>
      <c r="G43" s="8" t="str">
        <f>IF(G15="None", "",VLOOKUP(G15,'TI Parametric Selection '!$B:$AH,24,FALSE))</f>
        <v>N/A</v>
      </c>
      <c r="I43" s="15"/>
      <c r="J43" s="15"/>
      <c r="K43" s="106"/>
      <c r="L43" s="15"/>
      <c r="M43" s="15"/>
      <c r="N43" s="15"/>
      <c r="P43" s="116">
        <f t="shared" si="85"/>
        <v>7.9999999999999993E-5</v>
      </c>
      <c r="Q43" s="135">
        <f t="shared" ref="Q43:Q74" si="87">IF(calcshunt="Yes",($P43*$C$32/1000),($P43*$J$19/1000))</f>
        <v>3.9999999999999998E-7</v>
      </c>
      <c r="R43" s="49">
        <f t="shared" ref="R43:R74" si="88">IF(RTC="Yes",0,((VOS_1/1000000)/Q43))</f>
        <v>1250</v>
      </c>
      <c r="S43" s="3">
        <f t="shared" ref="S43:S74" si="89">IF(R$8&lt;&gt;0,"ERROR",IF(RTC="Yes",0,GE_1))</f>
        <v>8.0000000000000002E-3</v>
      </c>
      <c r="T43" s="49">
        <f t="shared" ref="T43:T74" si="90">IF(RTC="Yes",0,(($T$7*ABS(Vsupply-$T$8))/Q43))</f>
        <v>9.9999999999999662</v>
      </c>
      <c r="U43" s="49">
        <f t="shared" ref="U43:U74" si="91">IF(RTC="Yes",0,(($U$7*ABS(Vcm-$U$8))/Q43))</f>
        <v>0</v>
      </c>
      <c r="V43" s="49">
        <f t="shared" ref="V43:V74" si="92">IF(RTC="Yes",0,((ibias1/1000000)/$P43))</f>
        <v>1.0000000000000002</v>
      </c>
      <c r="W43" s="3">
        <f t="shared" ref="W43:W74" si="93">IF(RTC="Yes",0,$J$20)</f>
        <v>0.01</v>
      </c>
      <c r="X43" s="50">
        <f t="shared" si="60"/>
        <v>1260.0003968904136</v>
      </c>
      <c r="Y43" s="3">
        <f t="shared" ref="Y43:Y74" si="94">R43+((VOSD1*0.000001*ABS(Desiredtemp-25)))/Q43</f>
        <v>1337.5</v>
      </c>
      <c r="Z43" s="3">
        <f t="shared" ref="Z43:Z74" si="95">S43+(GED_1/1000000*ABS(Desiredtemp-25))</f>
        <v>8.6999999999999994E-3</v>
      </c>
      <c r="AA43" s="3">
        <f t="shared" si="61"/>
        <v>9.9999999999999662</v>
      </c>
      <c r="AB43" s="3">
        <f t="shared" si="62"/>
        <v>0</v>
      </c>
      <c r="AC43" s="3">
        <f t="shared" ref="AC43:AC74" si="96">(ibias1/1000000)/$P43</f>
        <v>1.0000000000000002</v>
      </c>
      <c r="AD43" s="214">
        <f t="shared" ref="AD43:AD74" si="97">((resdrift/1000000)*ABS(Desiredtemp-25))+W43</f>
        <v>1.35E-2</v>
      </c>
      <c r="AE43" s="136">
        <f t="shared" si="63"/>
        <v>1347.5003711531733</v>
      </c>
      <c r="AF43" s="16">
        <f t="shared" ref="AF43:AF74" si="98">IF(calcshunt="Yes",($P43*$D$32/1000),($P43*$J$19/1000))</f>
        <v>3.9999999999999998E-7</v>
      </c>
      <c r="AG43" s="49">
        <f t="shared" ref="AG43:AG74" si="99">IF(RTC="Yes",0,((VOS_2/1000000)/AF43))</f>
        <v>20</v>
      </c>
      <c r="AH43" s="3">
        <f t="shared" ref="AH43:AH74" si="100">IF(AG$8&lt;&gt;0,"ERROR",IF(RTC="Yes",0,GE_2))</f>
        <v>1.4999999999999999E-4</v>
      </c>
      <c r="AI43" s="49">
        <f t="shared" ref="AI43:AI74" si="101">IF(RTC="Yes",0,(($AI$7*ABS(Vsupply-$AI$8))/AF43))</f>
        <v>0.12529680840681759</v>
      </c>
      <c r="AJ43" s="49">
        <f t="shared" ref="AJ43:AJ74" si="102">IF(RTC="Yes",0,(($AJ$7*ABS(Vcm-$AJ$8))/AF43))</f>
        <v>2.8460498941515331</v>
      </c>
      <c r="AK43" s="49">
        <f t="shared" ref="AK43:AK74" si="103">IF(RTC="Yes",0,((ibias2/1000000)/$P43))</f>
        <v>0.56250000000000011</v>
      </c>
      <c r="AL43" s="3">
        <f t="shared" ref="AL43:AL74" si="104">IF(RTC="Yes",0,$J$20)</f>
        <v>0.01</v>
      </c>
      <c r="AM43" s="50">
        <f t="shared" si="64"/>
        <v>22.978234823450613</v>
      </c>
      <c r="AN43" s="3">
        <f t="shared" ref="AN43:AN74" si="105">AG43+((VOSD2*0.000001*ABS(Desiredtemp-25)))/AF43</f>
        <v>28.75</v>
      </c>
      <c r="AO43" s="3">
        <f t="shared" ref="AO43:AO74" si="106">AH43+(GED_2/1000000*ABS(Desiredtemp-25))</f>
        <v>2.1999999999999998E-4</v>
      </c>
      <c r="AP43" s="3">
        <f t="shared" si="65"/>
        <v>0.12529680840681759</v>
      </c>
      <c r="AQ43" s="3">
        <f t="shared" si="66"/>
        <v>2.8460498941515331</v>
      </c>
      <c r="AR43" s="3">
        <f t="shared" ref="AR43:AR74" si="107">(ibias2/1000000)/$P43</f>
        <v>0.56250000000000011</v>
      </c>
      <c r="AS43" s="214">
        <f t="shared" ref="AS43:AS74" si="108">((resdrift/1000000)*ABS(Desiredtemp-25))+AL43</f>
        <v>1.35E-2</v>
      </c>
      <c r="AT43" s="50">
        <f t="shared" si="67"/>
        <v>31.726336459987145</v>
      </c>
      <c r="AU43" s="16">
        <f t="shared" ref="AU43:AU74" si="109">IF(calcshunt="Yes",($P43*$E$32/1000),($P43*$J$19/1000))</f>
        <v>3.9999999999999998E-7</v>
      </c>
      <c r="AV43" s="49">
        <f t="shared" ref="AV43:AV74" si="110">IF(RTC="Yes",0,((VOS_3/1000000)/AU43))</f>
        <v>375</v>
      </c>
      <c r="AW43" s="3">
        <f t="shared" ref="AW43:AW74" si="111">IF(AV$8&lt;&gt;0,"ERROR",IF(RTC="Yes",0,GE_3))</f>
        <v>8.0000000000000002E-3</v>
      </c>
      <c r="AX43" s="49">
        <f t="shared" ref="AX43:AX74" si="112">IF(RTC="Yes",0,(($AX$7*ABS(Vsupply-$AX$8))/AU43))</f>
        <v>9.9999999999999662</v>
      </c>
      <c r="AY43" s="49">
        <f t="shared" ref="AY43:AY74" si="113">IF(RTC="Yes",0,(($AY$7*ABS(Vcm-$AY$8))/AU43))</f>
        <v>1892.8720334405787</v>
      </c>
      <c r="AZ43" s="49">
        <f t="shared" ref="AZ43:AZ74" si="114">IF(RTC="Yes",0,((ibias3/1000000)/$P43))</f>
        <v>1.0000000000000002</v>
      </c>
      <c r="BA43" s="3">
        <f t="shared" ref="BA43:BA74" si="115">IF(RTC="Yes",0,$J$20)</f>
        <v>0.01</v>
      </c>
      <c r="BB43" s="50">
        <f t="shared" si="68"/>
        <v>2277.8722529796783</v>
      </c>
      <c r="BC43" s="3">
        <f t="shared" ref="BC43:BC74" si="116">AV43+((VOSD3*0.000001*ABS(Desiredtemp-25)))/AU43</f>
        <v>462.5</v>
      </c>
      <c r="BD43" s="3">
        <f t="shared" ref="BD43:BD74" si="117">AW43+(GED_3/1000000*ABS(Desiredtemp-25))</f>
        <v>8.6999999999999994E-3</v>
      </c>
      <c r="BE43" s="3">
        <f t="shared" si="69"/>
        <v>9.9999999999999662</v>
      </c>
      <c r="BF43" s="3">
        <f t="shared" si="70"/>
        <v>1892.8720334405787</v>
      </c>
      <c r="BG43" s="3">
        <f t="shared" ref="BG43:BG74" si="118">(ibias3/1000000)/$P43</f>
        <v>1.0000000000000002</v>
      </c>
      <c r="BH43" s="214">
        <f t="shared" ref="BH43:BH74" si="119">((resdrift/1000000)*ABS(Desiredtemp-25))+BA43</f>
        <v>1.35E-2</v>
      </c>
      <c r="BI43" s="50">
        <f t="shared" si="71"/>
        <v>2365.3722448783315</v>
      </c>
      <c r="BJ43" s="16">
        <f t="shared" ref="BJ43:BJ74" si="120">IF(calcshunt="Yes",($P43*$F$32/1000),($P43*$J$19/1000))</f>
        <v>3.9999999999999998E-7</v>
      </c>
      <c r="BK43" s="49">
        <f t="shared" ref="BK43:BK74" si="121">IF(RTC="Yes",0,((VOS_4/1000000)/BJ43))</f>
        <v>375</v>
      </c>
      <c r="BL43" s="3">
        <f t="shared" ref="BL43:BL74" si="122">IF(BK$8&lt;&gt;0,"ERROR",IF(RTC="Yes",0,GE_4))</f>
        <v>1E-3</v>
      </c>
      <c r="BM43" s="49">
        <f t="shared" ref="BM43:BM74" si="123">IF(RTC="Yes",0,(($BM$7*ABS(Vsupply-$BM$8))/BJ43))</f>
        <v>2.4999999999999916</v>
      </c>
      <c r="BN43" s="49">
        <f t="shared" ref="BN43:BN74" si="124">IF(RTC="Yes",0,(($BN$7*ABS(Vcm-$BN$8))/BJ43))</f>
        <v>90</v>
      </c>
      <c r="BO43" s="49">
        <f t="shared" ref="BO43:BO74" si="125">IF(RTC="Yes",0,((ibias4/1000000)/$P43))</f>
        <v>0.56250000000000011</v>
      </c>
      <c r="BP43" s="3">
        <f t="shared" ref="BP43:BP74" si="126">IF(RTC="Yes",0,$J$20)</f>
        <v>0.01</v>
      </c>
      <c r="BQ43" s="50">
        <f t="shared" si="72"/>
        <v>467.50033851030526</v>
      </c>
      <c r="BR43" s="3">
        <f t="shared" ref="BR43:BR74" si="127">BK43+((VOSD4*0.000001*ABS(Desiredtemp-25)))/BJ43</f>
        <v>418.75</v>
      </c>
      <c r="BS43" s="3">
        <f t="shared" ref="BS43:BS74" si="128">BL43+(GED_4/1000000*ABS(Desiredtemp-25))</f>
        <v>1.175E-3</v>
      </c>
      <c r="BT43" s="3">
        <f t="shared" si="73"/>
        <v>2.4999999999999916</v>
      </c>
      <c r="BU43" s="3">
        <f t="shared" si="74"/>
        <v>90</v>
      </c>
      <c r="BV43" s="3">
        <f t="shared" ref="BV43:BV74" si="129">(ibias4/1000000)/$P43</f>
        <v>0.56250000000000011</v>
      </c>
      <c r="BW43" s="214">
        <f t="shared" ref="BW43:BW74" si="130">((resdrift/1000000)*ABS(Desiredtemp-25))+BP43</f>
        <v>1.35E-2</v>
      </c>
      <c r="BX43" s="50">
        <f t="shared" si="75"/>
        <v>511.25030962326139</v>
      </c>
      <c r="BY43" s="16">
        <f t="shared" ref="BY43:BY74" si="131">IF(calcshunt="Yes",($P43*$G$32/1000),($P43*$J$19/1000))</f>
        <v>3.9999999999999998E-7</v>
      </c>
      <c r="BZ43" s="49">
        <f t="shared" ref="BZ43:BZ74" si="132">IF(RTC="Yes",0,((VOS_5/1000000)/BY43))</f>
        <v>62.5</v>
      </c>
      <c r="CA43" s="3">
        <f t="shared" ref="CA43:CA74" si="133">IF(BZ$8&lt;&gt;0,"ERROR",IF(RTC="Yes",0,GE_5))</f>
        <v>2E-3</v>
      </c>
      <c r="CB43" s="49">
        <f t="shared" ref="CB43:CB74" si="134">IF(RTC="Yes",0,(($CB$7*ABS(Vsupply-$CB$8))/BY43))</f>
        <v>2.4999999999999916</v>
      </c>
      <c r="CC43" s="49">
        <f t="shared" ref="CC43:CC74" si="135">IF(RTC="Yes",0,(($CC$7*ABS(Vcm-$CC$8))/BY43))</f>
        <v>0</v>
      </c>
      <c r="CD43" s="49">
        <f t="shared" ref="CD43:CD74" si="136">IF(RTC="Yes",0,((ibias5/1000000)/$P43))</f>
        <v>1.1250000000000002</v>
      </c>
      <c r="CE43" s="3">
        <f t="shared" ref="CE43:CE74" si="137">IF(RTC="Yes",0,$J$20)</f>
        <v>0.01</v>
      </c>
      <c r="CF43" s="50">
        <f t="shared" si="76"/>
        <v>65.009735647824314</v>
      </c>
      <c r="CG43" s="3">
        <f t="shared" ref="CG43:CG74" si="138">BZ43+((VOSD5*0.000001*ABS(Desiredtemp-25)))/BY43</f>
        <v>84.375</v>
      </c>
      <c r="CH43" s="3">
        <f t="shared" ref="CH43:CH74" si="139">CA43+(GED_5/1000000*ABS(Desiredtemp-25))</f>
        <v>2.0874999999999999E-3</v>
      </c>
      <c r="CI43" s="3">
        <f t="shared" si="77"/>
        <v>2.4999999999999916</v>
      </c>
      <c r="CJ43" s="3">
        <f t="shared" si="78"/>
        <v>0</v>
      </c>
      <c r="CK43" s="3">
        <f t="shared" ref="CK43:CK74" si="140">(ibias5/1000000)/$P43</f>
        <v>1.1250000000000002</v>
      </c>
      <c r="CL43" s="214">
        <f t="shared" ref="CL43:CL74" si="141">((resdrift/1000000)*ABS(Desiredtemp-25))+CE43</f>
        <v>1.35E-2</v>
      </c>
      <c r="CM43" s="50">
        <f t="shared" si="79"/>
        <v>86.882284941221783</v>
      </c>
      <c r="CO43" s="51" t="s">
        <v>265</v>
      </c>
      <c r="CP43" s="24">
        <f>VLOOKUP(C15,'TI Parametric Selection '!$B:$AH,23,FALSE)</f>
        <v>-0.03</v>
      </c>
      <c r="CQ43" s="24">
        <f>VLOOKUP(D15,'TI Parametric Selection '!$B:$AH,23,FALSE)</f>
        <v>-0.2</v>
      </c>
      <c r="CR43" s="24">
        <f>VLOOKUP(E15,'TI Parametric Selection '!$B:$AH,23,FALSE)</f>
        <v>-0.03</v>
      </c>
      <c r="CS43" s="24">
        <f>VLOOKUP(F15,'TI Parametric Selection '!$B:$AH,23,FALSE)</f>
        <v>-0.2</v>
      </c>
      <c r="CT43" s="24">
        <f>VLOOKUP(G15,'TI Parametric Selection '!$B:$AH,23,FALSE)</f>
        <v>-0.2</v>
      </c>
      <c r="CV43" s="4" t="b">
        <f t="shared" ref="CV43:CV48" si="142">OR(AND($C$8=2,($C46=$D46)),AND($C$8=3,$C46=$D46,$D46=$E46),AND($C$8=4,$C46=$D46,$D46=$E46,$E46=$F46),AND($C$8=5,$C46=$D46,$D46=$E46,$E46=$F46,$F46=$G46))</f>
        <v>1</v>
      </c>
    </row>
    <row r="44" spans="2:100">
      <c r="B44" s="7" t="s">
        <v>143</v>
      </c>
      <c r="C44" s="8" t="str">
        <f>IF(C15="None", "",VLOOKUP(C15,'TI Parametric Selection '!$B:$AH,25,FALSE))</f>
        <v>N/A</v>
      </c>
      <c r="D44" s="8" t="str">
        <f>IF(D15="None", "",VLOOKUP(D15,'TI Parametric Selection '!$B:$AH,25,FALSE))</f>
        <v>N/A</v>
      </c>
      <c r="E44" s="8" t="str">
        <f>IF(E15="None", "",VLOOKUP(E15,'TI Parametric Selection '!$B:$AH,25,FALSE))</f>
        <v>N/A</v>
      </c>
      <c r="F44" s="8" t="str">
        <f>IF(F15="None", "",VLOOKUP(F15,'TI Parametric Selection '!$B:$AH,25,FALSE))</f>
        <v>N/A</v>
      </c>
      <c r="G44" s="8" t="str">
        <f>IF(G15="None", "",VLOOKUP(G15,'TI Parametric Selection '!$B:$AH,25,FALSE))</f>
        <v>N/A</v>
      </c>
      <c r="I44" s="106"/>
      <c r="J44" s="106"/>
      <c r="K44" s="106"/>
      <c r="L44" s="106"/>
      <c r="M44" s="106"/>
      <c r="N44" s="106"/>
      <c r="P44" s="116">
        <f t="shared" si="85"/>
        <v>8.5000000000000006E-5</v>
      </c>
      <c r="Q44" s="135">
        <f t="shared" si="87"/>
        <v>4.2500000000000001E-7</v>
      </c>
      <c r="R44" s="49">
        <f t="shared" si="88"/>
        <v>1176.4705882352941</v>
      </c>
      <c r="S44" s="3">
        <f t="shared" si="89"/>
        <v>8.0000000000000002E-3</v>
      </c>
      <c r="T44" s="49">
        <f t="shared" si="90"/>
        <v>9.4117647058823213</v>
      </c>
      <c r="U44" s="49">
        <f t="shared" si="91"/>
        <v>0</v>
      </c>
      <c r="V44" s="49">
        <f t="shared" si="92"/>
        <v>0.94117647058823528</v>
      </c>
      <c r="W44" s="3">
        <f t="shared" si="93"/>
        <v>0.01</v>
      </c>
      <c r="X44" s="50">
        <f t="shared" si="60"/>
        <v>1185.882726492991</v>
      </c>
      <c r="Y44" s="3">
        <f t="shared" si="94"/>
        <v>1258.8235294117646</v>
      </c>
      <c r="Z44" s="3">
        <f t="shared" si="95"/>
        <v>8.6999999999999994E-3</v>
      </c>
      <c r="AA44" s="3">
        <f t="shared" si="61"/>
        <v>9.4117647058823213</v>
      </c>
      <c r="AB44" s="3">
        <f t="shared" si="62"/>
        <v>0</v>
      </c>
      <c r="AC44" s="3">
        <f t="shared" si="96"/>
        <v>0.94117647058823528</v>
      </c>
      <c r="AD44" s="214">
        <f t="shared" si="97"/>
        <v>1.35E-2</v>
      </c>
      <c r="AE44" s="136">
        <f t="shared" si="63"/>
        <v>1268.2356434498927</v>
      </c>
      <c r="AF44" s="16">
        <f t="shared" si="98"/>
        <v>4.2500000000000001E-7</v>
      </c>
      <c r="AG44" s="49">
        <f t="shared" si="99"/>
        <v>18.823529411764703</v>
      </c>
      <c r="AH44" s="3">
        <f t="shared" si="100"/>
        <v>1.4999999999999999E-4</v>
      </c>
      <c r="AI44" s="49">
        <f t="shared" si="101"/>
        <v>0.11792640791229891</v>
      </c>
      <c r="AJ44" s="49">
        <f t="shared" si="102"/>
        <v>2.6786351944955604</v>
      </c>
      <c r="AK44" s="49">
        <f t="shared" si="103"/>
        <v>0.52941176470588236</v>
      </c>
      <c r="AL44" s="3">
        <f t="shared" si="104"/>
        <v>0.01</v>
      </c>
      <c r="AM44" s="50">
        <f t="shared" si="64"/>
        <v>21.626574215538948</v>
      </c>
      <c r="AN44" s="3">
        <f t="shared" si="105"/>
        <v>27.058823529411761</v>
      </c>
      <c r="AO44" s="3">
        <f t="shared" si="106"/>
        <v>2.1999999999999998E-4</v>
      </c>
      <c r="AP44" s="3">
        <f t="shared" si="65"/>
        <v>0.11792640791229891</v>
      </c>
      <c r="AQ44" s="3">
        <f t="shared" si="66"/>
        <v>2.6786351944955604</v>
      </c>
      <c r="AR44" s="3">
        <f t="shared" si="107"/>
        <v>0.52941176470588236</v>
      </c>
      <c r="AS44" s="214">
        <f t="shared" si="108"/>
        <v>1.35E-2</v>
      </c>
      <c r="AT44" s="50">
        <f t="shared" si="67"/>
        <v>29.860081722665882</v>
      </c>
      <c r="AU44" s="16">
        <f t="shared" si="109"/>
        <v>4.2500000000000001E-7</v>
      </c>
      <c r="AV44" s="49">
        <f t="shared" si="110"/>
        <v>352.94117647058818</v>
      </c>
      <c r="AW44" s="3">
        <f t="shared" si="111"/>
        <v>8.0000000000000002E-3</v>
      </c>
      <c r="AX44" s="49">
        <f t="shared" si="112"/>
        <v>9.4117647058823213</v>
      </c>
      <c r="AY44" s="49">
        <f t="shared" si="113"/>
        <v>1781.5266197087797</v>
      </c>
      <c r="AZ44" s="49">
        <f t="shared" si="114"/>
        <v>0.94117647058823528</v>
      </c>
      <c r="BA44" s="3">
        <f t="shared" si="115"/>
        <v>0.01</v>
      </c>
      <c r="BB44" s="50">
        <f t="shared" si="68"/>
        <v>2143.8797675146525</v>
      </c>
      <c r="BC44" s="3">
        <f t="shared" si="116"/>
        <v>435.29411764705878</v>
      </c>
      <c r="BD44" s="3">
        <f t="shared" si="117"/>
        <v>8.6999999999999994E-3</v>
      </c>
      <c r="BE44" s="3">
        <f t="shared" si="69"/>
        <v>9.4117647058823213</v>
      </c>
      <c r="BF44" s="3">
        <f t="shared" si="70"/>
        <v>1781.5266197087797</v>
      </c>
      <c r="BG44" s="3">
        <f t="shared" si="118"/>
        <v>0.94117647058823528</v>
      </c>
      <c r="BH44" s="214">
        <f t="shared" si="119"/>
        <v>1.35E-2</v>
      </c>
      <c r="BI44" s="50">
        <f t="shared" si="71"/>
        <v>2226.232701068574</v>
      </c>
      <c r="BJ44" s="16">
        <f t="shared" si="120"/>
        <v>4.2500000000000001E-7</v>
      </c>
      <c r="BK44" s="49">
        <f t="shared" si="121"/>
        <v>352.94117647058818</v>
      </c>
      <c r="BL44" s="3">
        <f t="shared" si="122"/>
        <v>1E-3</v>
      </c>
      <c r="BM44" s="49">
        <f t="shared" si="123"/>
        <v>2.3529411764705803</v>
      </c>
      <c r="BN44" s="49">
        <f t="shared" si="124"/>
        <v>84.705882352941174</v>
      </c>
      <c r="BO44" s="49">
        <f t="shared" si="125"/>
        <v>0.52941176470588236</v>
      </c>
      <c r="BP44" s="3">
        <f t="shared" si="126"/>
        <v>0.01</v>
      </c>
      <c r="BQ44" s="50">
        <f t="shared" si="72"/>
        <v>440.0003186110398</v>
      </c>
      <c r="BR44" s="3">
        <f t="shared" si="127"/>
        <v>394.11764705882348</v>
      </c>
      <c r="BS44" s="3">
        <f t="shared" si="128"/>
        <v>1.175E-3</v>
      </c>
      <c r="BT44" s="3">
        <f t="shared" si="73"/>
        <v>2.3529411764705803</v>
      </c>
      <c r="BU44" s="3">
        <f t="shared" si="74"/>
        <v>84.705882352941174</v>
      </c>
      <c r="BV44" s="3">
        <f t="shared" si="129"/>
        <v>0.52941176470588236</v>
      </c>
      <c r="BW44" s="214">
        <f t="shared" si="130"/>
        <v>1.35E-2</v>
      </c>
      <c r="BX44" s="50">
        <f t="shared" si="75"/>
        <v>481.17676202015207</v>
      </c>
      <c r="BY44" s="16">
        <f t="shared" si="131"/>
        <v>4.2500000000000001E-7</v>
      </c>
      <c r="BZ44" s="49">
        <f t="shared" si="132"/>
        <v>58.823529411764703</v>
      </c>
      <c r="CA44" s="3">
        <f t="shared" si="133"/>
        <v>2E-3</v>
      </c>
      <c r="CB44" s="49">
        <f t="shared" si="134"/>
        <v>2.3529411764705803</v>
      </c>
      <c r="CC44" s="49">
        <f t="shared" si="135"/>
        <v>0</v>
      </c>
      <c r="CD44" s="49">
        <f t="shared" si="136"/>
        <v>1.0588235294117647</v>
      </c>
      <c r="CE44" s="3">
        <f t="shared" si="137"/>
        <v>0.01</v>
      </c>
      <c r="CF44" s="50">
        <f t="shared" si="76"/>
        <v>61.185633647937756</v>
      </c>
      <c r="CG44" s="3">
        <f t="shared" si="138"/>
        <v>79.411764705882348</v>
      </c>
      <c r="CH44" s="3">
        <f t="shared" si="139"/>
        <v>2.0874999999999999E-3</v>
      </c>
      <c r="CI44" s="3">
        <f t="shared" si="77"/>
        <v>2.3529411764705803</v>
      </c>
      <c r="CJ44" s="3">
        <f t="shared" si="78"/>
        <v>0</v>
      </c>
      <c r="CK44" s="3">
        <f t="shared" si="140"/>
        <v>1.0588235294117647</v>
      </c>
      <c r="CL44" s="214">
        <f t="shared" si="141"/>
        <v>1.35E-2</v>
      </c>
      <c r="CM44" s="50">
        <f t="shared" si="79"/>
        <v>81.771562427911164</v>
      </c>
      <c r="CO44" s="51" t="s">
        <v>266</v>
      </c>
      <c r="CP44" s="24" t="str">
        <f>IF(C45="N/A","Analog","Digital")</f>
        <v>Analog</v>
      </c>
      <c r="CQ44" s="24" t="str">
        <f>IF(D45="N/A","Analog","Digital")</f>
        <v>Analog</v>
      </c>
      <c r="CR44" s="24" t="str">
        <f>IF(E45="N/A","Analog","Digital")</f>
        <v>Analog</v>
      </c>
      <c r="CS44" s="24" t="str">
        <f>IF(F45="N/A","Analog","Digital")</f>
        <v>Analog</v>
      </c>
      <c r="CT44" s="24" t="str">
        <f>IF(G45="N/A","Analog","Digital")</f>
        <v>Analog</v>
      </c>
      <c r="CV44" s="4" t="b">
        <f t="shared" si="142"/>
        <v>1</v>
      </c>
    </row>
    <row r="45" spans="2:100">
      <c r="B45" s="7" t="s">
        <v>343</v>
      </c>
      <c r="C45" s="8" t="str">
        <f>IF(C15="None", "",VLOOKUP(C15,'TI Parametric Selection '!$B:$AH,26,FALSE))</f>
        <v>N/A</v>
      </c>
      <c r="D45" s="8" t="str">
        <f>IF(D15="None", "",VLOOKUP(D15,'TI Parametric Selection '!$B:$AH,26,FALSE))</f>
        <v>N/A</v>
      </c>
      <c r="E45" s="8" t="str">
        <f>IF(E15="None", "",VLOOKUP(E15,'TI Parametric Selection '!$B:$AH,26,FALSE))</f>
        <v>N/A</v>
      </c>
      <c r="F45" s="8" t="str">
        <f>IF(F15="None", "",VLOOKUP(F15,'TI Parametric Selection '!$B:$AH,26,FALSE))</f>
        <v>N/A</v>
      </c>
      <c r="G45" s="8" t="str">
        <f>IF(G15="None", "",VLOOKUP(G15,'TI Parametric Selection '!$B:$AH,26,FALSE))</f>
        <v>N/A</v>
      </c>
      <c r="I45" s="106"/>
      <c r="J45" s="106"/>
      <c r="K45" s="106"/>
      <c r="L45" s="106"/>
      <c r="M45" s="106"/>
      <c r="N45" s="106"/>
      <c r="P45" s="116">
        <f t="shared" si="85"/>
        <v>9.0000000000000006E-5</v>
      </c>
      <c r="Q45" s="135">
        <f t="shared" si="87"/>
        <v>4.5000000000000003E-7</v>
      </c>
      <c r="R45" s="49">
        <f t="shared" si="88"/>
        <v>1111.1111111111111</v>
      </c>
      <c r="S45" s="3">
        <f t="shared" si="89"/>
        <v>8.0000000000000002E-3</v>
      </c>
      <c r="T45" s="49">
        <f t="shared" si="90"/>
        <v>8.8888888888888573</v>
      </c>
      <c r="U45" s="49">
        <f t="shared" si="91"/>
        <v>0</v>
      </c>
      <c r="V45" s="49">
        <f t="shared" si="92"/>
        <v>0.88888888888888895</v>
      </c>
      <c r="W45" s="3">
        <f t="shared" si="93"/>
        <v>0.01</v>
      </c>
      <c r="X45" s="50">
        <f t="shared" si="60"/>
        <v>1120.0003528068448</v>
      </c>
      <c r="Y45" s="3">
        <f t="shared" si="94"/>
        <v>1188.8888888888889</v>
      </c>
      <c r="Z45" s="3">
        <f t="shared" si="95"/>
        <v>8.6999999999999994E-3</v>
      </c>
      <c r="AA45" s="3">
        <f t="shared" si="61"/>
        <v>8.8888888888888573</v>
      </c>
      <c r="AB45" s="3">
        <f t="shared" si="62"/>
        <v>0</v>
      </c>
      <c r="AC45" s="3">
        <f t="shared" si="96"/>
        <v>0.88888888888888895</v>
      </c>
      <c r="AD45" s="214">
        <f t="shared" si="97"/>
        <v>1.35E-2</v>
      </c>
      <c r="AE45" s="136">
        <f t="shared" si="63"/>
        <v>1197.7781077143081</v>
      </c>
      <c r="AF45" s="16">
        <f t="shared" si="98"/>
        <v>4.5000000000000003E-7</v>
      </c>
      <c r="AG45" s="49">
        <f t="shared" si="99"/>
        <v>17.777777777777775</v>
      </c>
      <c r="AH45" s="3">
        <f t="shared" si="100"/>
        <v>1.4999999999999999E-4</v>
      </c>
      <c r="AI45" s="49">
        <f t="shared" si="101"/>
        <v>0.11137494080606007</v>
      </c>
      <c r="AJ45" s="49">
        <f t="shared" si="102"/>
        <v>2.5298221281346955</v>
      </c>
      <c r="AK45" s="49">
        <f t="shared" si="103"/>
        <v>0.5</v>
      </c>
      <c r="AL45" s="3">
        <f t="shared" si="104"/>
        <v>0.01</v>
      </c>
      <c r="AM45" s="50">
        <f t="shared" si="64"/>
        <v>20.42509813473179</v>
      </c>
      <c r="AN45" s="3">
        <f t="shared" si="105"/>
        <v>25.55555555555555</v>
      </c>
      <c r="AO45" s="3">
        <f t="shared" si="106"/>
        <v>2.1999999999999998E-4</v>
      </c>
      <c r="AP45" s="3">
        <f t="shared" si="65"/>
        <v>0.11137494080606007</v>
      </c>
      <c r="AQ45" s="3">
        <f t="shared" si="66"/>
        <v>2.5298221281346955</v>
      </c>
      <c r="AR45" s="3">
        <f t="shared" si="107"/>
        <v>0.5</v>
      </c>
      <c r="AS45" s="214">
        <f t="shared" si="108"/>
        <v>1.35E-2</v>
      </c>
      <c r="AT45" s="50">
        <f t="shared" si="67"/>
        <v>28.201188642776021</v>
      </c>
      <c r="AU45" s="16">
        <f t="shared" si="109"/>
        <v>4.5000000000000003E-7</v>
      </c>
      <c r="AV45" s="49">
        <f t="shared" si="110"/>
        <v>333.33333333333326</v>
      </c>
      <c r="AW45" s="3">
        <f t="shared" si="111"/>
        <v>8.0000000000000002E-3</v>
      </c>
      <c r="AX45" s="49">
        <f t="shared" si="112"/>
        <v>8.8888888888888573</v>
      </c>
      <c r="AY45" s="49">
        <f t="shared" si="113"/>
        <v>1682.5529186138474</v>
      </c>
      <c r="AZ45" s="49">
        <f t="shared" si="114"/>
        <v>0.88888888888888895</v>
      </c>
      <c r="BA45" s="3">
        <f t="shared" si="115"/>
        <v>0.01</v>
      </c>
      <c r="BB45" s="50">
        <f t="shared" si="68"/>
        <v>2024.7753359904357</v>
      </c>
      <c r="BC45" s="3">
        <f t="shared" si="116"/>
        <v>411.11111111111103</v>
      </c>
      <c r="BD45" s="3">
        <f t="shared" si="117"/>
        <v>8.6999999999999994E-3</v>
      </c>
      <c r="BE45" s="3">
        <f t="shared" si="69"/>
        <v>8.8888888888888573</v>
      </c>
      <c r="BF45" s="3">
        <f t="shared" si="70"/>
        <v>1682.5529186138474</v>
      </c>
      <c r="BG45" s="3">
        <f t="shared" si="118"/>
        <v>0.88888888888888895</v>
      </c>
      <c r="BH45" s="214">
        <f t="shared" si="119"/>
        <v>1.35E-2</v>
      </c>
      <c r="BI45" s="50">
        <f t="shared" si="71"/>
        <v>2102.5531065713903</v>
      </c>
      <c r="BJ45" s="16">
        <f t="shared" si="120"/>
        <v>4.5000000000000003E-7</v>
      </c>
      <c r="BK45" s="49">
        <f t="shared" si="121"/>
        <v>333.33333333333326</v>
      </c>
      <c r="BL45" s="3">
        <f t="shared" si="122"/>
        <v>1E-3</v>
      </c>
      <c r="BM45" s="49">
        <f t="shared" si="123"/>
        <v>2.2222222222222143</v>
      </c>
      <c r="BN45" s="49">
        <f t="shared" si="124"/>
        <v>80</v>
      </c>
      <c r="BO45" s="49">
        <f t="shared" si="125"/>
        <v>0.5</v>
      </c>
      <c r="BP45" s="3">
        <f t="shared" si="126"/>
        <v>0.01</v>
      </c>
      <c r="BQ45" s="50">
        <f t="shared" si="72"/>
        <v>415.55585647910965</v>
      </c>
      <c r="BR45" s="3">
        <f t="shared" si="127"/>
        <v>372.22222222222217</v>
      </c>
      <c r="BS45" s="3">
        <f t="shared" si="128"/>
        <v>1.175E-3</v>
      </c>
      <c r="BT45" s="3">
        <f t="shared" si="73"/>
        <v>2.2222222222222143</v>
      </c>
      <c r="BU45" s="3">
        <f t="shared" si="74"/>
        <v>80</v>
      </c>
      <c r="BV45" s="3">
        <f t="shared" si="129"/>
        <v>0.5</v>
      </c>
      <c r="BW45" s="214">
        <f t="shared" si="130"/>
        <v>1.35E-2</v>
      </c>
      <c r="BX45" s="50">
        <f t="shared" si="75"/>
        <v>454.44471970752431</v>
      </c>
      <c r="BY45" s="16">
        <f t="shared" si="131"/>
        <v>4.5000000000000003E-7</v>
      </c>
      <c r="BZ45" s="49">
        <f t="shared" si="132"/>
        <v>55.55555555555555</v>
      </c>
      <c r="CA45" s="3">
        <f t="shared" si="133"/>
        <v>2E-3</v>
      </c>
      <c r="CB45" s="49">
        <f t="shared" si="134"/>
        <v>2.2222222222222143</v>
      </c>
      <c r="CC45" s="49">
        <f t="shared" si="135"/>
        <v>0</v>
      </c>
      <c r="CD45" s="49">
        <f t="shared" si="136"/>
        <v>1</v>
      </c>
      <c r="CE45" s="3">
        <f t="shared" si="137"/>
        <v>0.01</v>
      </c>
      <c r="CF45" s="50">
        <f t="shared" si="76"/>
        <v>57.786431875815538</v>
      </c>
      <c r="CG45" s="3">
        <f t="shared" si="138"/>
        <v>75</v>
      </c>
      <c r="CH45" s="3">
        <f t="shared" si="139"/>
        <v>2.0874999999999999E-3</v>
      </c>
      <c r="CI45" s="3">
        <f t="shared" si="77"/>
        <v>2.2222222222222143</v>
      </c>
      <c r="CJ45" s="3">
        <f t="shared" si="78"/>
        <v>0</v>
      </c>
      <c r="CK45" s="3">
        <f t="shared" si="140"/>
        <v>1</v>
      </c>
      <c r="CL45" s="214">
        <f t="shared" si="141"/>
        <v>1.35E-2</v>
      </c>
      <c r="CM45" s="50">
        <f t="shared" si="79"/>
        <v>77.228697979092772</v>
      </c>
      <c r="CS45" s="24"/>
      <c r="CT45" s="24"/>
      <c r="CV45" s="4" t="b">
        <f t="shared" si="142"/>
        <v>0</v>
      </c>
    </row>
    <row r="46" spans="2:100">
      <c r="B46" s="146" t="s">
        <v>362</v>
      </c>
      <c r="C46" s="20"/>
      <c r="D46" s="20"/>
      <c r="E46" s="20"/>
      <c r="F46" s="20"/>
      <c r="G46" s="20"/>
      <c r="I46" s="106"/>
      <c r="J46" s="106"/>
      <c r="K46" s="106"/>
      <c r="L46" s="106"/>
      <c r="M46" s="106"/>
      <c r="N46" s="106"/>
      <c r="P46" s="116">
        <f t="shared" si="85"/>
        <v>9.5000000000000005E-5</v>
      </c>
      <c r="Q46" s="135">
        <f t="shared" si="87"/>
        <v>4.7500000000000006E-7</v>
      </c>
      <c r="R46" s="49">
        <f t="shared" si="88"/>
        <v>1052.6315789473683</v>
      </c>
      <c r="S46" s="3">
        <f t="shared" si="89"/>
        <v>8.0000000000000002E-3</v>
      </c>
      <c r="T46" s="49">
        <f t="shared" si="90"/>
        <v>8.4210526315789167</v>
      </c>
      <c r="U46" s="49">
        <f t="shared" si="91"/>
        <v>0</v>
      </c>
      <c r="V46" s="49">
        <f t="shared" si="92"/>
        <v>0.8421052631578948</v>
      </c>
      <c r="W46" s="3">
        <f t="shared" si="93"/>
        <v>0.01</v>
      </c>
      <c r="X46" s="50">
        <f t="shared" si="60"/>
        <v>1061.0529658249316</v>
      </c>
      <c r="Y46" s="3">
        <f t="shared" si="94"/>
        <v>1126.3157894736842</v>
      </c>
      <c r="Z46" s="3">
        <f t="shared" si="95"/>
        <v>8.6999999999999994E-3</v>
      </c>
      <c r="AA46" s="3">
        <f t="shared" si="61"/>
        <v>8.4210526315789167</v>
      </c>
      <c r="AB46" s="3">
        <f t="shared" si="62"/>
        <v>0</v>
      </c>
      <c r="AC46" s="3">
        <f t="shared" si="96"/>
        <v>0.8421052631578948</v>
      </c>
      <c r="AD46" s="214">
        <f t="shared" si="97"/>
        <v>1.35E-2</v>
      </c>
      <c r="AE46" s="136">
        <f t="shared" si="63"/>
        <v>1134.7371546883619</v>
      </c>
      <c r="AF46" s="16">
        <f t="shared" si="98"/>
        <v>4.7500000000000006E-7</v>
      </c>
      <c r="AG46" s="49">
        <f t="shared" si="99"/>
        <v>16.84210526315789</v>
      </c>
      <c r="AH46" s="3">
        <f t="shared" si="100"/>
        <v>1.4999999999999999E-4</v>
      </c>
      <c r="AI46" s="49">
        <f t="shared" si="101"/>
        <v>0.10551310181626744</v>
      </c>
      <c r="AJ46" s="49">
        <f t="shared" si="102"/>
        <v>2.3966735950749749</v>
      </c>
      <c r="AK46" s="49">
        <f t="shared" si="103"/>
        <v>0.47368421052631582</v>
      </c>
      <c r="AL46" s="3">
        <f t="shared" si="104"/>
        <v>0.01</v>
      </c>
      <c r="AM46" s="50">
        <f t="shared" si="64"/>
        <v>19.350093234644206</v>
      </c>
      <c r="AN46" s="3">
        <f t="shared" si="105"/>
        <v>24.210526315789469</v>
      </c>
      <c r="AO46" s="3">
        <f t="shared" si="106"/>
        <v>2.1999999999999998E-4</v>
      </c>
      <c r="AP46" s="3">
        <f t="shared" si="65"/>
        <v>0.10551310181626744</v>
      </c>
      <c r="AQ46" s="3">
        <f t="shared" si="66"/>
        <v>2.3966735950749749</v>
      </c>
      <c r="AR46" s="3">
        <f t="shared" si="107"/>
        <v>0.47368421052631582</v>
      </c>
      <c r="AS46" s="214">
        <f t="shared" si="108"/>
        <v>1.35E-2</v>
      </c>
      <c r="AT46" s="50">
        <f t="shared" si="67"/>
        <v>26.716915905986294</v>
      </c>
      <c r="AU46" s="16">
        <f t="shared" si="109"/>
        <v>4.7500000000000006E-7</v>
      </c>
      <c r="AV46" s="49">
        <f t="shared" si="110"/>
        <v>315.78947368421046</v>
      </c>
      <c r="AW46" s="3">
        <f t="shared" si="111"/>
        <v>8.0000000000000002E-3</v>
      </c>
      <c r="AX46" s="49">
        <f t="shared" si="112"/>
        <v>8.4210526315789167</v>
      </c>
      <c r="AY46" s="49">
        <f t="shared" si="113"/>
        <v>1593.9975018446976</v>
      </c>
      <c r="AZ46" s="49">
        <f t="shared" si="114"/>
        <v>0.8421052631578948</v>
      </c>
      <c r="BA46" s="3">
        <f t="shared" si="115"/>
        <v>0.01</v>
      </c>
      <c r="BB46" s="50">
        <f t="shared" si="68"/>
        <v>1918.2082130479523</v>
      </c>
      <c r="BC46" s="3">
        <f t="shared" si="116"/>
        <v>389.47368421052624</v>
      </c>
      <c r="BD46" s="3">
        <f t="shared" si="117"/>
        <v>8.6999999999999994E-3</v>
      </c>
      <c r="BE46" s="3">
        <f t="shared" si="69"/>
        <v>8.4210526315789167</v>
      </c>
      <c r="BF46" s="3">
        <f t="shared" si="70"/>
        <v>1593.9975018446976</v>
      </c>
      <c r="BG46" s="3">
        <f t="shared" si="118"/>
        <v>0.8421052631578948</v>
      </c>
      <c r="BH46" s="214">
        <f t="shared" si="119"/>
        <v>1.35E-2</v>
      </c>
      <c r="BI46" s="50">
        <f t="shared" si="71"/>
        <v>1991.8924167584798</v>
      </c>
      <c r="BJ46" s="16">
        <f t="shared" si="120"/>
        <v>4.7500000000000006E-7</v>
      </c>
      <c r="BK46" s="49">
        <f t="shared" si="121"/>
        <v>315.78947368421046</v>
      </c>
      <c r="BL46" s="3">
        <f t="shared" si="122"/>
        <v>1E-3</v>
      </c>
      <c r="BM46" s="49">
        <f t="shared" si="123"/>
        <v>2.1052631578947292</v>
      </c>
      <c r="BN46" s="49">
        <f t="shared" si="124"/>
        <v>75.78947368421052</v>
      </c>
      <c r="BO46" s="49">
        <f t="shared" si="125"/>
        <v>0.47368421052631582</v>
      </c>
      <c r="BP46" s="3">
        <f t="shared" si="126"/>
        <v>0.01</v>
      </c>
      <c r="BQ46" s="50">
        <f t="shared" si="72"/>
        <v>393.68449562493544</v>
      </c>
      <c r="BR46" s="3">
        <f t="shared" si="127"/>
        <v>352.63157894736833</v>
      </c>
      <c r="BS46" s="3">
        <f t="shared" si="128"/>
        <v>1.175E-3</v>
      </c>
      <c r="BT46" s="3">
        <f t="shared" si="73"/>
        <v>2.1052631578947292</v>
      </c>
      <c r="BU46" s="3">
        <f t="shared" si="74"/>
        <v>75.78947368421052</v>
      </c>
      <c r="BV46" s="3">
        <f t="shared" si="129"/>
        <v>0.47368421052631582</v>
      </c>
      <c r="BW46" s="214">
        <f t="shared" si="130"/>
        <v>1.35E-2</v>
      </c>
      <c r="BX46" s="50">
        <f t="shared" si="75"/>
        <v>430.52657658688094</v>
      </c>
      <c r="BY46" s="16">
        <f t="shared" si="131"/>
        <v>4.7500000000000006E-7</v>
      </c>
      <c r="BZ46" s="49">
        <f t="shared" si="132"/>
        <v>52.631578947368411</v>
      </c>
      <c r="CA46" s="3">
        <f t="shared" si="133"/>
        <v>2E-3</v>
      </c>
      <c r="CB46" s="49">
        <f t="shared" si="134"/>
        <v>2.1052631578947292</v>
      </c>
      <c r="CC46" s="49">
        <f t="shared" si="135"/>
        <v>0</v>
      </c>
      <c r="CD46" s="49">
        <f t="shared" si="136"/>
        <v>0.94736842105263164</v>
      </c>
      <c r="CE46" s="3">
        <f t="shared" si="137"/>
        <v>0.01</v>
      </c>
      <c r="CF46" s="50">
        <f t="shared" si="76"/>
        <v>54.745040821810655</v>
      </c>
      <c r="CG46" s="3">
        <f t="shared" si="138"/>
        <v>71.052631578947356</v>
      </c>
      <c r="CH46" s="3">
        <f t="shared" si="139"/>
        <v>2.0874999999999999E-3</v>
      </c>
      <c r="CI46" s="3">
        <f t="shared" si="77"/>
        <v>2.1052631578947292</v>
      </c>
      <c r="CJ46" s="3">
        <f t="shared" si="78"/>
        <v>0</v>
      </c>
      <c r="CK46" s="3">
        <f t="shared" si="140"/>
        <v>0.94736842105263164</v>
      </c>
      <c r="CL46" s="214">
        <f t="shared" si="141"/>
        <v>1.35E-2</v>
      </c>
      <c r="CM46" s="50">
        <f t="shared" si="79"/>
        <v>73.164029795109911</v>
      </c>
      <c r="CO46" s="52" t="s">
        <v>243</v>
      </c>
      <c r="CP46" s="53" t="s">
        <v>244</v>
      </c>
      <c r="CQ46" s="53" t="s">
        <v>245</v>
      </c>
      <c r="CR46" s="53" t="s">
        <v>246</v>
      </c>
      <c r="CS46" s="24"/>
      <c r="CT46" s="24"/>
      <c r="CV46" s="4" t="b">
        <f t="shared" si="142"/>
        <v>1</v>
      </c>
    </row>
    <row r="47" spans="2:100">
      <c r="B47" s="7" t="s">
        <v>144</v>
      </c>
      <c r="C47" s="11" t="str">
        <f>IF(C15="None","",IF(VLOOKUP(C15,'TI Parametric Selection '!$B:$AH,27,FALSE)="Yes","ü",""))</f>
        <v>ü</v>
      </c>
      <c r="D47" s="11" t="str">
        <f>IF(D15="None","",IF(VLOOKUP(D15,'TI Parametric Selection '!$B:$AH,27,FALSE)="Yes","ü",""))</f>
        <v>ü</v>
      </c>
      <c r="E47" s="11" t="str">
        <f>IF(E15="None","",IF(VLOOKUP(E15,'TI Parametric Selection '!$B:$AH,27,FALSE)="Yes","ü",""))</f>
        <v>ü</v>
      </c>
      <c r="F47" s="11" t="str">
        <f>IF(F15="None","",IF(VLOOKUP(F15,'TI Parametric Selection '!$B:$AH,27,FALSE)="Yes","ü",""))</f>
        <v>ü</v>
      </c>
      <c r="G47" s="11" t="str">
        <f>IF(G15="None","",IF(VLOOKUP(G15,'TI Parametric Selection '!$B:$AH,27,FALSE)="Yes","ü",""))</f>
        <v>ü</v>
      </c>
      <c r="I47" s="106"/>
      <c r="J47" s="106"/>
      <c r="K47" s="106"/>
      <c r="L47" s="106"/>
      <c r="M47" s="106"/>
      <c r="N47" s="106"/>
      <c r="P47" s="116">
        <f t="shared" si="85"/>
        <v>9.9999999999999991E-5</v>
      </c>
      <c r="Q47" s="135">
        <f t="shared" si="87"/>
        <v>4.9999999999999998E-7</v>
      </c>
      <c r="R47" s="49">
        <f t="shared" si="88"/>
        <v>1000.0000000000001</v>
      </c>
      <c r="S47" s="3">
        <f t="shared" si="89"/>
        <v>8.0000000000000002E-3</v>
      </c>
      <c r="T47" s="49">
        <f t="shared" si="90"/>
        <v>7.9999999999999725</v>
      </c>
      <c r="U47" s="49">
        <f t="shared" si="91"/>
        <v>0</v>
      </c>
      <c r="V47" s="49">
        <f t="shared" si="92"/>
        <v>0.80000000000000016</v>
      </c>
      <c r="W47" s="3">
        <f t="shared" si="93"/>
        <v>0.01</v>
      </c>
      <c r="X47" s="50">
        <f t="shared" si="60"/>
        <v>1008.0003175416167</v>
      </c>
      <c r="Y47" s="3">
        <f t="shared" si="94"/>
        <v>1070</v>
      </c>
      <c r="Z47" s="3">
        <f t="shared" si="95"/>
        <v>8.6999999999999994E-3</v>
      </c>
      <c r="AA47" s="3">
        <f t="shared" si="61"/>
        <v>7.9999999999999725</v>
      </c>
      <c r="AB47" s="3">
        <f t="shared" si="62"/>
        <v>0</v>
      </c>
      <c r="AC47" s="3">
        <f t="shared" si="96"/>
        <v>0.80000000000000016</v>
      </c>
      <c r="AD47" s="214">
        <f t="shared" si="97"/>
        <v>1.35E-2</v>
      </c>
      <c r="AE47" s="136">
        <f t="shared" si="63"/>
        <v>1078.0002969656084</v>
      </c>
      <c r="AF47" s="16">
        <f t="shared" si="98"/>
        <v>4.9999999999999998E-7</v>
      </c>
      <c r="AG47" s="49">
        <f t="shared" si="99"/>
        <v>16</v>
      </c>
      <c r="AH47" s="3">
        <f t="shared" si="100"/>
        <v>1.4999999999999999E-4</v>
      </c>
      <c r="AI47" s="49">
        <f t="shared" si="101"/>
        <v>0.10023744672545408</v>
      </c>
      <c r="AJ47" s="49">
        <f t="shared" si="102"/>
        <v>2.2768399153212262</v>
      </c>
      <c r="AK47" s="49">
        <f t="shared" si="103"/>
        <v>0.45000000000000007</v>
      </c>
      <c r="AL47" s="3">
        <f t="shared" si="104"/>
        <v>0.01</v>
      </c>
      <c r="AM47" s="50">
        <f t="shared" si="64"/>
        <v>18.382588838168267</v>
      </c>
      <c r="AN47" s="3">
        <f t="shared" si="105"/>
        <v>23</v>
      </c>
      <c r="AO47" s="3">
        <f t="shared" si="106"/>
        <v>2.1999999999999998E-4</v>
      </c>
      <c r="AP47" s="3">
        <f t="shared" si="65"/>
        <v>0.10023744672545408</v>
      </c>
      <c r="AQ47" s="3">
        <f t="shared" si="66"/>
        <v>2.2768399153212262</v>
      </c>
      <c r="AR47" s="3">
        <f t="shared" si="107"/>
        <v>0.45000000000000007</v>
      </c>
      <c r="AS47" s="214">
        <f t="shared" si="108"/>
        <v>1.35E-2</v>
      </c>
      <c r="AT47" s="50">
        <f t="shared" si="67"/>
        <v>25.381070460831673</v>
      </c>
      <c r="AU47" s="16">
        <f t="shared" si="109"/>
        <v>4.9999999999999998E-7</v>
      </c>
      <c r="AV47" s="49">
        <f t="shared" si="110"/>
        <v>300</v>
      </c>
      <c r="AW47" s="3">
        <f t="shared" si="111"/>
        <v>8.0000000000000002E-3</v>
      </c>
      <c r="AX47" s="49">
        <f t="shared" si="112"/>
        <v>7.9999999999999725</v>
      </c>
      <c r="AY47" s="49">
        <f t="shared" si="113"/>
        <v>1514.297626752463</v>
      </c>
      <c r="AZ47" s="49">
        <f t="shared" si="114"/>
        <v>0.80000000000000016</v>
      </c>
      <c r="BA47" s="3">
        <f t="shared" si="115"/>
        <v>0.01</v>
      </c>
      <c r="BB47" s="50">
        <f t="shared" si="68"/>
        <v>1822.2978023999422</v>
      </c>
      <c r="BC47" s="3">
        <f t="shared" si="116"/>
        <v>370</v>
      </c>
      <c r="BD47" s="3">
        <f t="shared" si="117"/>
        <v>8.6999999999999994E-3</v>
      </c>
      <c r="BE47" s="3">
        <f t="shared" si="69"/>
        <v>7.9999999999999725</v>
      </c>
      <c r="BF47" s="3">
        <f t="shared" si="70"/>
        <v>1514.297626752463</v>
      </c>
      <c r="BG47" s="3">
        <f t="shared" si="118"/>
        <v>0.80000000000000016</v>
      </c>
      <c r="BH47" s="214">
        <f t="shared" si="119"/>
        <v>1.35E-2</v>
      </c>
      <c r="BI47" s="50">
        <f t="shared" si="71"/>
        <v>1892.2977959272014</v>
      </c>
      <c r="BJ47" s="16">
        <f t="shared" si="120"/>
        <v>4.9999999999999998E-7</v>
      </c>
      <c r="BK47" s="49">
        <f t="shared" si="121"/>
        <v>300</v>
      </c>
      <c r="BL47" s="3">
        <f t="shared" si="122"/>
        <v>1E-3</v>
      </c>
      <c r="BM47" s="49">
        <f t="shared" si="123"/>
        <v>1.9999999999999931</v>
      </c>
      <c r="BN47" s="49">
        <f t="shared" si="124"/>
        <v>72</v>
      </c>
      <c r="BO47" s="49">
        <f t="shared" si="125"/>
        <v>0.45000000000000007</v>
      </c>
      <c r="BP47" s="3">
        <f t="shared" si="126"/>
        <v>0.01</v>
      </c>
      <c r="BQ47" s="50">
        <f t="shared" si="72"/>
        <v>374.00027085685383</v>
      </c>
      <c r="BR47" s="3">
        <f t="shared" si="127"/>
        <v>335</v>
      </c>
      <c r="BS47" s="3">
        <f t="shared" si="128"/>
        <v>1.175E-3</v>
      </c>
      <c r="BT47" s="3">
        <f t="shared" si="73"/>
        <v>1.9999999999999931</v>
      </c>
      <c r="BU47" s="3">
        <f t="shared" si="74"/>
        <v>72</v>
      </c>
      <c r="BV47" s="3">
        <f t="shared" si="129"/>
        <v>0.45000000000000007</v>
      </c>
      <c r="BW47" s="214">
        <f t="shared" si="130"/>
        <v>1.35E-2</v>
      </c>
      <c r="BX47" s="50">
        <f t="shared" si="75"/>
        <v>409.00024777942451</v>
      </c>
      <c r="BY47" s="16">
        <f t="shared" si="131"/>
        <v>4.9999999999999998E-7</v>
      </c>
      <c r="BZ47" s="49">
        <f t="shared" si="132"/>
        <v>50</v>
      </c>
      <c r="CA47" s="3">
        <f t="shared" si="133"/>
        <v>2E-3</v>
      </c>
      <c r="CB47" s="49">
        <f t="shared" si="134"/>
        <v>1.9999999999999931</v>
      </c>
      <c r="CC47" s="49">
        <f t="shared" si="135"/>
        <v>0</v>
      </c>
      <c r="CD47" s="49">
        <f t="shared" si="136"/>
        <v>0.90000000000000013</v>
      </c>
      <c r="CE47" s="3">
        <f t="shared" si="137"/>
        <v>0.01</v>
      </c>
      <c r="CF47" s="50">
        <f t="shared" si="76"/>
        <v>52.007788878205531</v>
      </c>
      <c r="CG47" s="3">
        <f t="shared" si="138"/>
        <v>67.5</v>
      </c>
      <c r="CH47" s="3">
        <f t="shared" si="139"/>
        <v>2.0874999999999999E-3</v>
      </c>
      <c r="CI47" s="3">
        <f t="shared" si="77"/>
        <v>1.9999999999999931</v>
      </c>
      <c r="CJ47" s="3">
        <f t="shared" si="78"/>
        <v>0</v>
      </c>
      <c r="CK47" s="3">
        <f t="shared" si="140"/>
        <v>0.90000000000000013</v>
      </c>
      <c r="CL47" s="214">
        <f t="shared" si="141"/>
        <v>1.35E-2</v>
      </c>
      <c r="CM47" s="50">
        <f t="shared" si="79"/>
        <v>69.505828436237323</v>
      </c>
      <c r="CO47" s="22" t="s">
        <v>214</v>
      </c>
      <c r="CP47" s="24">
        <v>40</v>
      </c>
      <c r="CQ47" s="24">
        <v>-40</v>
      </c>
      <c r="CR47" s="24">
        <f t="shared" ref="CR47:CR84" si="143">ROUND(CP47/maxcurrent,2)</f>
        <v>4</v>
      </c>
      <c r="CS47" s="24"/>
      <c r="CT47" s="24"/>
      <c r="CV47" s="4" t="b">
        <f t="shared" si="142"/>
        <v>0</v>
      </c>
    </row>
    <row r="48" spans="2:100">
      <c r="B48" s="7" t="s">
        <v>88</v>
      </c>
      <c r="C48" s="11" t="str">
        <f>IF(C15="None", "",IF(VLOOKUP(C15,'TI Parametric Selection '!$B:$AH,28,FALSE)="Yes","ü",""))</f>
        <v/>
      </c>
      <c r="D48" s="11" t="str">
        <f>IF(D15="None", "",IF(VLOOKUP(D15,'TI Parametric Selection '!$B:$AH,28,FALSE)="Yes","ü",""))</f>
        <v>ü</v>
      </c>
      <c r="E48" s="11" t="str">
        <f>IF(E15="None", "",IF(VLOOKUP(E15,'TI Parametric Selection '!$B:$AH,28,FALSE)="Yes","ü",""))</f>
        <v>ü</v>
      </c>
      <c r="F48" s="11" t="str">
        <f>IF(F15="None", "",IF(VLOOKUP(F15,'TI Parametric Selection '!$B:$AH,28,FALSE)="Yes","ü",""))</f>
        <v>ü</v>
      </c>
      <c r="G48" s="11" t="str">
        <f>IF(G15="None", "",IF(VLOOKUP(G15,'TI Parametric Selection '!$B:$AH,28,FALSE)="Yes","ü",""))</f>
        <v>ü</v>
      </c>
      <c r="I48" s="106"/>
      <c r="J48" s="106"/>
      <c r="K48" s="106"/>
      <c r="L48" s="106"/>
      <c r="M48" s="106"/>
      <c r="N48" s="106"/>
      <c r="P48" s="116">
        <f t="shared" si="85"/>
        <v>1.5000000000000001E-4</v>
      </c>
      <c r="Q48" s="135">
        <f t="shared" si="87"/>
        <v>7.5000000000000002E-7</v>
      </c>
      <c r="R48" s="49">
        <f t="shared" si="88"/>
        <v>666.66666666666663</v>
      </c>
      <c r="S48" s="3">
        <f t="shared" si="89"/>
        <v>8.0000000000000002E-3</v>
      </c>
      <c r="T48" s="49">
        <f t="shared" si="90"/>
        <v>5.3333333333333153</v>
      </c>
      <c r="U48" s="49">
        <f t="shared" si="91"/>
        <v>0</v>
      </c>
      <c r="V48" s="49">
        <f t="shared" si="92"/>
        <v>0.53333333333333333</v>
      </c>
      <c r="W48" s="3">
        <f t="shared" si="93"/>
        <v>0.01</v>
      </c>
      <c r="X48" s="50">
        <f t="shared" si="60"/>
        <v>672.00021176220207</v>
      </c>
      <c r="Y48" s="3">
        <f t="shared" si="94"/>
        <v>713.33333333333326</v>
      </c>
      <c r="Z48" s="3">
        <f t="shared" si="95"/>
        <v>8.6999999999999994E-3</v>
      </c>
      <c r="AA48" s="3">
        <f t="shared" si="61"/>
        <v>5.3333333333333153</v>
      </c>
      <c r="AB48" s="3">
        <f t="shared" si="62"/>
        <v>0</v>
      </c>
      <c r="AC48" s="3">
        <f t="shared" si="96"/>
        <v>0.53333333333333333</v>
      </c>
      <c r="AD48" s="214">
        <f t="shared" si="97"/>
        <v>1.35E-2</v>
      </c>
      <c r="AE48" s="136">
        <f t="shared" si="63"/>
        <v>718.66686474343749</v>
      </c>
      <c r="AF48" s="16">
        <f t="shared" si="98"/>
        <v>7.5000000000000002E-7</v>
      </c>
      <c r="AG48" s="49">
        <f t="shared" si="99"/>
        <v>10.666666666666666</v>
      </c>
      <c r="AH48" s="3">
        <f t="shared" si="100"/>
        <v>1.4999999999999999E-4</v>
      </c>
      <c r="AI48" s="49">
        <f t="shared" si="101"/>
        <v>6.6824964483636048E-2</v>
      </c>
      <c r="AJ48" s="49">
        <f t="shared" si="102"/>
        <v>1.5178932768808175</v>
      </c>
      <c r="AK48" s="49">
        <f t="shared" si="103"/>
        <v>0.3</v>
      </c>
      <c r="AL48" s="3">
        <f t="shared" si="104"/>
        <v>0.01</v>
      </c>
      <c r="AM48" s="50">
        <f t="shared" si="64"/>
        <v>12.255061492592874</v>
      </c>
      <c r="AN48" s="3">
        <f t="shared" si="105"/>
        <v>15.333333333333332</v>
      </c>
      <c r="AO48" s="3">
        <f t="shared" si="106"/>
        <v>2.1999999999999998E-4</v>
      </c>
      <c r="AP48" s="3">
        <f t="shared" si="65"/>
        <v>6.6824964483636048E-2</v>
      </c>
      <c r="AQ48" s="3">
        <f t="shared" si="66"/>
        <v>1.5178932768808175</v>
      </c>
      <c r="AR48" s="3">
        <f t="shared" si="107"/>
        <v>0.3</v>
      </c>
      <c r="AS48" s="214">
        <f t="shared" si="108"/>
        <v>1.35E-2</v>
      </c>
      <c r="AT48" s="50">
        <f t="shared" si="67"/>
        <v>16.920716633243824</v>
      </c>
      <c r="AU48" s="16">
        <f t="shared" si="109"/>
        <v>7.5000000000000002E-7</v>
      </c>
      <c r="AV48" s="49">
        <f t="shared" si="110"/>
        <v>199.99999999999997</v>
      </c>
      <c r="AW48" s="3">
        <f t="shared" si="111"/>
        <v>8.0000000000000002E-3</v>
      </c>
      <c r="AX48" s="49">
        <f t="shared" si="112"/>
        <v>5.3333333333333153</v>
      </c>
      <c r="AY48" s="49">
        <f t="shared" si="113"/>
        <v>1009.5317511683086</v>
      </c>
      <c r="AZ48" s="49">
        <f t="shared" si="114"/>
        <v>0.53333333333333333</v>
      </c>
      <c r="BA48" s="3">
        <f t="shared" si="115"/>
        <v>0.01</v>
      </c>
      <c r="BB48" s="50">
        <f t="shared" si="68"/>
        <v>1214.8652016374597</v>
      </c>
      <c r="BC48" s="3">
        <f t="shared" si="116"/>
        <v>246.66666666666663</v>
      </c>
      <c r="BD48" s="3">
        <f t="shared" si="117"/>
        <v>8.6999999999999994E-3</v>
      </c>
      <c r="BE48" s="3">
        <f t="shared" si="69"/>
        <v>5.3333333333333153</v>
      </c>
      <c r="BF48" s="3">
        <f t="shared" si="70"/>
        <v>1009.5317511683086</v>
      </c>
      <c r="BG48" s="3">
        <f t="shared" si="118"/>
        <v>0.53333333333333333</v>
      </c>
      <c r="BH48" s="214">
        <f t="shared" si="119"/>
        <v>1.35E-2</v>
      </c>
      <c r="BI48" s="50">
        <f t="shared" si="71"/>
        <v>1261.5318640082635</v>
      </c>
      <c r="BJ48" s="16">
        <f t="shared" si="120"/>
        <v>7.5000000000000002E-7</v>
      </c>
      <c r="BK48" s="49">
        <f t="shared" si="121"/>
        <v>199.99999999999997</v>
      </c>
      <c r="BL48" s="3">
        <f t="shared" si="122"/>
        <v>1E-3</v>
      </c>
      <c r="BM48" s="49">
        <f t="shared" si="123"/>
        <v>1.3333333333333288</v>
      </c>
      <c r="BN48" s="49">
        <f t="shared" si="124"/>
        <v>48</v>
      </c>
      <c r="BO48" s="49">
        <f t="shared" si="125"/>
        <v>0.3</v>
      </c>
      <c r="BP48" s="3">
        <f t="shared" si="126"/>
        <v>0.01</v>
      </c>
      <c r="BQ48" s="50">
        <f t="shared" si="72"/>
        <v>249.33351401709137</v>
      </c>
      <c r="BR48" s="3">
        <f t="shared" si="127"/>
        <v>223.33333333333331</v>
      </c>
      <c r="BS48" s="3">
        <f t="shared" si="128"/>
        <v>1.175E-3</v>
      </c>
      <c r="BT48" s="3">
        <f t="shared" si="73"/>
        <v>1.3333333333333288</v>
      </c>
      <c r="BU48" s="3">
        <f t="shared" si="74"/>
        <v>48</v>
      </c>
      <c r="BV48" s="3">
        <f t="shared" si="129"/>
        <v>0.3</v>
      </c>
      <c r="BW48" s="214">
        <f t="shared" si="130"/>
        <v>1.35E-2</v>
      </c>
      <c r="BX48" s="50">
        <f t="shared" si="75"/>
        <v>272.66683204002231</v>
      </c>
      <c r="BY48" s="16">
        <f t="shared" si="131"/>
        <v>7.5000000000000002E-7</v>
      </c>
      <c r="BZ48" s="49">
        <f t="shared" si="132"/>
        <v>33.333333333333329</v>
      </c>
      <c r="CA48" s="3">
        <f t="shared" si="133"/>
        <v>2E-3</v>
      </c>
      <c r="CB48" s="49">
        <f t="shared" si="134"/>
        <v>1.3333333333333288</v>
      </c>
      <c r="CC48" s="49">
        <f t="shared" si="135"/>
        <v>0</v>
      </c>
      <c r="CD48" s="49">
        <f t="shared" si="136"/>
        <v>0.6</v>
      </c>
      <c r="CE48" s="3">
        <f t="shared" si="137"/>
        <v>0.01</v>
      </c>
      <c r="CF48" s="50">
        <f t="shared" si="76"/>
        <v>34.671860085345536</v>
      </c>
      <c r="CG48" s="3">
        <f t="shared" si="138"/>
        <v>44.999999999999993</v>
      </c>
      <c r="CH48" s="3">
        <f t="shared" si="139"/>
        <v>2.0874999999999999E-3</v>
      </c>
      <c r="CI48" s="3">
        <f t="shared" si="77"/>
        <v>1.3333333333333288</v>
      </c>
      <c r="CJ48" s="3">
        <f t="shared" si="78"/>
        <v>0</v>
      </c>
      <c r="CK48" s="3">
        <f t="shared" si="140"/>
        <v>0.6</v>
      </c>
      <c r="CL48" s="214">
        <f t="shared" si="141"/>
        <v>1.35E-2</v>
      </c>
      <c r="CM48" s="50">
        <f t="shared" si="79"/>
        <v>46.33722007614864</v>
      </c>
      <c r="CO48" s="22" t="s">
        <v>232</v>
      </c>
      <c r="CP48" s="24">
        <v>80</v>
      </c>
      <c r="CQ48" s="24">
        <v>-80</v>
      </c>
      <c r="CR48" s="24">
        <f t="shared" si="143"/>
        <v>8</v>
      </c>
      <c r="CS48" s="24"/>
      <c r="CT48" s="24"/>
      <c r="CV48" s="4" t="b">
        <f t="shared" si="142"/>
        <v>0</v>
      </c>
    </row>
    <row r="49" spans="1:100">
      <c r="B49" s="7" t="s">
        <v>145</v>
      </c>
      <c r="C49" s="8" t="str">
        <f>IF(C15="None", "", IF(VLOOKUP(C15,'TI Parametric Selection '!$B:$AH,29,FALSE)="No","",VLOOKUP(C15,'TI Parametric Selection '!$B:$AH,29,FALSE)))</f>
        <v/>
      </c>
      <c r="D49" s="8" t="str">
        <f>IF(D15="None", "", IF(VLOOKUP(D15,'TI Parametric Selection '!$B:$AH,29,FALSE)="No","",VLOOKUP(D15,'TI Parametric Selection '!$B:$AH,29,FALSE)))</f>
        <v/>
      </c>
      <c r="E49" s="8" t="str">
        <f>IF(E15="None", "", IF(VLOOKUP(E15,'TI Parametric Selection '!$B:$AH,29,FALSE)="No","",VLOOKUP(E15,'TI Parametric Selection '!$B:$AH,29,FALSE)))</f>
        <v/>
      </c>
      <c r="F49" s="8" t="str">
        <f>IF(F15="None", "", IF(VLOOKUP(F15,'TI Parametric Selection '!$B:$AH,29,FALSE)="No","",VLOOKUP(F15,'TI Parametric Selection '!$B:$AH,29,FALSE)))</f>
        <v/>
      </c>
      <c r="G49" s="8" t="str">
        <f>IF(G15="None", "", IF(VLOOKUP(G15,'TI Parametric Selection '!$B:$AH,29,FALSE)="No","",VLOOKUP(G15,'TI Parametric Selection '!$B:$AH,29,FALSE)))</f>
        <v/>
      </c>
      <c r="I49" s="106"/>
      <c r="J49" s="106"/>
      <c r="K49" s="106"/>
      <c r="L49" s="106"/>
      <c r="M49" s="106"/>
      <c r="P49" s="116">
        <f t="shared" si="85"/>
        <v>1.9999999999999998E-4</v>
      </c>
      <c r="Q49" s="135">
        <f t="shared" si="87"/>
        <v>9.9999999999999995E-7</v>
      </c>
      <c r="R49" s="49">
        <f t="shared" si="88"/>
        <v>500.00000000000006</v>
      </c>
      <c r="S49" s="3">
        <f t="shared" si="89"/>
        <v>8.0000000000000002E-3</v>
      </c>
      <c r="T49" s="49">
        <f t="shared" si="90"/>
        <v>3.9999999999999862</v>
      </c>
      <c r="U49" s="49">
        <f t="shared" si="91"/>
        <v>0</v>
      </c>
      <c r="V49" s="49">
        <f t="shared" si="92"/>
        <v>0.40000000000000008</v>
      </c>
      <c r="W49" s="3">
        <f t="shared" si="93"/>
        <v>0.01</v>
      </c>
      <c r="X49" s="50">
        <f t="shared" si="60"/>
        <v>504.00015889283213</v>
      </c>
      <c r="Y49" s="3">
        <f t="shared" si="94"/>
        <v>535</v>
      </c>
      <c r="Z49" s="3">
        <f t="shared" si="95"/>
        <v>8.6999999999999994E-3</v>
      </c>
      <c r="AA49" s="3">
        <f t="shared" si="61"/>
        <v>3.9999999999999862</v>
      </c>
      <c r="AB49" s="3">
        <f t="shared" si="62"/>
        <v>0</v>
      </c>
      <c r="AC49" s="3">
        <f t="shared" si="96"/>
        <v>0.40000000000000008</v>
      </c>
      <c r="AD49" s="214">
        <f t="shared" si="97"/>
        <v>1.35E-2</v>
      </c>
      <c r="AE49" s="136">
        <f t="shared" si="63"/>
        <v>539.00014866226149</v>
      </c>
      <c r="AF49" s="16">
        <f t="shared" si="98"/>
        <v>9.9999999999999995E-7</v>
      </c>
      <c r="AG49" s="49">
        <f t="shared" si="99"/>
        <v>8</v>
      </c>
      <c r="AH49" s="3">
        <f t="shared" si="100"/>
        <v>1.4999999999999999E-4</v>
      </c>
      <c r="AI49" s="49">
        <f t="shared" si="101"/>
        <v>5.011872336272704E-2</v>
      </c>
      <c r="AJ49" s="49">
        <f t="shared" si="102"/>
        <v>1.1384199576606131</v>
      </c>
      <c r="AK49" s="49">
        <f t="shared" si="103"/>
        <v>0.22500000000000003</v>
      </c>
      <c r="AL49" s="3">
        <f t="shared" si="104"/>
        <v>0.01</v>
      </c>
      <c r="AM49" s="50">
        <f t="shared" si="64"/>
        <v>9.1912984999488589</v>
      </c>
      <c r="AN49" s="3">
        <f t="shared" si="105"/>
        <v>11.5</v>
      </c>
      <c r="AO49" s="3">
        <f t="shared" si="106"/>
        <v>2.1999999999999998E-4</v>
      </c>
      <c r="AP49" s="3">
        <f t="shared" si="65"/>
        <v>5.011872336272704E-2</v>
      </c>
      <c r="AQ49" s="3">
        <f t="shared" si="66"/>
        <v>1.1384199576606131</v>
      </c>
      <c r="AR49" s="3">
        <f t="shared" si="107"/>
        <v>0.22500000000000003</v>
      </c>
      <c r="AS49" s="214">
        <f t="shared" si="108"/>
        <v>1.35E-2</v>
      </c>
      <c r="AT49" s="50">
        <f t="shared" si="67"/>
        <v>12.690540617256049</v>
      </c>
      <c r="AU49" s="16">
        <f t="shared" si="109"/>
        <v>9.9999999999999995E-7</v>
      </c>
      <c r="AV49" s="49">
        <f t="shared" si="110"/>
        <v>150</v>
      </c>
      <c r="AW49" s="3">
        <f t="shared" si="111"/>
        <v>8.0000000000000002E-3</v>
      </c>
      <c r="AX49" s="49">
        <f t="shared" si="112"/>
        <v>3.9999999999999862</v>
      </c>
      <c r="AY49" s="49">
        <f t="shared" si="113"/>
        <v>757.14881337623149</v>
      </c>
      <c r="AZ49" s="49">
        <f t="shared" si="114"/>
        <v>0.40000000000000008</v>
      </c>
      <c r="BA49" s="3">
        <f t="shared" si="115"/>
        <v>0.01</v>
      </c>
      <c r="BB49" s="50">
        <f t="shared" si="68"/>
        <v>911.14890126746832</v>
      </c>
      <c r="BC49" s="3">
        <f t="shared" si="116"/>
        <v>185</v>
      </c>
      <c r="BD49" s="3">
        <f t="shared" si="117"/>
        <v>8.6999999999999994E-3</v>
      </c>
      <c r="BE49" s="3">
        <f t="shared" si="69"/>
        <v>3.9999999999999862</v>
      </c>
      <c r="BF49" s="3">
        <f t="shared" si="70"/>
        <v>757.14881337623149</v>
      </c>
      <c r="BG49" s="3">
        <f t="shared" si="118"/>
        <v>0.40000000000000008</v>
      </c>
      <c r="BH49" s="214">
        <f t="shared" si="119"/>
        <v>1.35E-2</v>
      </c>
      <c r="BI49" s="50">
        <f t="shared" si="71"/>
        <v>946.14889806583358</v>
      </c>
      <c r="BJ49" s="16">
        <f t="shared" si="120"/>
        <v>9.9999999999999995E-7</v>
      </c>
      <c r="BK49" s="49">
        <f t="shared" si="121"/>
        <v>150</v>
      </c>
      <c r="BL49" s="3">
        <f t="shared" si="122"/>
        <v>1E-3</v>
      </c>
      <c r="BM49" s="49">
        <f t="shared" si="123"/>
        <v>0.99999999999999656</v>
      </c>
      <c r="BN49" s="49">
        <f t="shared" si="124"/>
        <v>36</v>
      </c>
      <c r="BO49" s="49">
        <f t="shared" si="125"/>
        <v>0.22500000000000003</v>
      </c>
      <c r="BP49" s="3">
        <f t="shared" si="126"/>
        <v>0.01</v>
      </c>
      <c r="BQ49" s="50">
        <f t="shared" si="72"/>
        <v>187.00013563096687</v>
      </c>
      <c r="BR49" s="3">
        <f t="shared" si="127"/>
        <v>167.5</v>
      </c>
      <c r="BS49" s="3">
        <f t="shared" si="128"/>
        <v>1.175E-3</v>
      </c>
      <c r="BT49" s="3">
        <f t="shared" si="73"/>
        <v>0.99999999999999656</v>
      </c>
      <c r="BU49" s="3">
        <f t="shared" si="74"/>
        <v>36</v>
      </c>
      <c r="BV49" s="3">
        <f t="shared" si="129"/>
        <v>0.22500000000000003</v>
      </c>
      <c r="BW49" s="214">
        <f t="shared" si="130"/>
        <v>1.35E-2</v>
      </c>
      <c r="BX49" s="50">
        <f t="shared" si="75"/>
        <v>204.50012422644303</v>
      </c>
      <c r="BY49" s="16">
        <f t="shared" si="131"/>
        <v>9.9999999999999995E-7</v>
      </c>
      <c r="BZ49" s="49">
        <f t="shared" si="132"/>
        <v>25</v>
      </c>
      <c r="CA49" s="3">
        <f t="shared" si="133"/>
        <v>2E-3</v>
      </c>
      <c r="CB49" s="49">
        <f t="shared" si="134"/>
        <v>0.99999999999999656</v>
      </c>
      <c r="CC49" s="49">
        <f t="shared" si="135"/>
        <v>0</v>
      </c>
      <c r="CD49" s="49">
        <f t="shared" si="136"/>
        <v>0.45000000000000007</v>
      </c>
      <c r="CE49" s="3">
        <f t="shared" si="137"/>
        <v>0.01</v>
      </c>
      <c r="CF49" s="50">
        <f t="shared" si="76"/>
        <v>26.003895938878077</v>
      </c>
      <c r="CG49" s="3">
        <f t="shared" si="138"/>
        <v>33.75</v>
      </c>
      <c r="CH49" s="3">
        <f t="shared" si="139"/>
        <v>2.0874999999999999E-3</v>
      </c>
      <c r="CI49" s="3">
        <f t="shared" si="77"/>
        <v>0.99999999999999656</v>
      </c>
      <c r="CJ49" s="3">
        <f t="shared" si="78"/>
        <v>0</v>
      </c>
      <c r="CK49" s="3">
        <f t="shared" si="140"/>
        <v>0.45000000000000007</v>
      </c>
      <c r="CL49" s="214">
        <f t="shared" si="141"/>
        <v>1.35E-2</v>
      </c>
      <c r="CM49" s="50">
        <f t="shared" si="79"/>
        <v>34.752916231701427</v>
      </c>
      <c r="CO49" s="22" t="s">
        <v>226</v>
      </c>
      <c r="CP49" s="24">
        <v>160</v>
      </c>
      <c r="CQ49" s="24">
        <v>-160</v>
      </c>
      <c r="CR49" s="24">
        <f t="shared" si="143"/>
        <v>16</v>
      </c>
      <c r="CS49" s="24"/>
      <c r="CT49" s="24"/>
      <c r="CV49" s="4" t="b">
        <f>OR(AND($C$8=2,($C31=$D31)),AND($C$8=3,$C31=$D31,$D31=$E31),AND($C$8=4,$C31=$D31,$D31=$E31,$E31=$F31),AND($C$8=5,$C31=$D31,$D31=$E31,$E31=$F31,$F31=$G31))</f>
        <v>1</v>
      </c>
    </row>
    <row r="50" spans="1:100" ht="33.75" customHeight="1">
      <c r="A50" s="106"/>
      <c r="B50" s="7" t="s">
        <v>169</v>
      </c>
      <c r="C50" s="12" t="str">
        <f>IF(C15="None", "",IF(VLOOKUP(C15,'TI Parametric Selection '!$B:$AH,30,FALSE)=0,"",VLOOKUP(C15,'TI Parametric Selection '!$B:$AH,30,FALSE)))</f>
        <v>Dual Channel</v>
      </c>
      <c r="D50" s="12" t="str">
        <f>IF(D15="None", "",IF(VLOOKUP(D15,'TI Parametric Selection '!$B:$AH,30,FALSE)=0,"",VLOOKUP(D15,'TI Parametric Selection '!$B:$AH,30,FALSE)))</f>
        <v/>
      </c>
      <c r="E50" s="12" t="str">
        <f>IF(E15="None", "",IF(VLOOKUP(E15,'TI Parametric Selection '!$B:$AH,30,FALSE)=0,"",VLOOKUP(E15,'TI Parametric Selection '!$B:$AH,30,FALSE)))</f>
        <v>Quad Channel</v>
      </c>
      <c r="F50" s="12" t="str">
        <f>IF(F15="None", "",IF(VLOOKUP(F15,'TI Parametric Selection '!$B:$AH,30,FALSE)=0,"",VLOOKUP(F15,'TI Parametric Selection '!$B:$AH,30,FALSE)))</f>
        <v/>
      </c>
      <c r="G50" s="12" t="str">
        <f>IF(G15="None", "",IF(VLOOKUP(G15,'TI Parametric Selection '!$B:$AH,30,FALSE)=0,"",VLOOKUP(G15,'TI Parametric Selection '!$B:$AH,30,FALSE)))</f>
        <v>Enh. PWM Rejection</v>
      </c>
      <c r="I50" s="106"/>
      <c r="J50" s="106"/>
      <c r="K50" s="106"/>
      <c r="L50" s="106"/>
      <c r="M50" s="106"/>
      <c r="P50" s="116">
        <f t="shared" si="85"/>
        <v>2.5000000000000001E-4</v>
      </c>
      <c r="Q50" s="135">
        <f t="shared" si="87"/>
        <v>1.2500000000000001E-6</v>
      </c>
      <c r="R50" s="49">
        <f t="shared" si="88"/>
        <v>400</v>
      </c>
      <c r="S50" s="3">
        <f t="shared" si="89"/>
        <v>8.0000000000000002E-3</v>
      </c>
      <c r="T50" s="49">
        <f t="shared" si="90"/>
        <v>3.1999999999999886</v>
      </c>
      <c r="U50" s="49">
        <f t="shared" si="91"/>
        <v>0</v>
      </c>
      <c r="V50" s="49">
        <f t="shared" si="92"/>
        <v>0.32</v>
      </c>
      <c r="W50" s="3">
        <f t="shared" si="93"/>
        <v>0.01</v>
      </c>
      <c r="X50" s="50">
        <f t="shared" si="60"/>
        <v>403.20012718747995</v>
      </c>
      <c r="Y50" s="3">
        <f t="shared" si="94"/>
        <v>428</v>
      </c>
      <c r="Z50" s="3">
        <f t="shared" si="95"/>
        <v>8.6999999999999994E-3</v>
      </c>
      <c r="AA50" s="3">
        <f t="shared" si="61"/>
        <v>3.1999999999999886</v>
      </c>
      <c r="AB50" s="3">
        <f t="shared" si="62"/>
        <v>0</v>
      </c>
      <c r="AC50" s="3">
        <f t="shared" si="96"/>
        <v>0.32</v>
      </c>
      <c r="AD50" s="214">
        <f t="shared" si="97"/>
        <v>1.35E-2</v>
      </c>
      <c r="AE50" s="136">
        <f t="shared" si="63"/>
        <v>431.2001190374836</v>
      </c>
      <c r="AF50" s="16">
        <f t="shared" si="98"/>
        <v>1.2500000000000001E-6</v>
      </c>
      <c r="AG50" s="49">
        <f t="shared" si="99"/>
        <v>6.3999999999999995</v>
      </c>
      <c r="AH50" s="3">
        <f t="shared" si="100"/>
        <v>1.4999999999999999E-4</v>
      </c>
      <c r="AI50" s="49">
        <f t="shared" si="101"/>
        <v>4.009497869018163E-2</v>
      </c>
      <c r="AJ50" s="49">
        <f t="shared" si="102"/>
        <v>0.91073596612849039</v>
      </c>
      <c r="AK50" s="49">
        <f t="shared" si="103"/>
        <v>0.18000000000000002</v>
      </c>
      <c r="AL50" s="3">
        <f t="shared" si="104"/>
        <v>0.01</v>
      </c>
      <c r="AM50" s="50">
        <f t="shared" si="64"/>
        <v>7.3530412484769707</v>
      </c>
      <c r="AN50" s="3">
        <f t="shared" si="105"/>
        <v>9.1999999999999993</v>
      </c>
      <c r="AO50" s="3">
        <f t="shared" si="106"/>
        <v>2.1999999999999998E-4</v>
      </c>
      <c r="AP50" s="3">
        <f t="shared" si="65"/>
        <v>4.009497869018163E-2</v>
      </c>
      <c r="AQ50" s="3">
        <f t="shared" si="66"/>
        <v>0.91073596612849039</v>
      </c>
      <c r="AR50" s="3">
        <f t="shared" si="107"/>
        <v>0.18000000000000002</v>
      </c>
      <c r="AS50" s="214">
        <f t="shared" si="108"/>
        <v>1.35E-2</v>
      </c>
      <c r="AT50" s="50">
        <f t="shared" si="67"/>
        <v>10.152435725907763</v>
      </c>
      <c r="AU50" s="16">
        <f t="shared" si="109"/>
        <v>1.2500000000000001E-6</v>
      </c>
      <c r="AV50" s="49">
        <f t="shared" si="110"/>
        <v>119.99999999999999</v>
      </c>
      <c r="AW50" s="3">
        <f t="shared" si="111"/>
        <v>8.0000000000000002E-3</v>
      </c>
      <c r="AX50" s="49">
        <f t="shared" si="112"/>
        <v>3.1999999999999886</v>
      </c>
      <c r="AY50" s="49">
        <f t="shared" si="113"/>
        <v>605.71905070098512</v>
      </c>
      <c r="AZ50" s="49">
        <f t="shared" si="114"/>
        <v>0.32</v>
      </c>
      <c r="BA50" s="3">
        <f t="shared" si="115"/>
        <v>0.01</v>
      </c>
      <c r="BB50" s="50">
        <f t="shared" si="68"/>
        <v>728.91912105447284</v>
      </c>
      <c r="BC50" s="3">
        <f t="shared" si="116"/>
        <v>147.99999999999997</v>
      </c>
      <c r="BD50" s="3">
        <f t="shared" si="117"/>
        <v>8.6999999999999994E-3</v>
      </c>
      <c r="BE50" s="3">
        <f t="shared" si="69"/>
        <v>3.1999999999999886</v>
      </c>
      <c r="BF50" s="3">
        <f t="shared" si="70"/>
        <v>605.71905070098512</v>
      </c>
      <c r="BG50" s="3">
        <f t="shared" si="118"/>
        <v>0.32</v>
      </c>
      <c r="BH50" s="214">
        <f t="shared" si="119"/>
        <v>1.35E-2</v>
      </c>
      <c r="BI50" s="50">
        <f t="shared" si="71"/>
        <v>756.91911851400641</v>
      </c>
      <c r="BJ50" s="16">
        <f t="shared" si="120"/>
        <v>1.2500000000000001E-6</v>
      </c>
      <c r="BK50" s="49">
        <f t="shared" si="121"/>
        <v>119.99999999999999</v>
      </c>
      <c r="BL50" s="3">
        <f t="shared" si="122"/>
        <v>1E-3</v>
      </c>
      <c r="BM50" s="49">
        <f t="shared" si="123"/>
        <v>0.79999999999999716</v>
      </c>
      <c r="BN50" s="49">
        <f t="shared" si="124"/>
        <v>28.799999999999997</v>
      </c>
      <c r="BO50" s="49">
        <f t="shared" si="125"/>
        <v>0.18000000000000002</v>
      </c>
      <c r="BP50" s="3">
        <f t="shared" si="126"/>
        <v>0.01</v>
      </c>
      <c r="BQ50" s="50">
        <f t="shared" si="72"/>
        <v>149.60010862629744</v>
      </c>
      <c r="BR50" s="3">
        <f t="shared" si="127"/>
        <v>133.99999999999997</v>
      </c>
      <c r="BS50" s="3">
        <f t="shared" si="128"/>
        <v>1.175E-3</v>
      </c>
      <c r="BT50" s="3">
        <f t="shared" si="73"/>
        <v>0.79999999999999716</v>
      </c>
      <c r="BU50" s="3">
        <f t="shared" si="74"/>
        <v>28.799999999999997</v>
      </c>
      <c r="BV50" s="3">
        <f t="shared" si="129"/>
        <v>0.18000000000000002</v>
      </c>
      <c r="BW50" s="214">
        <f t="shared" si="130"/>
        <v>1.35E-2</v>
      </c>
      <c r="BX50" s="50">
        <f t="shared" si="75"/>
        <v>163.60009958319284</v>
      </c>
      <c r="BY50" s="16">
        <f t="shared" si="131"/>
        <v>1.2500000000000001E-6</v>
      </c>
      <c r="BZ50" s="49">
        <f t="shared" si="132"/>
        <v>19.999999999999996</v>
      </c>
      <c r="CA50" s="3">
        <f t="shared" si="133"/>
        <v>2E-3</v>
      </c>
      <c r="CB50" s="49">
        <f t="shared" si="134"/>
        <v>0.79999999999999716</v>
      </c>
      <c r="CC50" s="49">
        <f t="shared" si="135"/>
        <v>0</v>
      </c>
      <c r="CD50" s="49">
        <f t="shared" si="136"/>
        <v>0.36000000000000004</v>
      </c>
      <c r="CE50" s="3">
        <f t="shared" si="137"/>
        <v>0.01</v>
      </c>
      <c r="CF50" s="50">
        <f t="shared" si="76"/>
        <v>20.8031176509676</v>
      </c>
      <c r="CG50" s="3">
        <f t="shared" si="138"/>
        <v>26.999999999999996</v>
      </c>
      <c r="CH50" s="3">
        <f t="shared" si="139"/>
        <v>2.0874999999999999E-3</v>
      </c>
      <c r="CI50" s="3">
        <f t="shared" si="77"/>
        <v>0.79999999999999716</v>
      </c>
      <c r="CJ50" s="3">
        <f t="shared" si="78"/>
        <v>0</v>
      </c>
      <c r="CK50" s="3">
        <f t="shared" si="140"/>
        <v>0.36000000000000004</v>
      </c>
      <c r="CL50" s="214">
        <f t="shared" si="141"/>
        <v>1.35E-2</v>
      </c>
      <c r="CM50" s="50">
        <f t="shared" si="79"/>
        <v>27.802334193510731</v>
      </c>
      <c r="CO50" s="22" t="s">
        <v>220</v>
      </c>
      <c r="CP50" s="24">
        <v>320</v>
      </c>
      <c r="CQ50" s="24">
        <v>-320</v>
      </c>
      <c r="CR50" s="24">
        <f t="shared" si="143"/>
        <v>32</v>
      </c>
      <c r="CS50" s="24"/>
      <c r="CV50" s="4" t="b">
        <f>OR(AND($C$8=2,($C32=$D32)),AND($C$8=3,$C32=$D32,$D32=$E32),AND($C$8=4,$C32=$D32,$D32=$E32,$E32=$F32),AND($C$8=5,$C32=$D32,$D32=$E32,$E32=$F32,$F32=$G32))</f>
        <v>0</v>
      </c>
    </row>
    <row r="51" spans="1:100" ht="11.25" customHeight="1">
      <c r="A51" s="155"/>
      <c r="B51" s="47" t="s">
        <v>329</v>
      </c>
      <c r="C51" s="125" t="str">
        <f>IF(C15="None","",VLOOKUP(C15,'TI Parametric Selection '!$B:$AH,31,FALSE))</f>
        <v>AEC-Q100 Grd 1</v>
      </c>
      <c r="D51" s="125" t="str">
        <f>IF(D15="None","",VLOOKUP(D15,'TI Parametric Selection '!$B:$AH,31,FALSE))</f>
        <v>AEC-Q100 Grade 1</v>
      </c>
      <c r="E51" s="125" t="str">
        <f>IF(E15="None","",VLOOKUP(E15,'TI Parametric Selection '!$B:$AH,31,FALSE))</f>
        <v>AEC-Q100 Grd 1</v>
      </c>
      <c r="F51" s="125" t="str">
        <f>IF(F15="None","",VLOOKUP(F15,'TI Parametric Selection '!$B:$AH,31,FALSE))</f>
        <v>AEC-Q100 Grade 1</v>
      </c>
      <c r="G51" s="125" t="str">
        <f>IF(G15="None","",VLOOKUP(G15,'TI Parametric Selection '!$B:$AH,31,FALSE))</f>
        <v>AEC-Q100 Grd 1
AEC-Q100 Grd 0</v>
      </c>
      <c r="H51" s="14"/>
      <c r="P51" s="116">
        <f t="shared" si="85"/>
        <v>3.0000000000000003E-4</v>
      </c>
      <c r="Q51" s="135">
        <f t="shared" si="87"/>
        <v>1.5E-6</v>
      </c>
      <c r="R51" s="49">
        <f t="shared" si="88"/>
        <v>333.33333333333331</v>
      </c>
      <c r="S51" s="3">
        <f t="shared" si="89"/>
        <v>8.0000000000000002E-3</v>
      </c>
      <c r="T51" s="49">
        <f t="shared" si="90"/>
        <v>2.6666666666666576</v>
      </c>
      <c r="U51" s="49">
        <f t="shared" si="91"/>
        <v>0</v>
      </c>
      <c r="V51" s="49">
        <f t="shared" si="92"/>
        <v>0.26666666666666666</v>
      </c>
      <c r="W51" s="3">
        <f t="shared" si="93"/>
        <v>0.01</v>
      </c>
      <c r="X51" s="50">
        <f t="shared" si="60"/>
        <v>336.00010606413673</v>
      </c>
      <c r="Y51" s="3">
        <f t="shared" si="94"/>
        <v>356.66666666666663</v>
      </c>
      <c r="Z51" s="3">
        <f t="shared" si="95"/>
        <v>8.6999999999999994E-3</v>
      </c>
      <c r="AA51" s="3">
        <f t="shared" si="61"/>
        <v>2.6666666666666576</v>
      </c>
      <c r="AB51" s="3">
        <f t="shared" si="62"/>
        <v>0</v>
      </c>
      <c r="AC51" s="3">
        <f t="shared" si="96"/>
        <v>0.26666666666666666</v>
      </c>
      <c r="AD51" s="214">
        <f t="shared" si="97"/>
        <v>1.35E-2</v>
      </c>
      <c r="AE51" s="136">
        <f t="shared" si="63"/>
        <v>359.33343264090462</v>
      </c>
      <c r="AF51" s="16">
        <f t="shared" si="98"/>
        <v>1.5E-6</v>
      </c>
      <c r="AG51" s="49">
        <f t="shared" si="99"/>
        <v>5.333333333333333</v>
      </c>
      <c r="AH51" s="3">
        <f t="shared" si="100"/>
        <v>1.4999999999999999E-4</v>
      </c>
      <c r="AI51" s="49">
        <f t="shared" si="101"/>
        <v>3.3412482241818024E-2</v>
      </c>
      <c r="AJ51" s="49">
        <f t="shared" si="102"/>
        <v>0.75894663844040877</v>
      </c>
      <c r="AK51" s="49">
        <f t="shared" si="103"/>
        <v>0.15</v>
      </c>
      <c r="AL51" s="3">
        <f t="shared" si="104"/>
        <v>0.01</v>
      </c>
      <c r="AM51" s="50">
        <f t="shared" si="64"/>
        <v>6.1275368675906945</v>
      </c>
      <c r="AN51" s="3">
        <f t="shared" si="105"/>
        <v>7.6666666666666661</v>
      </c>
      <c r="AO51" s="3">
        <f t="shared" si="106"/>
        <v>2.1999999999999998E-4</v>
      </c>
      <c r="AP51" s="3">
        <f t="shared" si="65"/>
        <v>3.3412482241818024E-2</v>
      </c>
      <c r="AQ51" s="3">
        <f t="shared" si="66"/>
        <v>0.75894663844040877</v>
      </c>
      <c r="AR51" s="3">
        <f t="shared" si="107"/>
        <v>0.15</v>
      </c>
      <c r="AS51" s="214">
        <f t="shared" si="108"/>
        <v>1.35E-2</v>
      </c>
      <c r="AT51" s="50">
        <f t="shared" si="67"/>
        <v>8.4603663968786567</v>
      </c>
      <c r="AU51" s="16">
        <f t="shared" si="109"/>
        <v>1.5E-6</v>
      </c>
      <c r="AV51" s="49">
        <f t="shared" si="110"/>
        <v>99.999999999999986</v>
      </c>
      <c r="AW51" s="3">
        <f t="shared" si="111"/>
        <v>8.0000000000000002E-3</v>
      </c>
      <c r="AX51" s="49">
        <f t="shared" si="112"/>
        <v>2.6666666666666576</v>
      </c>
      <c r="AY51" s="49">
        <f t="shared" si="113"/>
        <v>504.76587558415429</v>
      </c>
      <c r="AZ51" s="49">
        <f t="shared" si="114"/>
        <v>0.26666666666666666</v>
      </c>
      <c r="BA51" s="3">
        <f t="shared" si="115"/>
        <v>0.01</v>
      </c>
      <c r="BB51" s="50">
        <f t="shared" si="68"/>
        <v>607.4326009199757</v>
      </c>
      <c r="BC51" s="3">
        <f t="shared" si="116"/>
        <v>123.33333333333331</v>
      </c>
      <c r="BD51" s="3">
        <f t="shared" si="117"/>
        <v>8.6999999999999994E-3</v>
      </c>
      <c r="BE51" s="3">
        <f t="shared" si="69"/>
        <v>2.6666666666666576</v>
      </c>
      <c r="BF51" s="3">
        <f t="shared" si="70"/>
        <v>504.76587558415429</v>
      </c>
      <c r="BG51" s="3">
        <f t="shared" si="118"/>
        <v>0.26666666666666666</v>
      </c>
      <c r="BH51" s="214">
        <f t="shared" si="119"/>
        <v>1.35E-2</v>
      </c>
      <c r="BI51" s="50">
        <f t="shared" si="71"/>
        <v>630.76593215748096</v>
      </c>
      <c r="BJ51" s="16">
        <f t="shared" si="120"/>
        <v>1.5E-6</v>
      </c>
      <c r="BK51" s="49">
        <f t="shared" si="121"/>
        <v>99.999999999999986</v>
      </c>
      <c r="BL51" s="3">
        <f t="shared" si="122"/>
        <v>1E-3</v>
      </c>
      <c r="BM51" s="49">
        <f t="shared" si="123"/>
        <v>0.66666666666666441</v>
      </c>
      <c r="BN51" s="49">
        <f t="shared" si="124"/>
        <v>24</v>
      </c>
      <c r="BO51" s="49">
        <f t="shared" si="125"/>
        <v>0.15</v>
      </c>
      <c r="BP51" s="3">
        <f t="shared" si="126"/>
        <v>0.01</v>
      </c>
      <c r="BQ51" s="50">
        <f t="shared" si="72"/>
        <v>124.66675731235563</v>
      </c>
      <c r="BR51" s="3">
        <f t="shared" si="127"/>
        <v>111.66666666666666</v>
      </c>
      <c r="BS51" s="3">
        <f t="shared" si="128"/>
        <v>1.175E-3</v>
      </c>
      <c r="BT51" s="3">
        <f t="shared" si="73"/>
        <v>0.66666666666666441</v>
      </c>
      <c r="BU51" s="3">
        <f t="shared" si="74"/>
        <v>24</v>
      </c>
      <c r="BV51" s="3">
        <f t="shared" si="129"/>
        <v>0.15</v>
      </c>
      <c r="BW51" s="214">
        <f t="shared" si="130"/>
        <v>1.35E-2</v>
      </c>
      <c r="BX51" s="50">
        <f t="shared" si="75"/>
        <v>136.33341652510728</v>
      </c>
      <c r="BY51" s="16">
        <f t="shared" si="131"/>
        <v>1.5E-6</v>
      </c>
      <c r="BZ51" s="49">
        <f t="shared" si="132"/>
        <v>16.666666666666664</v>
      </c>
      <c r="CA51" s="3">
        <f t="shared" si="133"/>
        <v>2E-3</v>
      </c>
      <c r="CB51" s="49">
        <f t="shared" si="134"/>
        <v>0.66666666666666441</v>
      </c>
      <c r="CC51" s="49">
        <f t="shared" si="135"/>
        <v>0</v>
      </c>
      <c r="CD51" s="49">
        <f t="shared" si="136"/>
        <v>0.3</v>
      </c>
      <c r="CE51" s="3">
        <f t="shared" si="137"/>
        <v>0.01</v>
      </c>
      <c r="CF51" s="50">
        <f t="shared" si="76"/>
        <v>17.335932292335599</v>
      </c>
      <c r="CG51" s="3">
        <f t="shared" si="138"/>
        <v>22.499999999999996</v>
      </c>
      <c r="CH51" s="3">
        <f t="shared" si="139"/>
        <v>2.0874999999999999E-3</v>
      </c>
      <c r="CI51" s="3">
        <f t="shared" si="77"/>
        <v>0.66666666666666441</v>
      </c>
      <c r="CJ51" s="3">
        <f t="shared" si="78"/>
        <v>0</v>
      </c>
      <c r="CK51" s="3">
        <f t="shared" si="140"/>
        <v>0.3</v>
      </c>
      <c r="CL51" s="214">
        <f t="shared" si="141"/>
        <v>1.35E-2</v>
      </c>
      <c r="CM51" s="50">
        <f t="shared" si="79"/>
        <v>23.168613058448283</v>
      </c>
      <c r="CO51" s="22" t="s">
        <v>215</v>
      </c>
      <c r="CP51" s="24">
        <v>40</v>
      </c>
      <c r="CQ51" s="24">
        <v>-40</v>
      </c>
      <c r="CR51" s="24">
        <f t="shared" si="143"/>
        <v>4</v>
      </c>
      <c r="CS51" s="24"/>
      <c r="CV51" s="4" t="b">
        <f>OR(AND($C$8=2,($C34=$D34)),AND($C$8=3,$C34=$D34,$D34=$E34),AND($C$8=4,$C34=$D34,$D34=$E34,$E34=$F34),AND($C$8=5,$C34=$D34,$D34=$E34,$E34=$F34,$F34=$G34))</f>
        <v>1</v>
      </c>
    </row>
    <row r="52" spans="1:100" ht="11.25" customHeight="1">
      <c r="B52" s="7" t="s">
        <v>20</v>
      </c>
      <c r="C52" s="12" t="str">
        <f>IF(C15="None", "",VLOOKUP(C15,'TI Parametric Selection '!$B:$AH,32,FALSE))</f>
        <v>-40°C to 125°C</v>
      </c>
      <c r="D52" s="12" t="str">
        <f>IF(D15="None", "",VLOOKUP(D15,'TI Parametric Selection '!$B:$AH,32,FALSE))</f>
        <v>-40°C to 125°C</v>
      </c>
      <c r="E52" s="12" t="str">
        <f>IF(E15="None", "",VLOOKUP(E15,'TI Parametric Selection '!$B:$AH,32,FALSE))</f>
        <v>-40°C to 125°C</v>
      </c>
      <c r="F52" s="12" t="str">
        <f>IF(F15="None", "",VLOOKUP(F15,'TI Parametric Selection '!$B:$AH,32,FALSE))</f>
        <v>-40°C to 125°C</v>
      </c>
      <c r="G52" s="12" t="str">
        <f>IF(G15="None", "",VLOOKUP(G15,'TI Parametric Selection '!$B:$AH,32,FALSE))</f>
        <v>-40°C to 125°C
G0: -40°C to 150°C</v>
      </c>
      <c r="P52" s="116">
        <f t="shared" si="85"/>
        <v>3.4999999999999994E-4</v>
      </c>
      <c r="Q52" s="135">
        <f t="shared" si="87"/>
        <v>1.7499999999999998E-6</v>
      </c>
      <c r="R52" s="49">
        <f t="shared" si="88"/>
        <v>285.71428571428578</v>
      </c>
      <c r="S52" s="3">
        <f t="shared" si="89"/>
        <v>8.0000000000000002E-3</v>
      </c>
      <c r="T52" s="49">
        <f t="shared" si="90"/>
        <v>2.285714285714278</v>
      </c>
      <c r="U52" s="49">
        <f t="shared" si="91"/>
        <v>0</v>
      </c>
      <c r="V52" s="49">
        <f t="shared" si="92"/>
        <v>0.22857142857142862</v>
      </c>
      <c r="W52" s="3">
        <f t="shared" si="93"/>
        <v>0.01</v>
      </c>
      <c r="X52" s="50">
        <f t="shared" si="60"/>
        <v>288.00009098765577</v>
      </c>
      <c r="Y52" s="3">
        <f t="shared" si="94"/>
        <v>305.71428571428578</v>
      </c>
      <c r="Z52" s="3">
        <f t="shared" si="95"/>
        <v>8.6999999999999994E-3</v>
      </c>
      <c r="AA52" s="3">
        <f t="shared" si="61"/>
        <v>2.285714285714278</v>
      </c>
      <c r="AB52" s="3">
        <f t="shared" si="62"/>
        <v>0</v>
      </c>
      <c r="AC52" s="3">
        <f t="shared" si="96"/>
        <v>0.22857142857142862</v>
      </c>
      <c r="AD52" s="214">
        <f t="shared" si="97"/>
        <v>1.35E-2</v>
      </c>
      <c r="AE52" s="136">
        <f t="shared" si="63"/>
        <v>308.00008523186807</v>
      </c>
      <c r="AF52" s="16">
        <f t="shared" si="98"/>
        <v>1.7499999999999998E-6</v>
      </c>
      <c r="AG52" s="49">
        <f t="shared" si="99"/>
        <v>4.5714285714285721</v>
      </c>
      <c r="AH52" s="3">
        <f t="shared" si="100"/>
        <v>1.4999999999999999E-4</v>
      </c>
      <c r="AI52" s="49">
        <f t="shared" si="101"/>
        <v>2.8639270492986882E-2</v>
      </c>
      <c r="AJ52" s="49">
        <f t="shared" si="102"/>
        <v>0.65052569009177896</v>
      </c>
      <c r="AK52" s="49">
        <f t="shared" si="103"/>
        <v>0.12857142857142861</v>
      </c>
      <c r="AL52" s="3">
        <f t="shared" si="104"/>
        <v>0.01</v>
      </c>
      <c r="AM52" s="50">
        <f t="shared" si="64"/>
        <v>5.2521769841814363</v>
      </c>
      <c r="AN52" s="3">
        <f t="shared" si="105"/>
        <v>6.571428571428573</v>
      </c>
      <c r="AO52" s="3">
        <f t="shared" si="106"/>
        <v>2.1999999999999998E-4</v>
      </c>
      <c r="AP52" s="3">
        <f t="shared" si="65"/>
        <v>2.8639270492986882E-2</v>
      </c>
      <c r="AQ52" s="3">
        <f t="shared" si="66"/>
        <v>0.65052569009177896</v>
      </c>
      <c r="AR52" s="3">
        <f t="shared" si="107"/>
        <v>0.12857142857142861</v>
      </c>
      <c r="AS52" s="214">
        <f t="shared" si="108"/>
        <v>1.35E-2</v>
      </c>
      <c r="AT52" s="50">
        <f t="shared" si="67"/>
        <v>7.2517459606027685</v>
      </c>
      <c r="AU52" s="16">
        <f t="shared" si="109"/>
        <v>1.7499999999999998E-6</v>
      </c>
      <c r="AV52" s="49">
        <f t="shared" si="110"/>
        <v>85.714285714285722</v>
      </c>
      <c r="AW52" s="3">
        <f t="shared" si="111"/>
        <v>8.0000000000000002E-3</v>
      </c>
      <c r="AX52" s="49">
        <f t="shared" si="112"/>
        <v>2.285714285714278</v>
      </c>
      <c r="AY52" s="49">
        <f t="shared" si="113"/>
        <v>432.65646478641798</v>
      </c>
      <c r="AZ52" s="49">
        <f t="shared" si="114"/>
        <v>0.22857142857142862</v>
      </c>
      <c r="BA52" s="3">
        <f t="shared" si="115"/>
        <v>0.01</v>
      </c>
      <c r="BB52" s="50">
        <f t="shared" si="68"/>
        <v>520.65651511604881</v>
      </c>
      <c r="BC52" s="3">
        <f t="shared" si="116"/>
        <v>105.71428571428572</v>
      </c>
      <c r="BD52" s="3">
        <f t="shared" si="117"/>
        <v>8.6999999999999994E-3</v>
      </c>
      <c r="BE52" s="3">
        <f t="shared" si="69"/>
        <v>2.285714285714278</v>
      </c>
      <c r="BF52" s="3">
        <f t="shared" si="70"/>
        <v>432.65646478641798</v>
      </c>
      <c r="BG52" s="3">
        <f t="shared" si="118"/>
        <v>0.22857142857142862</v>
      </c>
      <c r="BH52" s="214">
        <f t="shared" si="119"/>
        <v>1.35E-2</v>
      </c>
      <c r="BI52" s="50">
        <f t="shared" si="71"/>
        <v>540.65651334112772</v>
      </c>
      <c r="BJ52" s="16">
        <f t="shared" si="120"/>
        <v>1.7499999999999998E-6</v>
      </c>
      <c r="BK52" s="49">
        <f t="shared" si="121"/>
        <v>85.714285714285722</v>
      </c>
      <c r="BL52" s="3">
        <f t="shared" si="122"/>
        <v>1E-3</v>
      </c>
      <c r="BM52" s="49">
        <f t="shared" si="123"/>
        <v>0.57142857142856951</v>
      </c>
      <c r="BN52" s="49">
        <f t="shared" si="124"/>
        <v>20.571428571428577</v>
      </c>
      <c r="BO52" s="49">
        <f t="shared" si="125"/>
        <v>0.12857142857142861</v>
      </c>
      <c r="BP52" s="3">
        <f t="shared" si="126"/>
        <v>0.01</v>
      </c>
      <c r="BQ52" s="50">
        <f t="shared" si="72"/>
        <v>106.85722067882958</v>
      </c>
      <c r="BR52" s="3">
        <f t="shared" si="127"/>
        <v>95.714285714285722</v>
      </c>
      <c r="BS52" s="3">
        <f t="shared" si="128"/>
        <v>1.175E-3</v>
      </c>
      <c r="BT52" s="3">
        <f t="shared" si="73"/>
        <v>0.57142857142856951</v>
      </c>
      <c r="BU52" s="3">
        <f t="shared" si="74"/>
        <v>20.571428571428577</v>
      </c>
      <c r="BV52" s="3">
        <f t="shared" si="129"/>
        <v>0.12857142857142861</v>
      </c>
      <c r="BW52" s="214">
        <f t="shared" si="130"/>
        <v>1.35E-2</v>
      </c>
      <c r="BX52" s="50">
        <f t="shared" si="75"/>
        <v>116.85721437283009</v>
      </c>
      <c r="BY52" s="16">
        <f t="shared" si="131"/>
        <v>1.7499999999999998E-6</v>
      </c>
      <c r="BZ52" s="49">
        <f t="shared" si="132"/>
        <v>14.285714285714286</v>
      </c>
      <c r="CA52" s="3">
        <f t="shared" si="133"/>
        <v>2E-3</v>
      </c>
      <c r="CB52" s="49">
        <f t="shared" si="134"/>
        <v>0.57142857142856951</v>
      </c>
      <c r="CC52" s="49">
        <f t="shared" si="135"/>
        <v>0</v>
      </c>
      <c r="CD52" s="49">
        <f t="shared" si="136"/>
        <v>0.25714285714285723</v>
      </c>
      <c r="CE52" s="3">
        <f t="shared" si="137"/>
        <v>0.01</v>
      </c>
      <c r="CF52" s="50">
        <f t="shared" si="76"/>
        <v>14.859371464719851</v>
      </c>
      <c r="CG52" s="3">
        <f t="shared" si="138"/>
        <v>19.285714285714285</v>
      </c>
      <c r="CH52" s="3">
        <f t="shared" si="139"/>
        <v>2.0874999999999999E-3</v>
      </c>
      <c r="CI52" s="3">
        <f t="shared" si="77"/>
        <v>0.57142857142856951</v>
      </c>
      <c r="CJ52" s="3">
        <f t="shared" si="78"/>
        <v>0</v>
      </c>
      <c r="CK52" s="3">
        <f t="shared" si="140"/>
        <v>0.25714285714285723</v>
      </c>
      <c r="CL52" s="214">
        <f t="shared" si="141"/>
        <v>1.35E-2</v>
      </c>
      <c r="CM52" s="50">
        <f t="shared" si="79"/>
        <v>19.858812439459093</v>
      </c>
      <c r="CO52" s="22" t="s">
        <v>233</v>
      </c>
      <c r="CP52" s="24">
        <v>80</v>
      </c>
      <c r="CQ52" s="24">
        <v>-80</v>
      </c>
      <c r="CR52" s="24">
        <f t="shared" si="143"/>
        <v>8</v>
      </c>
      <c r="CS52" s="24"/>
      <c r="CV52" s="4" t="b">
        <f>OR(AND($C$8=2,($C35=$D35)),AND($C$8=3,$C35=$D35,$D35=$E35),AND($C$8=4,$C35=$D35,$D35=$E35,$E35=$F35),AND($C$8=5,$C35=$D35,$D35=$E35,$E35=$F35,$F35=$G35))</f>
        <v>0</v>
      </c>
    </row>
    <row r="53" spans="1:100" ht="33.75" customHeight="1" thickBot="1">
      <c r="B53" s="13" t="s">
        <v>146</v>
      </c>
      <c r="C53" s="151" t="str">
        <f>IF(C15="None", "",VLOOKUP(C15,'TI Parametric Selection '!$B:$AH,33,FALSE))</f>
        <v>VSSOP (8)
WSON (8)</v>
      </c>
      <c r="D53" s="151" t="str">
        <f>IF(D15="None", "",VLOOKUP(D15,'TI Parametric Selection '!$B:$AH,33,FALSE))</f>
        <v>SOT-23 (8)
MSOP (8)</v>
      </c>
      <c r="E53" s="151" t="str">
        <f>IF(E15="None", "",VLOOKUP(E15,'TI Parametric Selection '!$B:$AH,33,FALSE))</f>
        <v>TSSOP (20)</v>
      </c>
      <c r="F53" s="151" t="str">
        <f>IF(F15="None", "",VLOOKUP(F15,'TI Parametric Selection '!$B:$AH,33,FALSE))</f>
        <v>SOT-23 (8)
MSOP (8)</v>
      </c>
      <c r="G53" s="151" t="str">
        <f>IF(G15="None", "",VLOOKUP(G15,'TI Parametric Selection '!$B:$AH,33,FALSE))</f>
        <v>TSSOP (8)
SOIC (8)</v>
      </c>
      <c r="P53" s="116">
        <f t="shared" si="85"/>
        <v>3.9999999999999996E-4</v>
      </c>
      <c r="Q53" s="135">
        <f t="shared" si="87"/>
        <v>1.9999999999999999E-6</v>
      </c>
      <c r="R53" s="49">
        <f t="shared" si="88"/>
        <v>250.00000000000003</v>
      </c>
      <c r="S53" s="3">
        <f t="shared" si="89"/>
        <v>8.0000000000000002E-3</v>
      </c>
      <c r="T53" s="49">
        <f t="shared" si="90"/>
        <v>1.9999999999999931</v>
      </c>
      <c r="U53" s="49">
        <f t="shared" si="91"/>
        <v>0</v>
      </c>
      <c r="V53" s="49">
        <f t="shared" si="92"/>
        <v>0.20000000000000004</v>
      </c>
      <c r="W53" s="3">
        <f t="shared" si="93"/>
        <v>0.01</v>
      </c>
      <c r="X53" s="50">
        <f t="shared" si="60"/>
        <v>252.00007969046362</v>
      </c>
      <c r="Y53" s="3">
        <f t="shared" si="94"/>
        <v>267.5</v>
      </c>
      <c r="Z53" s="3">
        <f t="shared" si="95"/>
        <v>8.6999999999999994E-3</v>
      </c>
      <c r="AA53" s="3">
        <f t="shared" si="61"/>
        <v>1.9999999999999931</v>
      </c>
      <c r="AB53" s="3">
        <f t="shared" si="62"/>
        <v>0</v>
      </c>
      <c r="AC53" s="3">
        <f t="shared" si="96"/>
        <v>0.20000000000000004</v>
      </c>
      <c r="AD53" s="214">
        <f t="shared" si="97"/>
        <v>1.35E-2</v>
      </c>
      <c r="AE53" s="136">
        <f t="shared" si="63"/>
        <v>269.50007469004532</v>
      </c>
      <c r="AF53" s="16">
        <f t="shared" si="98"/>
        <v>1.9999999999999999E-6</v>
      </c>
      <c r="AG53" s="49">
        <f t="shared" si="99"/>
        <v>4</v>
      </c>
      <c r="AH53" s="3">
        <f t="shared" si="100"/>
        <v>1.4999999999999999E-4</v>
      </c>
      <c r="AI53" s="49">
        <f t="shared" si="101"/>
        <v>2.505936168136352E-2</v>
      </c>
      <c r="AJ53" s="49">
        <f t="shared" si="102"/>
        <v>0.56920997883030655</v>
      </c>
      <c r="AK53" s="49">
        <f t="shared" si="103"/>
        <v>0.11250000000000002</v>
      </c>
      <c r="AL53" s="3">
        <f t="shared" si="104"/>
        <v>0.01</v>
      </c>
      <c r="AM53" s="50">
        <f t="shared" si="64"/>
        <v>4.5956574116948206</v>
      </c>
      <c r="AN53" s="3">
        <f t="shared" si="105"/>
        <v>5.75</v>
      </c>
      <c r="AO53" s="3">
        <f t="shared" si="106"/>
        <v>2.1999999999999998E-4</v>
      </c>
      <c r="AP53" s="3">
        <f t="shared" si="65"/>
        <v>2.505936168136352E-2</v>
      </c>
      <c r="AQ53" s="3">
        <f t="shared" si="66"/>
        <v>0.56920997883030655</v>
      </c>
      <c r="AR53" s="3">
        <f t="shared" si="107"/>
        <v>0.11250000000000002</v>
      </c>
      <c r="AS53" s="214">
        <f t="shared" si="108"/>
        <v>1.35E-2</v>
      </c>
      <c r="AT53" s="50">
        <f t="shared" si="67"/>
        <v>6.3452810822970154</v>
      </c>
      <c r="AU53" s="16">
        <f t="shared" si="109"/>
        <v>1.9999999999999999E-6</v>
      </c>
      <c r="AV53" s="49">
        <f t="shared" si="110"/>
        <v>75</v>
      </c>
      <c r="AW53" s="3">
        <f t="shared" si="111"/>
        <v>8.0000000000000002E-3</v>
      </c>
      <c r="AX53" s="49">
        <f t="shared" si="112"/>
        <v>1.9999999999999931</v>
      </c>
      <c r="AY53" s="49">
        <f t="shared" si="113"/>
        <v>378.57440668811574</v>
      </c>
      <c r="AZ53" s="49">
        <f t="shared" si="114"/>
        <v>0.20000000000000004</v>
      </c>
      <c r="BA53" s="3">
        <f t="shared" si="115"/>
        <v>0.01</v>
      </c>
      <c r="BB53" s="50">
        <f t="shared" si="68"/>
        <v>455.57445076872852</v>
      </c>
      <c r="BC53" s="3">
        <f t="shared" si="116"/>
        <v>92.5</v>
      </c>
      <c r="BD53" s="3">
        <f t="shared" si="117"/>
        <v>8.6999999999999994E-3</v>
      </c>
      <c r="BE53" s="3">
        <f t="shared" si="69"/>
        <v>1.9999999999999931</v>
      </c>
      <c r="BF53" s="3">
        <f t="shared" si="70"/>
        <v>378.57440668811574</v>
      </c>
      <c r="BG53" s="3">
        <f t="shared" si="118"/>
        <v>0.20000000000000004</v>
      </c>
      <c r="BH53" s="214">
        <f t="shared" si="119"/>
        <v>1.35E-2</v>
      </c>
      <c r="BI53" s="50">
        <f t="shared" si="71"/>
        <v>473.07444923738245</v>
      </c>
      <c r="BJ53" s="16">
        <f t="shared" si="120"/>
        <v>1.9999999999999999E-6</v>
      </c>
      <c r="BK53" s="49">
        <f t="shared" si="121"/>
        <v>75</v>
      </c>
      <c r="BL53" s="3">
        <f t="shared" si="122"/>
        <v>1E-3</v>
      </c>
      <c r="BM53" s="49">
        <f t="shared" si="123"/>
        <v>0.49999999999999828</v>
      </c>
      <c r="BN53" s="49">
        <f t="shared" si="124"/>
        <v>18</v>
      </c>
      <c r="BO53" s="49">
        <f t="shared" si="125"/>
        <v>0.11250000000000002</v>
      </c>
      <c r="BP53" s="3">
        <f t="shared" si="126"/>
        <v>0.01</v>
      </c>
      <c r="BQ53" s="50">
        <f t="shared" si="72"/>
        <v>93.50006822056335</v>
      </c>
      <c r="BR53" s="3">
        <f t="shared" si="127"/>
        <v>83.75</v>
      </c>
      <c r="BS53" s="3">
        <f t="shared" si="128"/>
        <v>1.175E-3</v>
      </c>
      <c r="BT53" s="3">
        <f t="shared" si="73"/>
        <v>0.49999999999999828</v>
      </c>
      <c r="BU53" s="3">
        <f t="shared" si="74"/>
        <v>18</v>
      </c>
      <c r="BV53" s="3">
        <f t="shared" si="129"/>
        <v>0.11250000000000002</v>
      </c>
      <c r="BW53" s="214">
        <f t="shared" si="130"/>
        <v>1.35E-2</v>
      </c>
      <c r="BX53" s="50">
        <f t="shared" si="75"/>
        <v>102.25006278668305</v>
      </c>
      <c r="BY53" s="16">
        <f t="shared" si="131"/>
        <v>1.9999999999999999E-6</v>
      </c>
      <c r="BZ53" s="49">
        <f t="shared" si="132"/>
        <v>12.5</v>
      </c>
      <c r="CA53" s="3">
        <f t="shared" si="133"/>
        <v>2E-3</v>
      </c>
      <c r="CB53" s="49">
        <f t="shared" si="134"/>
        <v>0.49999999999999828</v>
      </c>
      <c r="CC53" s="49">
        <f t="shared" si="135"/>
        <v>0</v>
      </c>
      <c r="CD53" s="49">
        <f t="shared" si="136"/>
        <v>0.22500000000000003</v>
      </c>
      <c r="CE53" s="3">
        <f t="shared" si="137"/>
        <v>0.01</v>
      </c>
      <c r="CF53" s="50">
        <f t="shared" si="76"/>
        <v>13.001950968989229</v>
      </c>
      <c r="CG53" s="3">
        <f t="shared" si="138"/>
        <v>16.875</v>
      </c>
      <c r="CH53" s="3">
        <f t="shared" si="139"/>
        <v>2.0874999999999999E-3</v>
      </c>
      <c r="CI53" s="3">
        <f t="shared" si="77"/>
        <v>0.49999999999999828</v>
      </c>
      <c r="CJ53" s="3">
        <f t="shared" si="78"/>
        <v>0</v>
      </c>
      <c r="CK53" s="3">
        <f t="shared" si="140"/>
        <v>0.22500000000000003</v>
      </c>
      <c r="CL53" s="214">
        <f t="shared" si="141"/>
        <v>1.35E-2</v>
      </c>
      <c r="CM53" s="50">
        <f t="shared" si="79"/>
        <v>17.376462143015658</v>
      </c>
      <c r="CO53" s="22" t="s">
        <v>227</v>
      </c>
      <c r="CP53" s="24">
        <v>160</v>
      </c>
      <c r="CQ53" s="24">
        <v>-160</v>
      </c>
      <c r="CR53" s="24">
        <f t="shared" si="143"/>
        <v>16</v>
      </c>
      <c r="CS53" s="24"/>
      <c r="CV53" s="4" t="b">
        <f>OR(AND($C$8=2,($C36=$D36)),AND($C$8=3,$C36=$D36,$D36=$E36),AND($C$8=4,$C36=$D36,$D36=$E36,$E36=$F36),AND($C$8=5,$C36=$D36,$D36=$E36,$E36=$F36,$F36=$G36))</f>
        <v>0</v>
      </c>
    </row>
    <row r="54" spans="1:100" ht="14.25" customHeight="1">
      <c r="H54" s="14"/>
      <c r="P54" s="116">
        <f t="shared" si="85"/>
        <v>4.5000000000000004E-4</v>
      </c>
      <c r="Q54" s="135">
        <f t="shared" si="87"/>
        <v>2.2500000000000001E-6</v>
      </c>
      <c r="R54" s="49">
        <f t="shared" si="88"/>
        <v>222.22222222222223</v>
      </c>
      <c r="S54" s="3">
        <f t="shared" si="89"/>
        <v>8.0000000000000002E-3</v>
      </c>
      <c r="T54" s="49">
        <f t="shared" si="90"/>
        <v>1.7777777777777717</v>
      </c>
      <c r="U54" s="49">
        <f t="shared" si="91"/>
        <v>0</v>
      </c>
      <c r="V54" s="49">
        <f t="shared" si="92"/>
        <v>0.17777777777777778</v>
      </c>
      <c r="W54" s="3">
        <f t="shared" si="93"/>
        <v>0.01</v>
      </c>
      <c r="X54" s="50">
        <f t="shared" si="60"/>
        <v>224.00007091279741</v>
      </c>
      <c r="Y54" s="3">
        <f t="shared" si="94"/>
        <v>237.77777777777777</v>
      </c>
      <c r="Z54" s="3">
        <f t="shared" si="95"/>
        <v>8.6999999999999994E-3</v>
      </c>
      <c r="AA54" s="3">
        <f t="shared" si="61"/>
        <v>1.7777777777777717</v>
      </c>
      <c r="AB54" s="3">
        <f t="shared" si="62"/>
        <v>0</v>
      </c>
      <c r="AC54" s="3">
        <f t="shared" si="96"/>
        <v>0.17777777777777778</v>
      </c>
      <c r="AD54" s="214">
        <f t="shared" si="97"/>
        <v>1.35E-2</v>
      </c>
      <c r="AE54" s="136">
        <f t="shared" si="63"/>
        <v>239.55562205969855</v>
      </c>
      <c r="AF54" s="16">
        <f t="shared" si="98"/>
        <v>2.2500000000000001E-6</v>
      </c>
      <c r="AG54" s="49">
        <f t="shared" si="99"/>
        <v>3.5555555555555554</v>
      </c>
      <c r="AH54" s="3">
        <f t="shared" si="100"/>
        <v>1.4999999999999999E-4</v>
      </c>
      <c r="AI54" s="49">
        <f t="shared" si="101"/>
        <v>2.2274988161212015E-2</v>
      </c>
      <c r="AJ54" s="49">
        <f t="shared" si="102"/>
        <v>0.50596442562693911</v>
      </c>
      <c r="AK54" s="49">
        <f t="shared" si="103"/>
        <v>9.9999999999999992E-2</v>
      </c>
      <c r="AL54" s="3">
        <f t="shared" si="104"/>
        <v>0.01</v>
      </c>
      <c r="AM54" s="50">
        <f t="shared" si="64"/>
        <v>4.0850313798227997</v>
      </c>
      <c r="AN54" s="3">
        <f t="shared" si="105"/>
        <v>5.1111111111111107</v>
      </c>
      <c r="AO54" s="3">
        <f t="shared" si="106"/>
        <v>2.1999999999999998E-4</v>
      </c>
      <c r="AP54" s="3">
        <f t="shared" si="65"/>
        <v>2.2274988161212015E-2</v>
      </c>
      <c r="AQ54" s="3">
        <f t="shared" si="66"/>
        <v>0.50596442562693911</v>
      </c>
      <c r="AR54" s="3">
        <f t="shared" si="107"/>
        <v>9.9999999999999992E-2</v>
      </c>
      <c r="AS54" s="214">
        <f t="shared" si="108"/>
        <v>1.35E-2</v>
      </c>
      <c r="AT54" s="50">
        <f t="shared" si="67"/>
        <v>5.6402532426373897</v>
      </c>
      <c r="AU54" s="16">
        <f t="shared" si="109"/>
        <v>2.2500000000000001E-6</v>
      </c>
      <c r="AV54" s="49">
        <f t="shared" si="110"/>
        <v>66.666666666666657</v>
      </c>
      <c r="AW54" s="3">
        <f t="shared" si="111"/>
        <v>8.0000000000000002E-3</v>
      </c>
      <c r="AX54" s="49">
        <f t="shared" si="112"/>
        <v>1.7777777777777717</v>
      </c>
      <c r="AY54" s="49">
        <f t="shared" si="113"/>
        <v>336.51058372276952</v>
      </c>
      <c r="AZ54" s="49">
        <f t="shared" si="114"/>
        <v>0.17777777777777778</v>
      </c>
      <c r="BA54" s="3">
        <f t="shared" si="115"/>
        <v>0.01</v>
      </c>
      <c r="BB54" s="50">
        <f t="shared" si="68"/>
        <v>404.95506739247918</v>
      </c>
      <c r="BC54" s="3">
        <f t="shared" si="116"/>
        <v>82.222222222222214</v>
      </c>
      <c r="BD54" s="3">
        <f t="shared" si="117"/>
        <v>8.6999999999999994E-3</v>
      </c>
      <c r="BE54" s="3">
        <f t="shared" si="69"/>
        <v>1.7777777777777717</v>
      </c>
      <c r="BF54" s="3">
        <f t="shared" si="70"/>
        <v>336.51058372276952</v>
      </c>
      <c r="BG54" s="3">
        <f t="shared" si="118"/>
        <v>0.17777777777777778</v>
      </c>
      <c r="BH54" s="214">
        <f t="shared" si="119"/>
        <v>1.35E-2</v>
      </c>
      <c r="BI54" s="50">
        <f t="shared" si="71"/>
        <v>420.51062160870873</v>
      </c>
      <c r="BJ54" s="16">
        <f t="shared" si="120"/>
        <v>2.2500000000000001E-6</v>
      </c>
      <c r="BK54" s="49">
        <f t="shared" si="121"/>
        <v>66.666666666666657</v>
      </c>
      <c r="BL54" s="3">
        <f t="shared" si="122"/>
        <v>1E-3</v>
      </c>
      <c r="BM54" s="49">
        <f t="shared" si="123"/>
        <v>0.44444444444444292</v>
      </c>
      <c r="BN54" s="49">
        <f t="shared" si="124"/>
        <v>16</v>
      </c>
      <c r="BO54" s="49">
        <f t="shared" si="125"/>
        <v>9.9999999999999992E-2</v>
      </c>
      <c r="BP54" s="3">
        <f t="shared" si="126"/>
        <v>0.01</v>
      </c>
      <c r="BQ54" s="50">
        <f t="shared" si="72"/>
        <v>83.111171879137018</v>
      </c>
      <c r="BR54" s="3">
        <f t="shared" si="127"/>
        <v>74.444444444444429</v>
      </c>
      <c r="BS54" s="3">
        <f t="shared" si="128"/>
        <v>1.175E-3</v>
      </c>
      <c r="BT54" s="3">
        <f t="shared" si="73"/>
        <v>0.44444444444444292</v>
      </c>
      <c r="BU54" s="3">
        <f t="shared" si="74"/>
        <v>16</v>
      </c>
      <c r="BV54" s="3">
        <f t="shared" si="129"/>
        <v>9.9999999999999992E-2</v>
      </c>
      <c r="BW54" s="214">
        <f t="shared" si="130"/>
        <v>1.35E-2</v>
      </c>
      <c r="BX54" s="50">
        <f t="shared" si="75"/>
        <v>90.888944911289471</v>
      </c>
      <c r="BY54" s="16">
        <f t="shared" si="131"/>
        <v>2.2500000000000001E-6</v>
      </c>
      <c r="BZ54" s="49">
        <f t="shared" si="132"/>
        <v>11.111111111111111</v>
      </c>
      <c r="CA54" s="3">
        <f t="shared" si="133"/>
        <v>2E-3</v>
      </c>
      <c r="CB54" s="49">
        <f t="shared" si="134"/>
        <v>0.44444444444444292</v>
      </c>
      <c r="CC54" s="49">
        <f t="shared" si="135"/>
        <v>0</v>
      </c>
      <c r="CD54" s="49">
        <f t="shared" si="136"/>
        <v>0.19999999999999998</v>
      </c>
      <c r="CE54" s="3">
        <f t="shared" si="137"/>
        <v>0.01</v>
      </c>
      <c r="CF54" s="50">
        <f t="shared" si="76"/>
        <v>11.557290694515338</v>
      </c>
      <c r="CG54" s="3">
        <f t="shared" si="138"/>
        <v>15</v>
      </c>
      <c r="CH54" s="3">
        <f t="shared" si="139"/>
        <v>2.0874999999999999E-3</v>
      </c>
      <c r="CI54" s="3">
        <f t="shared" si="77"/>
        <v>0.44444444444444292</v>
      </c>
      <c r="CJ54" s="3">
        <f t="shared" si="78"/>
        <v>0</v>
      </c>
      <c r="CK54" s="3">
        <f t="shared" si="140"/>
        <v>0.19999999999999998</v>
      </c>
      <c r="CL54" s="214">
        <f t="shared" si="141"/>
        <v>1.35E-2</v>
      </c>
      <c r="CM54" s="50">
        <f t="shared" si="79"/>
        <v>15.445745394936013</v>
      </c>
      <c r="CO54" s="22" t="s">
        <v>221</v>
      </c>
      <c r="CP54" s="24">
        <v>320</v>
      </c>
      <c r="CQ54" s="24">
        <v>-320</v>
      </c>
      <c r="CR54" s="24">
        <f t="shared" si="143"/>
        <v>32</v>
      </c>
      <c r="CS54" s="24"/>
      <c r="CV54" s="4" t="b">
        <f>OR(AND($C$8=2,($C37=$D37)),AND($C$8=3,$C37=$D37,$D37=$E37),AND($C$8=4,$C37=$D37,$D37=$E37,$E37=$F37),AND($C$8=5,$C37=$D37,$D37=$E37,$E37=$F37,$F37=$G37))</f>
        <v>0</v>
      </c>
    </row>
    <row r="55" spans="1:100" ht="14.25" customHeight="1">
      <c r="H55" s="14"/>
      <c r="P55" s="116">
        <f t="shared" si="85"/>
        <v>5.0000000000000001E-4</v>
      </c>
      <c r="Q55" s="135">
        <f t="shared" si="87"/>
        <v>2.5000000000000002E-6</v>
      </c>
      <c r="R55" s="49">
        <f t="shared" si="88"/>
        <v>200</v>
      </c>
      <c r="S55" s="3">
        <f t="shared" si="89"/>
        <v>8.0000000000000002E-3</v>
      </c>
      <c r="T55" s="49">
        <f t="shared" si="90"/>
        <v>1.5999999999999943</v>
      </c>
      <c r="U55" s="49">
        <f t="shared" si="91"/>
        <v>0</v>
      </c>
      <c r="V55" s="49">
        <f t="shared" si="92"/>
        <v>0.16</v>
      </c>
      <c r="W55" s="3">
        <f t="shared" si="93"/>
        <v>0.01</v>
      </c>
      <c r="X55" s="50">
        <f t="shared" si="60"/>
        <v>201.60006389879939</v>
      </c>
      <c r="Y55" s="3">
        <f t="shared" si="94"/>
        <v>214</v>
      </c>
      <c r="Z55" s="3">
        <f t="shared" si="95"/>
        <v>8.6999999999999994E-3</v>
      </c>
      <c r="AA55" s="3">
        <f t="shared" si="61"/>
        <v>1.5999999999999943</v>
      </c>
      <c r="AB55" s="3">
        <f t="shared" si="62"/>
        <v>0</v>
      </c>
      <c r="AC55" s="3">
        <f t="shared" si="96"/>
        <v>0.16</v>
      </c>
      <c r="AD55" s="214">
        <f t="shared" si="97"/>
        <v>1.35E-2</v>
      </c>
      <c r="AE55" s="136">
        <f t="shared" si="63"/>
        <v>215.60005996738496</v>
      </c>
      <c r="AF55" s="16">
        <f t="shared" si="98"/>
        <v>2.5000000000000002E-6</v>
      </c>
      <c r="AG55" s="49">
        <f t="shared" si="99"/>
        <v>3.1999999999999997</v>
      </c>
      <c r="AH55" s="3">
        <f t="shared" si="100"/>
        <v>1.4999999999999999E-4</v>
      </c>
      <c r="AI55" s="49">
        <f t="shared" si="101"/>
        <v>2.0047489345090815E-2</v>
      </c>
      <c r="AJ55" s="49">
        <f t="shared" si="102"/>
        <v>0.4553679830642452</v>
      </c>
      <c r="AK55" s="49">
        <f t="shared" si="103"/>
        <v>9.0000000000000011E-2</v>
      </c>
      <c r="AL55" s="3">
        <f t="shared" si="104"/>
        <v>0.01</v>
      </c>
      <c r="AM55" s="50">
        <f t="shared" si="64"/>
        <v>3.676530826380481</v>
      </c>
      <c r="AN55" s="3">
        <f t="shared" si="105"/>
        <v>4.5999999999999996</v>
      </c>
      <c r="AO55" s="3">
        <f t="shared" si="106"/>
        <v>2.1999999999999998E-4</v>
      </c>
      <c r="AP55" s="3">
        <f t="shared" si="65"/>
        <v>2.0047489345090815E-2</v>
      </c>
      <c r="AQ55" s="3">
        <f t="shared" si="66"/>
        <v>0.4553679830642452</v>
      </c>
      <c r="AR55" s="3">
        <f t="shared" si="107"/>
        <v>9.0000000000000011E-2</v>
      </c>
      <c r="AS55" s="214">
        <f t="shared" si="108"/>
        <v>1.35E-2</v>
      </c>
      <c r="AT55" s="50">
        <f t="shared" si="67"/>
        <v>5.0762313300294029</v>
      </c>
      <c r="AU55" s="16">
        <f t="shared" si="109"/>
        <v>2.5000000000000002E-6</v>
      </c>
      <c r="AV55" s="49">
        <f t="shared" si="110"/>
        <v>59.999999999999993</v>
      </c>
      <c r="AW55" s="3">
        <f t="shared" si="111"/>
        <v>8.0000000000000002E-3</v>
      </c>
      <c r="AX55" s="49">
        <f t="shared" si="112"/>
        <v>1.5999999999999943</v>
      </c>
      <c r="AY55" s="49">
        <f t="shared" si="113"/>
        <v>302.85952535049256</v>
      </c>
      <c r="AZ55" s="49">
        <f t="shared" si="114"/>
        <v>0.16</v>
      </c>
      <c r="BA55" s="3">
        <f t="shared" si="115"/>
        <v>0.01</v>
      </c>
      <c r="BB55" s="50">
        <f t="shared" si="68"/>
        <v>364.45956069597941</v>
      </c>
      <c r="BC55" s="3">
        <f t="shared" si="116"/>
        <v>73.999999999999986</v>
      </c>
      <c r="BD55" s="3">
        <f t="shared" si="117"/>
        <v>8.6999999999999994E-3</v>
      </c>
      <c r="BE55" s="3">
        <f t="shared" si="69"/>
        <v>1.5999999999999943</v>
      </c>
      <c r="BF55" s="3">
        <f t="shared" si="70"/>
        <v>302.85952535049256</v>
      </c>
      <c r="BG55" s="3">
        <f t="shared" si="118"/>
        <v>0.16</v>
      </c>
      <c r="BH55" s="214">
        <f t="shared" si="119"/>
        <v>1.35E-2</v>
      </c>
      <c r="BI55" s="50">
        <f t="shared" si="71"/>
        <v>378.45955951258532</v>
      </c>
      <c r="BJ55" s="16">
        <f t="shared" si="120"/>
        <v>2.5000000000000002E-6</v>
      </c>
      <c r="BK55" s="49">
        <f t="shared" si="121"/>
        <v>59.999999999999993</v>
      </c>
      <c r="BL55" s="3">
        <f t="shared" si="122"/>
        <v>1E-3</v>
      </c>
      <c r="BM55" s="49">
        <f t="shared" si="123"/>
        <v>0.39999999999999858</v>
      </c>
      <c r="BN55" s="49">
        <f t="shared" si="124"/>
        <v>14.399999999999999</v>
      </c>
      <c r="BO55" s="49">
        <f t="shared" si="125"/>
        <v>9.0000000000000011E-2</v>
      </c>
      <c r="BP55" s="3">
        <f t="shared" si="126"/>
        <v>0.01</v>
      </c>
      <c r="BQ55" s="50">
        <f t="shared" si="72"/>
        <v>74.800054819498612</v>
      </c>
      <c r="BR55" s="3">
        <f t="shared" si="127"/>
        <v>66.999999999999986</v>
      </c>
      <c r="BS55" s="3">
        <f t="shared" si="128"/>
        <v>1.175E-3</v>
      </c>
      <c r="BT55" s="3">
        <f t="shared" si="73"/>
        <v>0.39999999999999858</v>
      </c>
      <c r="BU55" s="3">
        <f t="shared" si="74"/>
        <v>14.399999999999999</v>
      </c>
      <c r="BV55" s="3">
        <f t="shared" si="129"/>
        <v>9.0000000000000011E-2</v>
      </c>
      <c r="BW55" s="214">
        <f t="shared" si="130"/>
        <v>1.35E-2</v>
      </c>
      <c r="BX55" s="50">
        <f t="shared" si="75"/>
        <v>81.800050633423339</v>
      </c>
      <c r="BY55" s="16">
        <f t="shared" si="131"/>
        <v>2.5000000000000002E-6</v>
      </c>
      <c r="BZ55" s="49">
        <f t="shared" si="132"/>
        <v>9.9999999999999982</v>
      </c>
      <c r="CA55" s="3">
        <f t="shared" si="133"/>
        <v>2E-3</v>
      </c>
      <c r="CB55" s="49">
        <f t="shared" si="134"/>
        <v>0.39999999999999858</v>
      </c>
      <c r="CC55" s="49">
        <f t="shared" si="135"/>
        <v>0</v>
      </c>
      <c r="CD55" s="49">
        <f t="shared" si="136"/>
        <v>0.18000000000000002</v>
      </c>
      <c r="CE55" s="3">
        <f t="shared" si="137"/>
        <v>0.01</v>
      </c>
      <c r="CF55" s="50">
        <f t="shared" si="76"/>
        <v>10.401562574921133</v>
      </c>
      <c r="CG55" s="3">
        <f t="shared" si="138"/>
        <v>13.499999999999998</v>
      </c>
      <c r="CH55" s="3">
        <f t="shared" si="139"/>
        <v>2.0874999999999999E-3</v>
      </c>
      <c r="CI55" s="3">
        <f t="shared" si="77"/>
        <v>0.39999999999999858</v>
      </c>
      <c r="CJ55" s="3">
        <f t="shared" si="78"/>
        <v>0</v>
      </c>
      <c r="CK55" s="3">
        <f t="shared" si="140"/>
        <v>0.18000000000000002</v>
      </c>
      <c r="CL55" s="214">
        <f t="shared" si="141"/>
        <v>1.35E-2</v>
      </c>
      <c r="CM55" s="50">
        <f t="shared" si="79"/>
        <v>13.901172130710998</v>
      </c>
      <c r="CO55" s="22" t="s">
        <v>216</v>
      </c>
      <c r="CP55" s="24">
        <v>40</v>
      </c>
      <c r="CQ55" s="24">
        <v>-40</v>
      </c>
      <c r="CR55" s="24">
        <f t="shared" si="143"/>
        <v>4</v>
      </c>
      <c r="CS55" s="24"/>
    </row>
    <row r="56" spans="1:100" ht="14.25" customHeight="1">
      <c r="P56" s="116">
        <f t="shared" si="85"/>
        <v>5.4999999999999992E-4</v>
      </c>
      <c r="Q56" s="135">
        <f t="shared" si="87"/>
        <v>2.7499999999999999E-6</v>
      </c>
      <c r="R56" s="49">
        <f t="shared" si="88"/>
        <v>181.81818181818181</v>
      </c>
      <c r="S56" s="3">
        <f t="shared" si="89"/>
        <v>8.0000000000000002E-3</v>
      </c>
      <c r="T56" s="49">
        <f t="shared" si="90"/>
        <v>1.4545454545454495</v>
      </c>
      <c r="U56" s="49">
        <f t="shared" si="91"/>
        <v>0</v>
      </c>
      <c r="V56" s="49">
        <f t="shared" si="92"/>
        <v>0.14545454545454548</v>
      </c>
      <c r="W56" s="3">
        <f t="shared" si="93"/>
        <v>0.01</v>
      </c>
      <c r="X56" s="50">
        <f t="shared" si="60"/>
        <v>183.27278544019637</v>
      </c>
      <c r="Y56" s="3">
        <f t="shared" si="94"/>
        <v>194.54545454545453</v>
      </c>
      <c r="Z56" s="3">
        <f t="shared" si="95"/>
        <v>8.6999999999999994E-3</v>
      </c>
      <c r="AA56" s="3">
        <f t="shared" si="61"/>
        <v>1.4545454545454495</v>
      </c>
      <c r="AB56" s="3">
        <f t="shared" si="62"/>
        <v>0</v>
      </c>
      <c r="AC56" s="3">
        <f t="shared" si="96"/>
        <v>0.14545454545454548</v>
      </c>
      <c r="AD56" s="214">
        <f t="shared" si="97"/>
        <v>1.35E-2</v>
      </c>
      <c r="AE56" s="136">
        <f t="shared" si="63"/>
        <v>196.00005463000457</v>
      </c>
      <c r="AF56" s="16">
        <f t="shared" si="98"/>
        <v>2.7499999999999999E-6</v>
      </c>
      <c r="AG56" s="49">
        <f t="shared" si="99"/>
        <v>2.9090909090909092</v>
      </c>
      <c r="AH56" s="3">
        <f t="shared" si="100"/>
        <v>1.4999999999999999E-4</v>
      </c>
      <c r="AI56" s="49">
        <f t="shared" si="101"/>
        <v>1.8224990313718922E-2</v>
      </c>
      <c r="AJ56" s="49">
        <f t="shared" si="102"/>
        <v>0.41397089369476842</v>
      </c>
      <c r="AK56" s="49">
        <f t="shared" si="103"/>
        <v>8.1818181818181832E-2</v>
      </c>
      <c r="AL56" s="3">
        <f t="shared" si="104"/>
        <v>0.01</v>
      </c>
      <c r="AM56" s="50">
        <f t="shared" si="64"/>
        <v>3.3423033481592426</v>
      </c>
      <c r="AN56" s="3">
        <f t="shared" si="105"/>
        <v>4.1818181818181817</v>
      </c>
      <c r="AO56" s="3">
        <f t="shared" si="106"/>
        <v>2.1999999999999998E-4</v>
      </c>
      <c r="AP56" s="3">
        <f t="shared" si="65"/>
        <v>1.8224990313718922E-2</v>
      </c>
      <c r="AQ56" s="3">
        <f t="shared" si="66"/>
        <v>0.41397089369476842</v>
      </c>
      <c r="AR56" s="3">
        <f t="shared" si="107"/>
        <v>8.1818181818181832E-2</v>
      </c>
      <c r="AS56" s="214">
        <f t="shared" si="108"/>
        <v>1.35E-2</v>
      </c>
      <c r="AT56" s="50">
        <f t="shared" si="67"/>
        <v>4.6147591825492249</v>
      </c>
      <c r="AU56" s="16">
        <f t="shared" si="109"/>
        <v>2.7499999999999999E-6</v>
      </c>
      <c r="AV56" s="49">
        <f t="shared" si="110"/>
        <v>54.54545454545454</v>
      </c>
      <c r="AW56" s="3">
        <f t="shared" si="111"/>
        <v>8.0000000000000002E-3</v>
      </c>
      <c r="AX56" s="49">
        <f t="shared" si="112"/>
        <v>1.4545454545454495</v>
      </c>
      <c r="AY56" s="49">
        <f t="shared" si="113"/>
        <v>275.32684122772054</v>
      </c>
      <c r="AZ56" s="49">
        <f t="shared" si="114"/>
        <v>0.14545454545454548</v>
      </c>
      <c r="BA56" s="3">
        <f t="shared" si="115"/>
        <v>0.01</v>
      </c>
      <c r="BB56" s="50">
        <f t="shared" si="68"/>
        <v>331.3268734029341</v>
      </c>
      <c r="BC56" s="3">
        <f t="shared" si="116"/>
        <v>67.272727272727266</v>
      </c>
      <c r="BD56" s="3">
        <f t="shared" si="117"/>
        <v>8.6999999999999994E-3</v>
      </c>
      <c r="BE56" s="3">
        <f t="shared" si="69"/>
        <v>1.4545454545454495</v>
      </c>
      <c r="BF56" s="3">
        <f t="shared" si="70"/>
        <v>275.32684122772054</v>
      </c>
      <c r="BG56" s="3">
        <f t="shared" si="118"/>
        <v>0.14545454545454548</v>
      </c>
      <c r="BH56" s="214">
        <f t="shared" si="119"/>
        <v>1.35E-2</v>
      </c>
      <c r="BI56" s="50">
        <f t="shared" si="71"/>
        <v>344.05414507649846</v>
      </c>
      <c r="BJ56" s="16">
        <f t="shared" si="120"/>
        <v>2.7499999999999999E-6</v>
      </c>
      <c r="BK56" s="49">
        <f t="shared" si="121"/>
        <v>54.54545454545454</v>
      </c>
      <c r="BL56" s="3">
        <f t="shared" si="122"/>
        <v>1E-3</v>
      </c>
      <c r="BM56" s="49">
        <f t="shared" si="123"/>
        <v>0.36363636363636237</v>
      </c>
      <c r="BN56" s="49">
        <f t="shared" si="124"/>
        <v>13.090909090909092</v>
      </c>
      <c r="BO56" s="49">
        <f t="shared" si="125"/>
        <v>8.1818181818181832E-2</v>
      </c>
      <c r="BP56" s="3">
        <f t="shared" si="126"/>
        <v>0.01</v>
      </c>
      <c r="BQ56" s="50">
        <f t="shared" si="72"/>
        <v>68.000049964796901</v>
      </c>
      <c r="BR56" s="3">
        <f t="shared" si="127"/>
        <v>60.909090909090907</v>
      </c>
      <c r="BS56" s="3">
        <f t="shared" si="128"/>
        <v>1.175E-3</v>
      </c>
      <c r="BT56" s="3">
        <f t="shared" si="73"/>
        <v>0.36363636363636237</v>
      </c>
      <c r="BU56" s="3">
        <f t="shared" si="74"/>
        <v>13.090909090909092</v>
      </c>
      <c r="BV56" s="3">
        <f t="shared" si="129"/>
        <v>8.1818181818181832E-2</v>
      </c>
      <c r="BW56" s="214">
        <f t="shared" si="130"/>
        <v>1.35E-2</v>
      </c>
      <c r="BX56" s="50">
        <f t="shared" si="75"/>
        <v>74.363682608304444</v>
      </c>
      <c r="BY56" s="16">
        <f t="shared" si="131"/>
        <v>2.7499999999999999E-6</v>
      </c>
      <c r="BZ56" s="49">
        <f t="shared" si="132"/>
        <v>9.0909090909090899</v>
      </c>
      <c r="CA56" s="3">
        <f t="shared" si="133"/>
        <v>2E-3</v>
      </c>
      <c r="CB56" s="49">
        <f t="shared" si="134"/>
        <v>0.36363636363636237</v>
      </c>
      <c r="CC56" s="49">
        <f t="shared" si="135"/>
        <v>0</v>
      </c>
      <c r="CD56" s="49">
        <f t="shared" si="136"/>
        <v>0.16363636363636366</v>
      </c>
      <c r="CE56" s="3">
        <f t="shared" si="137"/>
        <v>0.01</v>
      </c>
      <c r="CF56" s="50">
        <f t="shared" si="76"/>
        <v>9.4559669316030401</v>
      </c>
      <c r="CG56" s="3">
        <f t="shared" si="138"/>
        <v>12.272727272727272</v>
      </c>
      <c r="CH56" s="3">
        <f t="shared" si="139"/>
        <v>2.0874999999999999E-3</v>
      </c>
      <c r="CI56" s="3">
        <f t="shared" si="77"/>
        <v>0.36363636363636237</v>
      </c>
      <c r="CJ56" s="3">
        <f t="shared" si="78"/>
        <v>0</v>
      </c>
      <c r="CK56" s="3">
        <f t="shared" si="140"/>
        <v>0.16363636363636366</v>
      </c>
      <c r="CL56" s="214">
        <f t="shared" si="141"/>
        <v>1.35E-2</v>
      </c>
      <c r="CM56" s="50">
        <f t="shared" si="79"/>
        <v>12.6374304911075</v>
      </c>
      <c r="CO56" s="22" t="s">
        <v>234</v>
      </c>
      <c r="CP56" s="24">
        <v>80</v>
      </c>
      <c r="CQ56" s="24">
        <v>-80</v>
      </c>
      <c r="CR56" s="24">
        <f t="shared" si="143"/>
        <v>8</v>
      </c>
      <c r="CS56" s="24"/>
    </row>
    <row r="57" spans="1:100" ht="14.25" customHeight="1">
      <c r="P57" s="116">
        <f t="shared" si="85"/>
        <v>6.0000000000000006E-4</v>
      </c>
      <c r="Q57" s="135">
        <f t="shared" si="87"/>
        <v>3.0000000000000001E-6</v>
      </c>
      <c r="R57" s="49">
        <f t="shared" si="88"/>
        <v>166.66666666666666</v>
      </c>
      <c r="S57" s="3">
        <f t="shared" si="89"/>
        <v>8.0000000000000002E-3</v>
      </c>
      <c r="T57" s="49">
        <f t="shared" si="90"/>
        <v>1.3333333333333288</v>
      </c>
      <c r="U57" s="49">
        <f t="shared" si="91"/>
        <v>0</v>
      </c>
      <c r="V57" s="49">
        <f t="shared" si="92"/>
        <v>0.13333333333333333</v>
      </c>
      <c r="W57" s="3">
        <f t="shared" si="93"/>
        <v>0.01</v>
      </c>
      <c r="X57" s="50">
        <f t="shared" si="60"/>
        <v>168.00005339813967</v>
      </c>
      <c r="Y57" s="3">
        <f t="shared" si="94"/>
        <v>178.33333333333331</v>
      </c>
      <c r="Z57" s="3">
        <f t="shared" si="95"/>
        <v>8.6999999999999994E-3</v>
      </c>
      <c r="AA57" s="3">
        <f t="shared" si="61"/>
        <v>1.3333333333333288</v>
      </c>
      <c r="AB57" s="3">
        <f t="shared" si="62"/>
        <v>0</v>
      </c>
      <c r="AC57" s="3">
        <f t="shared" si="96"/>
        <v>0.13333333333333333</v>
      </c>
      <c r="AD57" s="214">
        <f t="shared" si="97"/>
        <v>1.35E-2</v>
      </c>
      <c r="AE57" s="136">
        <f t="shared" si="63"/>
        <v>179.66671685882417</v>
      </c>
      <c r="AF57" s="16">
        <f t="shared" si="98"/>
        <v>3.0000000000000001E-6</v>
      </c>
      <c r="AG57" s="49">
        <f t="shared" si="99"/>
        <v>2.6666666666666665</v>
      </c>
      <c r="AH57" s="3">
        <f t="shared" si="100"/>
        <v>1.4999999999999999E-4</v>
      </c>
      <c r="AI57" s="49">
        <f t="shared" si="101"/>
        <v>1.6706241120909012E-2</v>
      </c>
      <c r="AJ57" s="49">
        <f t="shared" si="102"/>
        <v>0.37947331922020439</v>
      </c>
      <c r="AK57" s="49">
        <f t="shared" si="103"/>
        <v>7.4999999999999997E-2</v>
      </c>
      <c r="AL57" s="3">
        <f t="shared" si="104"/>
        <v>0.01</v>
      </c>
      <c r="AM57" s="50">
        <f t="shared" si="64"/>
        <v>3.0637806763532853</v>
      </c>
      <c r="AN57" s="3">
        <f t="shared" si="105"/>
        <v>3.833333333333333</v>
      </c>
      <c r="AO57" s="3">
        <f t="shared" si="106"/>
        <v>2.1999999999999998E-4</v>
      </c>
      <c r="AP57" s="3">
        <f t="shared" si="65"/>
        <v>1.6706241120909012E-2</v>
      </c>
      <c r="AQ57" s="3">
        <f t="shared" si="66"/>
        <v>0.37947331922020439</v>
      </c>
      <c r="AR57" s="3">
        <f t="shared" si="107"/>
        <v>7.4999999999999997E-2</v>
      </c>
      <c r="AS57" s="214">
        <f t="shared" si="108"/>
        <v>1.35E-2</v>
      </c>
      <c r="AT57" s="50">
        <f t="shared" si="67"/>
        <v>4.2301993589142333</v>
      </c>
      <c r="AU57" s="16">
        <f t="shared" si="109"/>
        <v>3.0000000000000001E-6</v>
      </c>
      <c r="AV57" s="49">
        <f t="shared" si="110"/>
        <v>49.999999999999993</v>
      </c>
      <c r="AW57" s="3">
        <f t="shared" si="111"/>
        <v>8.0000000000000002E-3</v>
      </c>
      <c r="AX57" s="49">
        <f t="shared" si="112"/>
        <v>1.3333333333333288</v>
      </c>
      <c r="AY57" s="49">
        <f t="shared" si="113"/>
        <v>252.38293779207714</v>
      </c>
      <c r="AZ57" s="49">
        <f t="shared" si="114"/>
        <v>0.13333333333333333</v>
      </c>
      <c r="BA57" s="3">
        <f t="shared" si="115"/>
        <v>0.01</v>
      </c>
      <c r="BB57" s="50">
        <f t="shared" si="68"/>
        <v>303.71630066247945</v>
      </c>
      <c r="BC57" s="3">
        <f t="shared" si="116"/>
        <v>61.666666666666657</v>
      </c>
      <c r="BD57" s="3">
        <f t="shared" si="117"/>
        <v>8.6999999999999994E-3</v>
      </c>
      <c r="BE57" s="3">
        <f t="shared" si="69"/>
        <v>1.3333333333333288</v>
      </c>
      <c r="BF57" s="3">
        <f t="shared" si="70"/>
        <v>252.38293779207714</v>
      </c>
      <c r="BG57" s="3">
        <f t="shared" si="118"/>
        <v>0.13333333333333333</v>
      </c>
      <c r="BH57" s="214">
        <f t="shared" si="119"/>
        <v>1.35E-2</v>
      </c>
      <c r="BI57" s="50">
        <f t="shared" si="71"/>
        <v>315.38296638543903</v>
      </c>
      <c r="BJ57" s="16">
        <f t="shared" si="120"/>
        <v>3.0000000000000001E-6</v>
      </c>
      <c r="BK57" s="49">
        <f t="shared" si="121"/>
        <v>49.999999999999993</v>
      </c>
      <c r="BL57" s="3">
        <f t="shared" si="122"/>
        <v>1E-3</v>
      </c>
      <c r="BM57" s="49">
        <f t="shared" si="123"/>
        <v>0.3333333333333322</v>
      </c>
      <c r="BN57" s="49">
        <f t="shared" si="124"/>
        <v>12</v>
      </c>
      <c r="BO57" s="49">
        <f t="shared" si="125"/>
        <v>7.4999999999999997E-2</v>
      </c>
      <c r="BP57" s="3">
        <f t="shared" si="126"/>
        <v>0.01</v>
      </c>
      <c r="BQ57" s="50">
        <f t="shared" si="72"/>
        <v>62.333379263797688</v>
      </c>
      <c r="BR57" s="3">
        <f t="shared" si="127"/>
        <v>55.833333333333329</v>
      </c>
      <c r="BS57" s="3">
        <f t="shared" si="128"/>
        <v>1.175E-3</v>
      </c>
      <c r="BT57" s="3">
        <f t="shared" si="73"/>
        <v>0.3333333333333322</v>
      </c>
      <c r="BU57" s="3">
        <f t="shared" si="74"/>
        <v>12</v>
      </c>
      <c r="BV57" s="3">
        <f t="shared" si="129"/>
        <v>7.4999999999999997E-2</v>
      </c>
      <c r="BW57" s="214">
        <f t="shared" si="130"/>
        <v>1.35E-2</v>
      </c>
      <c r="BX57" s="50">
        <f t="shared" si="75"/>
        <v>68.166709272745948</v>
      </c>
      <c r="BY57" s="16">
        <f t="shared" si="131"/>
        <v>3.0000000000000001E-6</v>
      </c>
      <c r="BZ57" s="49">
        <f t="shared" si="132"/>
        <v>8.3333333333333321</v>
      </c>
      <c r="CA57" s="3">
        <f t="shared" si="133"/>
        <v>2E-3</v>
      </c>
      <c r="CB57" s="49">
        <f t="shared" si="134"/>
        <v>0.3333333333333322</v>
      </c>
      <c r="CC57" s="49">
        <f t="shared" si="135"/>
        <v>0</v>
      </c>
      <c r="CD57" s="49">
        <f t="shared" si="136"/>
        <v>0.15</v>
      </c>
      <c r="CE57" s="3">
        <f t="shared" si="137"/>
        <v>0.01</v>
      </c>
      <c r="CF57" s="50">
        <f t="shared" si="76"/>
        <v>8.6679706454920051</v>
      </c>
      <c r="CG57" s="3">
        <f t="shared" si="138"/>
        <v>11.249999999999998</v>
      </c>
      <c r="CH57" s="3">
        <f t="shared" si="139"/>
        <v>2.0874999999999999E-3</v>
      </c>
      <c r="CI57" s="3">
        <f t="shared" si="77"/>
        <v>0.3333333333333322</v>
      </c>
      <c r="CJ57" s="3">
        <f t="shared" si="78"/>
        <v>0</v>
      </c>
      <c r="CK57" s="3">
        <f t="shared" si="140"/>
        <v>0.15</v>
      </c>
      <c r="CL57" s="214">
        <f t="shared" si="141"/>
        <v>1.35E-2</v>
      </c>
      <c r="CM57" s="50">
        <f t="shared" si="79"/>
        <v>11.5843125699701</v>
      </c>
      <c r="CO57" s="22" t="s">
        <v>228</v>
      </c>
      <c r="CP57" s="24">
        <v>160</v>
      </c>
      <c r="CQ57" s="24">
        <v>-160</v>
      </c>
      <c r="CR57" s="24">
        <f t="shared" si="143"/>
        <v>16</v>
      </c>
      <c r="CS57" s="24"/>
    </row>
    <row r="58" spans="1:100" ht="14.25" customHeight="1">
      <c r="P58" s="116">
        <f t="shared" si="85"/>
        <v>6.4999999999999997E-4</v>
      </c>
      <c r="Q58" s="135">
        <f t="shared" si="87"/>
        <v>3.2499999999999998E-6</v>
      </c>
      <c r="R58" s="49">
        <f t="shared" si="88"/>
        <v>153.84615384615387</v>
      </c>
      <c r="S58" s="3">
        <f t="shared" si="89"/>
        <v>8.0000000000000002E-3</v>
      </c>
      <c r="T58" s="49">
        <f t="shared" si="90"/>
        <v>1.2307692307692266</v>
      </c>
      <c r="U58" s="49">
        <f t="shared" si="91"/>
        <v>0</v>
      </c>
      <c r="V58" s="49">
        <f t="shared" si="92"/>
        <v>0.1230769230769231</v>
      </c>
      <c r="W58" s="3">
        <f t="shared" si="93"/>
        <v>0.01</v>
      </c>
      <c r="X58" s="50">
        <f t="shared" si="60"/>
        <v>155.07697244573393</v>
      </c>
      <c r="Y58" s="3">
        <f t="shared" si="94"/>
        <v>164.61538461538464</v>
      </c>
      <c r="Z58" s="3">
        <f t="shared" si="95"/>
        <v>8.6999999999999994E-3</v>
      </c>
      <c r="AA58" s="3">
        <f t="shared" si="61"/>
        <v>1.2307692307692266</v>
      </c>
      <c r="AB58" s="3">
        <f t="shared" si="62"/>
        <v>0</v>
      </c>
      <c r="AC58" s="3">
        <f t="shared" si="96"/>
        <v>0.1230769230769231</v>
      </c>
      <c r="AD58" s="214">
        <f t="shared" si="97"/>
        <v>1.35E-2</v>
      </c>
      <c r="AE58" s="136">
        <f t="shared" si="63"/>
        <v>165.8462002924129</v>
      </c>
      <c r="AF58" s="16">
        <f t="shared" si="98"/>
        <v>3.2499999999999998E-6</v>
      </c>
      <c r="AG58" s="49">
        <f t="shared" si="99"/>
        <v>2.4615384615384617</v>
      </c>
      <c r="AH58" s="3">
        <f t="shared" si="100"/>
        <v>1.4999999999999999E-4</v>
      </c>
      <c r="AI58" s="49">
        <f t="shared" si="101"/>
        <v>1.5421145650069858E-2</v>
      </c>
      <c r="AJ58" s="49">
        <f t="shared" si="102"/>
        <v>0.35028306389557329</v>
      </c>
      <c r="AK58" s="49">
        <f t="shared" si="103"/>
        <v>6.9230769230769235E-2</v>
      </c>
      <c r="AL58" s="3">
        <f t="shared" si="104"/>
        <v>0.01</v>
      </c>
      <c r="AM58" s="50">
        <f t="shared" si="64"/>
        <v>2.828107855635472</v>
      </c>
      <c r="AN58" s="3">
        <f t="shared" si="105"/>
        <v>3.5384615384615383</v>
      </c>
      <c r="AO58" s="3">
        <f t="shared" si="106"/>
        <v>2.1999999999999998E-4</v>
      </c>
      <c r="AP58" s="3">
        <f t="shared" si="65"/>
        <v>1.5421145650069858E-2</v>
      </c>
      <c r="AQ58" s="3">
        <f t="shared" si="66"/>
        <v>0.35028306389557329</v>
      </c>
      <c r="AR58" s="3">
        <f t="shared" si="107"/>
        <v>6.9230769230769235E-2</v>
      </c>
      <c r="AS58" s="214">
        <f t="shared" si="108"/>
        <v>1.35E-2</v>
      </c>
      <c r="AT58" s="50">
        <f t="shared" si="67"/>
        <v>3.9048028613133288</v>
      </c>
      <c r="AU58" s="16">
        <f t="shared" si="109"/>
        <v>3.2499999999999998E-6</v>
      </c>
      <c r="AV58" s="49">
        <f t="shared" si="110"/>
        <v>46.153846153846153</v>
      </c>
      <c r="AW58" s="3">
        <f t="shared" si="111"/>
        <v>8.0000000000000002E-3</v>
      </c>
      <c r="AX58" s="49">
        <f t="shared" si="112"/>
        <v>1.2307692307692266</v>
      </c>
      <c r="AY58" s="49">
        <f t="shared" si="113"/>
        <v>232.96886565422506</v>
      </c>
      <c r="AZ58" s="49">
        <f t="shared" si="114"/>
        <v>0.1230769230769231</v>
      </c>
      <c r="BA58" s="3">
        <f t="shared" si="115"/>
        <v>0.01</v>
      </c>
      <c r="BB58" s="50">
        <f t="shared" si="68"/>
        <v>280.35350834709465</v>
      </c>
      <c r="BC58" s="3">
        <f t="shared" si="116"/>
        <v>56.92307692307692</v>
      </c>
      <c r="BD58" s="3">
        <f t="shared" si="117"/>
        <v>8.6999999999999994E-3</v>
      </c>
      <c r="BE58" s="3">
        <f t="shared" si="69"/>
        <v>1.2307692307692266</v>
      </c>
      <c r="BF58" s="3">
        <f t="shared" si="70"/>
        <v>232.96886565422506</v>
      </c>
      <c r="BG58" s="3">
        <f t="shared" si="118"/>
        <v>0.1230769230769231</v>
      </c>
      <c r="BH58" s="214">
        <f t="shared" si="119"/>
        <v>1.35E-2</v>
      </c>
      <c r="BI58" s="50">
        <f t="shared" si="71"/>
        <v>291.12273826747759</v>
      </c>
      <c r="BJ58" s="16">
        <f t="shared" si="120"/>
        <v>3.2499999999999998E-6</v>
      </c>
      <c r="BK58" s="49">
        <f t="shared" si="121"/>
        <v>46.153846153846153</v>
      </c>
      <c r="BL58" s="3">
        <f t="shared" si="122"/>
        <v>1E-3</v>
      </c>
      <c r="BM58" s="49">
        <f t="shared" si="123"/>
        <v>0.30769230769230665</v>
      </c>
      <c r="BN58" s="49">
        <f t="shared" si="124"/>
        <v>11.076923076923078</v>
      </c>
      <c r="BO58" s="49">
        <f t="shared" si="125"/>
        <v>6.9230769230769235E-2</v>
      </c>
      <c r="BP58" s="3">
        <f t="shared" si="126"/>
        <v>0.01</v>
      </c>
      <c r="BQ58" s="50">
        <f t="shared" si="72"/>
        <v>57.538504065646563</v>
      </c>
      <c r="BR58" s="3">
        <f t="shared" si="127"/>
        <v>51.53846153846154</v>
      </c>
      <c r="BS58" s="3">
        <f t="shared" si="128"/>
        <v>1.175E-3</v>
      </c>
      <c r="BT58" s="3">
        <f t="shared" si="73"/>
        <v>0.30769230769230665</v>
      </c>
      <c r="BU58" s="3">
        <f t="shared" si="74"/>
        <v>11.076923076923078</v>
      </c>
      <c r="BV58" s="3">
        <f t="shared" si="129"/>
        <v>6.9230769230769235E-2</v>
      </c>
      <c r="BW58" s="214">
        <f t="shared" si="130"/>
        <v>1.35E-2</v>
      </c>
      <c r="BX58" s="50">
        <f t="shared" si="75"/>
        <v>62.923116467618549</v>
      </c>
      <c r="BY58" s="16">
        <f t="shared" si="131"/>
        <v>3.2499999999999998E-6</v>
      </c>
      <c r="BZ58" s="49">
        <f t="shared" si="132"/>
        <v>7.6923076923076925</v>
      </c>
      <c r="CA58" s="3">
        <f t="shared" si="133"/>
        <v>2E-3</v>
      </c>
      <c r="CB58" s="49">
        <f t="shared" si="134"/>
        <v>0.30769230769230665</v>
      </c>
      <c r="CC58" s="49">
        <f t="shared" si="135"/>
        <v>0</v>
      </c>
      <c r="CD58" s="49">
        <f t="shared" si="136"/>
        <v>0.13846153846153847</v>
      </c>
      <c r="CE58" s="3">
        <f t="shared" si="137"/>
        <v>0.01</v>
      </c>
      <c r="CF58" s="50">
        <f t="shared" si="76"/>
        <v>8.001204634155604</v>
      </c>
      <c r="CG58" s="3">
        <f t="shared" si="138"/>
        <v>10.384615384615385</v>
      </c>
      <c r="CH58" s="3">
        <f t="shared" si="139"/>
        <v>2.0874999999999999E-3</v>
      </c>
      <c r="CI58" s="3">
        <f t="shared" si="77"/>
        <v>0.30769230769230665</v>
      </c>
      <c r="CJ58" s="3">
        <f t="shared" si="78"/>
        <v>0</v>
      </c>
      <c r="CK58" s="3">
        <f t="shared" si="140"/>
        <v>0.13846153846153847</v>
      </c>
      <c r="CL58" s="214">
        <f t="shared" si="141"/>
        <v>1.35E-2</v>
      </c>
      <c r="CM58" s="50">
        <f t="shared" si="79"/>
        <v>10.693212893806596</v>
      </c>
      <c r="CO58" s="22" t="s">
        <v>222</v>
      </c>
      <c r="CP58" s="24">
        <v>320</v>
      </c>
      <c r="CQ58" s="24">
        <v>-320</v>
      </c>
      <c r="CR58" s="24">
        <f t="shared" si="143"/>
        <v>32</v>
      </c>
      <c r="CS58" s="24"/>
    </row>
    <row r="59" spans="1:100" ht="14.25" customHeight="1">
      <c r="P59" s="116">
        <f t="shared" si="85"/>
        <v>6.9999999999999988E-4</v>
      </c>
      <c r="Q59" s="135">
        <f t="shared" si="87"/>
        <v>3.4999999999999995E-6</v>
      </c>
      <c r="R59" s="49">
        <f t="shared" si="88"/>
        <v>142.85714285714289</v>
      </c>
      <c r="S59" s="3">
        <f t="shared" si="89"/>
        <v>8.0000000000000002E-3</v>
      </c>
      <c r="T59" s="49">
        <f t="shared" si="90"/>
        <v>1.142857142857139</v>
      </c>
      <c r="U59" s="49">
        <f t="shared" si="91"/>
        <v>0</v>
      </c>
      <c r="V59" s="49">
        <f t="shared" si="92"/>
        <v>0.11428571428571431</v>
      </c>
      <c r="W59" s="3">
        <f t="shared" si="93"/>
        <v>0.01</v>
      </c>
      <c r="X59" s="50">
        <f t="shared" si="60"/>
        <v>144.00004592091108</v>
      </c>
      <c r="Y59" s="3">
        <f t="shared" si="94"/>
        <v>152.85714285714289</v>
      </c>
      <c r="Z59" s="3">
        <f t="shared" si="95"/>
        <v>8.6999999999999994E-3</v>
      </c>
      <c r="AA59" s="3">
        <f t="shared" si="61"/>
        <v>1.142857142857139</v>
      </c>
      <c r="AB59" s="3">
        <f t="shared" si="62"/>
        <v>0</v>
      </c>
      <c r="AC59" s="3">
        <f t="shared" si="96"/>
        <v>0.11428571428571431</v>
      </c>
      <c r="AD59" s="214">
        <f t="shared" si="97"/>
        <v>1.35E-2</v>
      </c>
      <c r="AE59" s="136">
        <f t="shared" si="63"/>
        <v>154.00004324403452</v>
      </c>
      <c r="AF59" s="16">
        <f t="shared" si="98"/>
        <v>3.4999999999999995E-6</v>
      </c>
      <c r="AG59" s="49">
        <f t="shared" si="99"/>
        <v>2.285714285714286</v>
      </c>
      <c r="AH59" s="3">
        <f t="shared" si="100"/>
        <v>1.4999999999999999E-4</v>
      </c>
      <c r="AI59" s="49">
        <f t="shared" si="101"/>
        <v>1.4319635246493441E-2</v>
      </c>
      <c r="AJ59" s="49">
        <f t="shared" si="102"/>
        <v>0.32526284504588948</v>
      </c>
      <c r="AK59" s="49">
        <f t="shared" si="103"/>
        <v>6.4285714285714307E-2</v>
      </c>
      <c r="AL59" s="3">
        <f t="shared" si="104"/>
        <v>0.01</v>
      </c>
      <c r="AM59" s="50">
        <f t="shared" si="64"/>
        <v>2.6261027750578045</v>
      </c>
      <c r="AN59" s="3">
        <f t="shared" si="105"/>
        <v>3.2857142857142865</v>
      </c>
      <c r="AO59" s="3">
        <f t="shared" si="106"/>
        <v>2.1999999999999998E-4</v>
      </c>
      <c r="AP59" s="3">
        <f t="shared" si="65"/>
        <v>1.4319635246493441E-2</v>
      </c>
      <c r="AQ59" s="3">
        <f t="shared" si="66"/>
        <v>0.32526284504588948</v>
      </c>
      <c r="AR59" s="3">
        <f t="shared" si="107"/>
        <v>6.4285714285714307E-2</v>
      </c>
      <c r="AS59" s="214">
        <f t="shared" si="108"/>
        <v>1.35E-2</v>
      </c>
      <c r="AT59" s="50">
        <f t="shared" si="67"/>
        <v>3.6258918341670983</v>
      </c>
      <c r="AU59" s="16">
        <f t="shared" si="109"/>
        <v>3.4999999999999995E-6</v>
      </c>
      <c r="AV59" s="49">
        <f t="shared" si="110"/>
        <v>42.857142857142861</v>
      </c>
      <c r="AW59" s="3">
        <f t="shared" si="111"/>
        <v>8.0000000000000002E-3</v>
      </c>
      <c r="AX59" s="49">
        <f t="shared" si="112"/>
        <v>1.142857142857139</v>
      </c>
      <c r="AY59" s="49">
        <f t="shared" si="113"/>
        <v>216.32823239320899</v>
      </c>
      <c r="AZ59" s="49">
        <f t="shared" si="114"/>
        <v>0.11428571428571431</v>
      </c>
      <c r="BA59" s="3">
        <f t="shared" si="115"/>
        <v>0.01</v>
      </c>
      <c r="BB59" s="50">
        <f t="shared" si="68"/>
        <v>260.32825779426463</v>
      </c>
      <c r="BC59" s="3">
        <f t="shared" si="116"/>
        <v>52.857142857142861</v>
      </c>
      <c r="BD59" s="3">
        <f t="shared" si="117"/>
        <v>8.6999999999999994E-3</v>
      </c>
      <c r="BE59" s="3">
        <f t="shared" si="69"/>
        <v>1.142857142857139</v>
      </c>
      <c r="BF59" s="3">
        <f t="shared" si="70"/>
        <v>216.32823239320899</v>
      </c>
      <c r="BG59" s="3">
        <f t="shared" si="118"/>
        <v>0.11428571428571431</v>
      </c>
      <c r="BH59" s="214">
        <f t="shared" si="119"/>
        <v>1.35E-2</v>
      </c>
      <c r="BI59" s="50">
        <f t="shared" si="71"/>
        <v>270.32825702837886</v>
      </c>
      <c r="BJ59" s="16">
        <f t="shared" si="120"/>
        <v>3.4999999999999995E-6</v>
      </c>
      <c r="BK59" s="49">
        <f t="shared" si="121"/>
        <v>42.857142857142861</v>
      </c>
      <c r="BL59" s="3">
        <f t="shared" si="122"/>
        <v>1E-3</v>
      </c>
      <c r="BM59" s="49">
        <f t="shared" si="123"/>
        <v>0.28571428571428475</v>
      </c>
      <c r="BN59" s="49">
        <f t="shared" si="124"/>
        <v>10.285714285714288</v>
      </c>
      <c r="BO59" s="49">
        <f t="shared" si="125"/>
        <v>6.4285714285714307E-2</v>
      </c>
      <c r="BP59" s="3">
        <f t="shared" si="126"/>
        <v>0.01</v>
      </c>
      <c r="BQ59" s="50">
        <f t="shared" si="72"/>
        <v>53.428611048304646</v>
      </c>
      <c r="BR59" s="3">
        <f t="shared" si="127"/>
        <v>47.857142857142861</v>
      </c>
      <c r="BS59" s="3">
        <f t="shared" si="128"/>
        <v>1.175E-3</v>
      </c>
      <c r="BT59" s="3">
        <f t="shared" si="73"/>
        <v>0.28571428571428475</v>
      </c>
      <c r="BU59" s="3">
        <f t="shared" si="74"/>
        <v>10.285714285714288</v>
      </c>
      <c r="BV59" s="3">
        <f t="shared" si="129"/>
        <v>6.4285714285714307E-2</v>
      </c>
      <c r="BW59" s="214">
        <f t="shared" si="130"/>
        <v>1.35E-2</v>
      </c>
      <c r="BX59" s="50">
        <f t="shared" si="75"/>
        <v>58.428608364972717</v>
      </c>
      <c r="BY59" s="16">
        <f t="shared" si="131"/>
        <v>3.4999999999999995E-6</v>
      </c>
      <c r="BZ59" s="49">
        <f t="shared" si="132"/>
        <v>7.1428571428571432</v>
      </c>
      <c r="CA59" s="3">
        <f t="shared" si="133"/>
        <v>2E-3</v>
      </c>
      <c r="CB59" s="49">
        <f t="shared" si="134"/>
        <v>0.28571428571428475</v>
      </c>
      <c r="CC59" s="49">
        <f t="shared" si="135"/>
        <v>0</v>
      </c>
      <c r="CD59" s="49">
        <f t="shared" si="136"/>
        <v>0.12857142857142861</v>
      </c>
      <c r="CE59" s="3">
        <f t="shared" si="137"/>
        <v>0.01</v>
      </c>
      <c r="CF59" s="50">
        <f t="shared" si="76"/>
        <v>7.4296909815706771</v>
      </c>
      <c r="CG59" s="3">
        <f t="shared" si="138"/>
        <v>9.6428571428571423</v>
      </c>
      <c r="CH59" s="3">
        <f t="shared" si="139"/>
        <v>2.0874999999999999E-3</v>
      </c>
      <c r="CI59" s="3">
        <f t="shared" si="77"/>
        <v>0.28571428571428475</v>
      </c>
      <c r="CJ59" s="3">
        <f t="shared" si="78"/>
        <v>0</v>
      </c>
      <c r="CK59" s="3">
        <f t="shared" si="140"/>
        <v>0.12857142857142861</v>
      </c>
      <c r="CL59" s="214">
        <f t="shared" si="141"/>
        <v>1.35E-2</v>
      </c>
      <c r="CM59" s="50">
        <f t="shared" si="79"/>
        <v>9.9294132672653923</v>
      </c>
      <c r="CO59" s="22" t="s">
        <v>217</v>
      </c>
      <c r="CP59" s="24">
        <v>40</v>
      </c>
      <c r="CQ59" s="24">
        <v>-40</v>
      </c>
      <c r="CR59" s="24">
        <f t="shared" si="143"/>
        <v>4</v>
      </c>
      <c r="CS59" s="24"/>
    </row>
    <row r="60" spans="1:100" ht="14.25" customHeight="1">
      <c r="P60" s="116">
        <f t="shared" si="85"/>
        <v>7.5000000000000002E-4</v>
      </c>
      <c r="Q60" s="135">
        <f t="shared" si="87"/>
        <v>3.7499999999999997E-6</v>
      </c>
      <c r="R60" s="49">
        <f t="shared" si="88"/>
        <v>133.33333333333334</v>
      </c>
      <c r="S60" s="3">
        <f t="shared" si="89"/>
        <v>8.0000000000000002E-3</v>
      </c>
      <c r="T60" s="49">
        <f t="shared" si="90"/>
        <v>1.0666666666666631</v>
      </c>
      <c r="U60" s="49">
        <f t="shared" si="91"/>
        <v>0</v>
      </c>
      <c r="V60" s="49">
        <f t="shared" si="92"/>
        <v>0.10666666666666667</v>
      </c>
      <c r="W60" s="3">
        <f t="shared" si="93"/>
        <v>0.01</v>
      </c>
      <c r="X60" s="50">
        <f t="shared" si="60"/>
        <v>134.40004293815451</v>
      </c>
      <c r="Y60" s="3">
        <f t="shared" si="94"/>
        <v>142.66666666666669</v>
      </c>
      <c r="Z60" s="3">
        <f t="shared" si="95"/>
        <v>8.6999999999999994E-3</v>
      </c>
      <c r="AA60" s="3">
        <f t="shared" si="61"/>
        <v>1.0666666666666631</v>
      </c>
      <c r="AB60" s="3">
        <f t="shared" si="62"/>
        <v>0</v>
      </c>
      <c r="AC60" s="3">
        <f t="shared" si="96"/>
        <v>0.10666666666666667</v>
      </c>
      <c r="AD60" s="214">
        <f t="shared" si="97"/>
        <v>1.35E-2</v>
      </c>
      <c r="AE60" s="136">
        <f t="shared" si="63"/>
        <v>143.73337381008244</v>
      </c>
      <c r="AF60" s="16">
        <f t="shared" si="98"/>
        <v>3.7499999999999997E-6</v>
      </c>
      <c r="AG60" s="49">
        <f t="shared" si="99"/>
        <v>2.1333333333333333</v>
      </c>
      <c r="AH60" s="3">
        <f t="shared" si="100"/>
        <v>1.4999999999999999E-4</v>
      </c>
      <c r="AI60" s="49">
        <f t="shared" si="101"/>
        <v>1.3364992896727211E-2</v>
      </c>
      <c r="AJ60" s="49">
        <f t="shared" si="102"/>
        <v>0.30357865537616352</v>
      </c>
      <c r="AK60" s="49">
        <f t="shared" si="103"/>
        <v>6.0000000000000005E-2</v>
      </c>
      <c r="AL60" s="3">
        <f t="shared" si="104"/>
        <v>0.01</v>
      </c>
      <c r="AM60" s="50">
        <f t="shared" si="64"/>
        <v>2.451031886591708</v>
      </c>
      <c r="AN60" s="3">
        <f t="shared" si="105"/>
        <v>3.0666666666666664</v>
      </c>
      <c r="AO60" s="3">
        <f t="shared" si="106"/>
        <v>2.1999999999999998E-4</v>
      </c>
      <c r="AP60" s="3">
        <f t="shared" si="65"/>
        <v>1.3364992896727211E-2</v>
      </c>
      <c r="AQ60" s="3">
        <f t="shared" si="66"/>
        <v>0.30357865537616352</v>
      </c>
      <c r="AR60" s="3">
        <f t="shared" si="107"/>
        <v>6.0000000000000005E-2</v>
      </c>
      <c r="AS60" s="214">
        <f t="shared" si="108"/>
        <v>1.35E-2</v>
      </c>
      <c r="AT60" s="50">
        <f t="shared" si="67"/>
        <v>3.3841691833839174</v>
      </c>
      <c r="AU60" s="16">
        <f t="shared" si="109"/>
        <v>3.7499999999999997E-6</v>
      </c>
      <c r="AV60" s="49">
        <f t="shared" si="110"/>
        <v>40</v>
      </c>
      <c r="AW60" s="3">
        <f t="shared" si="111"/>
        <v>8.0000000000000002E-3</v>
      </c>
      <c r="AX60" s="49">
        <f t="shared" si="112"/>
        <v>1.0666666666666631</v>
      </c>
      <c r="AY60" s="49">
        <f t="shared" si="113"/>
        <v>201.90635023366173</v>
      </c>
      <c r="AZ60" s="49">
        <f t="shared" si="114"/>
        <v>0.10666666666666667</v>
      </c>
      <c r="BA60" s="3">
        <f t="shared" si="115"/>
        <v>0.01</v>
      </c>
      <c r="BB60" s="50">
        <f t="shared" si="68"/>
        <v>242.97304065147856</v>
      </c>
      <c r="BC60" s="3">
        <f t="shared" si="116"/>
        <v>49.333333333333336</v>
      </c>
      <c r="BD60" s="3">
        <f t="shared" si="117"/>
        <v>8.6999999999999994E-3</v>
      </c>
      <c r="BE60" s="3">
        <f t="shared" si="69"/>
        <v>1.0666666666666631</v>
      </c>
      <c r="BF60" s="3">
        <f t="shared" si="70"/>
        <v>201.90635023366173</v>
      </c>
      <c r="BG60" s="3">
        <f t="shared" si="118"/>
        <v>0.10666666666666667</v>
      </c>
      <c r="BH60" s="214">
        <f t="shared" si="119"/>
        <v>1.35E-2</v>
      </c>
      <c r="BI60" s="50">
        <f t="shared" si="71"/>
        <v>252.30637329237038</v>
      </c>
      <c r="BJ60" s="16">
        <f t="shared" si="120"/>
        <v>3.7499999999999997E-6</v>
      </c>
      <c r="BK60" s="49">
        <f t="shared" si="121"/>
        <v>40</v>
      </c>
      <c r="BL60" s="3">
        <f t="shared" si="122"/>
        <v>1E-3</v>
      </c>
      <c r="BM60" s="49">
        <f t="shared" si="123"/>
        <v>0.26666666666666577</v>
      </c>
      <c r="BN60" s="49">
        <f t="shared" si="124"/>
        <v>9.6000000000000014</v>
      </c>
      <c r="BO60" s="49">
        <f t="shared" si="125"/>
        <v>6.0000000000000005E-2</v>
      </c>
      <c r="BP60" s="3">
        <f t="shared" si="126"/>
        <v>0.01</v>
      </c>
      <c r="BQ60" s="50">
        <f t="shared" si="72"/>
        <v>49.866703775610084</v>
      </c>
      <c r="BR60" s="3">
        <f t="shared" si="127"/>
        <v>44.666666666666664</v>
      </c>
      <c r="BS60" s="3">
        <f t="shared" si="128"/>
        <v>1.175E-3</v>
      </c>
      <c r="BT60" s="3">
        <f t="shared" si="73"/>
        <v>0.26666666666666577</v>
      </c>
      <c r="BU60" s="3">
        <f t="shared" si="74"/>
        <v>9.6000000000000014</v>
      </c>
      <c r="BV60" s="3">
        <f t="shared" si="129"/>
        <v>6.0000000000000005E-2</v>
      </c>
      <c r="BW60" s="214">
        <f t="shared" si="130"/>
        <v>1.35E-2</v>
      </c>
      <c r="BX60" s="50">
        <f t="shared" si="75"/>
        <v>54.533368024312132</v>
      </c>
      <c r="BY60" s="16">
        <f t="shared" si="131"/>
        <v>3.7499999999999997E-6</v>
      </c>
      <c r="BZ60" s="49">
        <f t="shared" si="132"/>
        <v>6.666666666666667</v>
      </c>
      <c r="CA60" s="3">
        <f t="shared" si="133"/>
        <v>2E-3</v>
      </c>
      <c r="CB60" s="49">
        <f t="shared" si="134"/>
        <v>0.26666666666666577</v>
      </c>
      <c r="CC60" s="49">
        <f t="shared" si="135"/>
        <v>0</v>
      </c>
      <c r="CD60" s="49">
        <f t="shared" si="136"/>
        <v>0.12000000000000001</v>
      </c>
      <c r="CE60" s="3">
        <f t="shared" si="137"/>
        <v>0.01</v>
      </c>
      <c r="CF60" s="50">
        <f t="shared" si="76"/>
        <v>6.9343792159869011</v>
      </c>
      <c r="CG60" s="3">
        <f t="shared" si="138"/>
        <v>9</v>
      </c>
      <c r="CH60" s="3">
        <f t="shared" si="139"/>
        <v>2.0874999999999999E-3</v>
      </c>
      <c r="CI60" s="3">
        <f t="shared" si="77"/>
        <v>0.26666666666666577</v>
      </c>
      <c r="CJ60" s="3">
        <f t="shared" si="78"/>
        <v>0</v>
      </c>
      <c r="CK60" s="3">
        <f t="shared" si="140"/>
        <v>0.12000000000000001</v>
      </c>
      <c r="CL60" s="214">
        <f t="shared" si="141"/>
        <v>1.35E-2</v>
      </c>
      <c r="CM60" s="50">
        <f t="shared" si="79"/>
        <v>9.2674536804220029</v>
      </c>
      <c r="CO60" s="22" t="s">
        <v>235</v>
      </c>
      <c r="CP60" s="24">
        <v>80</v>
      </c>
      <c r="CQ60" s="24">
        <v>-80</v>
      </c>
      <c r="CR60" s="24">
        <f t="shared" si="143"/>
        <v>8</v>
      </c>
      <c r="CS60" s="24"/>
    </row>
    <row r="61" spans="1:100" ht="14.25" customHeight="1">
      <c r="P61" s="116">
        <f t="shared" si="85"/>
        <v>7.9999999999999993E-4</v>
      </c>
      <c r="Q61" s="135">
        <f t="shared" si="87"/>
        <v>3.9999999999999998E-6</v>
      </c>
      <c r="R61" s="49">
        <f t="shared" si="88"/>
        <v>125.00000000000001</v>
      </c>
      <c r="S61" s="3">
        <f t="shared" si="89"/>
        <v>8.0000000000000002E-3</v>
      </c>
      <c r="T61" s="49">
        <f t="shared" si="90"/>
        <v>0.99999999999999656</v>
      </c>
      <c r="U61" s="49">
        <f t="shared" si="91"/>
        <v>0</v>
      </c>
      <c r="V61" s="49">
        <f t="shared" si="92"/>
        <v>0.10000000000000002</v>
      </c>
      <c r="W61" s="3">
        <f t="shared" si="93"/>
        <v>0.01</v>
      </c>
      <c r="X61" s="50">
        <f t="shared" si="60"/>
        <v>126.00004033332689</v>
      </c>
      <c r="Y61" s="3">
        <f t="shared" si="94"/>
        <v>133.75</v>
      </c>
      <c r="Z61" s="3">
        <f t="shared" si="95"/>
        <v>8.6999999999999994E-3</v>
      </c>
      <c r="AA61" s="3">
        <f t="shared" si="61"/>
        <v>0.99999999999999656</v>
      </c>
      <c r="AB61" s="3">
        <f t="shared" si="62"/>
        <v>0</v>
      </c>
      <c r="AC61" s="3">
        <f t="shared" si="96"/>
        <v>0.10000000000000002</v>
      </c>
      <c r="AD61" s="214">
        <f t="shared" si="97"/>
        <v>1.35E-2</v>
      </c>
      <c r="AE61" s="136">
        <f t="shared" si="63"/>
        <v>134.75003806285176</v>
      </c>
      <c r="AF61" s="16">
        <f t="shared" si="98"/>
        <v>3.9999999999999998E-6</v>
      </c>
      <c r="AG61" s="49">
        <f t="shared" si="99"/>
        <v>2</v>
      </c>
      <c r="AH61" s="3">
        <f t="shared" si="100"/>
        <v>1.4999999999999999E-4</v>
      </c>
      <c r="AI61" s="49">
        <f t="shared" si="101"/>
        <v>1.252968084068176E-2</v>
      </c>
      <c r="AJ61" s="49">
        <f t="shared" si="102"/>
        <v>0.28460498941515328</v>
      </c>
      <c r="AK61" s="49">
        <f t="shared" si="103"/>
        <v>5.6250000000000008E-2</v>
      </c>
      <c r="AL61" s="3">
        <f t="shared" si="104"/>
        <v>0.01</v>
      </c>
      <c r="AM61" s="50">
        <f t="shared" si="64"/>
        <v>2.297845029215718</v>
      </c>
      <c r="AN61" s="3">
        <f t="shared" si="105"/>
        <v>2.875</v>
      </c>
      <c r="AO61" s="3">
        <f t="shared" si="106"/>
        <v>2.1999999999999998E-4</v>
      </c>
      <c r="AP61" s="3">
        <f t="shared" si="65"/>
        <v>1.252968084068176E-2</v>
      </c>
      <c r="AQ61" s="3">
        <f t="shared" si="66"/>
        <v>0.28460498941515328</v>
      </c>
      <c r="AR61" s="3">
        <f t="shared" si="107"/>
        <v>5.6250000000000008E-2</v>
      </c>
      <c r="AS61" s="214">
        <f t="shared" si="108"/>
        <v>1.35E-2</v>
      </c>
      <c r="AT61" s="50">
        <f t="shared" si="67"/>
        <v>3.1726620883950272</v>
      </c>
      <c r="AU61" s="16">
        <f t="shared" si="109"/>
        <v>3.9999999999999998E-6</v>
      </c>
      <c r="AV61" s="49">
        <f t="shared" si="110"/>
        <v>37.5</v>
      </c>
      <c r="AW61" s="3">
        <f t="shared" si="111"/>
        <v>8.0000000000000002E-3</v>
      </c>
      <c r="AX61" s="49">
        <f t="shared" si="112"/>
        <v>0.99999999999999656</v>
      </c>
      <c r="AY61" s="49">
        <f t="shared" si="113"/>
        <v>189.28720334405787</v>
      </c>
      <c r="AZ61" s="49">
        <f t="shared" si="114"/>
        <v>0.10000000000000002</v>
      </c>
      <c r="BA61" s="3">
        <f t="shared" si="115"/>
        <v>0.01</v>
      </c>
      <c r="BB61" s="50">
        <f t="shared" si="68"/>
        <v>227.78722565435308</v>
      </c>
      <c r="BC61" s="3">
        <f t="shared" si="116"/>
        <v>46.25</v>
      </c>
      <c r="BD61" s="3">
        <f t="shared" si="117"/>
        <v>8.6999999999999994E-3</v>
      </c>
      <c r="BE61" s="3">
        <f t="shared" si="69"/>
        <v>0.99999999999999656</v>
      </c>
      <c r="BF61" s="3">
        <f t="shared" si="70"/>
        <v>189.28720334405787</v>
      </c>
      <c r="BG61" s="3">
        <f t="shared" si="118"/>
        <v>0.10000000000000002</v>
      </c>
      <c r="BH61" s="214">
        <f t="shared" si="119"/>
        <v>1.35E-2</v>
      </c>
      <c r="BI61" s="50">
        <f t="shared" si="71"/>
        <v>236.53722502762264</v>
      </c>
      <c r="BJ61" s="16">
        <f t="shared" si="120"/>
        <v>3.9999999999999998E-6</v>
      </c>
      <c r="BK61" s="49">
        <f t="shared" si="121"/>
        <v>37.5</v>
      </c>
      <c r="BL61" s="3">
        <f t="shared" si="122"/>
        <v>1E-3</v>
      </c>
      <c r="BM61" s="49">
        <f t="shared" si="123"/>
        <v>0.24999999999999914</v>
      </c>
      <c r="BN61" s="49">
        <f t="shared" si="124"/>
        <v>9</v>
      </c>
      <c r="BO61" s="49">
        <f t="shared" si="125"/>
        <v>5.6250000000000008E-2</v>
      </c>
      <c r="BP61" s="3">
        <f t="shared" si="126"/>
        <v>0.01</v>
      </c>
      <c r="BQ61" s="50">
        <f t="shared" si="72"/>
        <v>46.750034920441507</v>
      </c>
      <c r="BR61" s="3">
        <f t="shared" si="127"/>
        <v>41.875</v>
      </c>
      <c r="BS61" s="3">
        <f t="shared" si="128"/>
        <v>1.175E-3</v>
      </c>
      <c r="BT61" s="3">
        <f t="shared" si="73"/>
        <v>0.24999999999999914</v>
      </c>
      <c r="BU61" s="3">
        <f t="shared" si="74"/>
        <v>9</v>
      </c>
      <c r="BV61" s="3">
        <f t="shared" si="129"/>
        <v>5.6250000000000008E-2</v>
      </c>
      <c r="BW61" s="214">
        <f t="shared" si="130"/>
        <v>1.35E-2</v>
      </c>
      <c r="BX61" s="50">
        <f t="shared" si="75"/>
        <v>51.125032740264579</v>
      </c>
      <c r="BY61" s="16">
        <f t="shared" si="131"/>
        <v>3.9999999999999998E-6</v>
      </c>
      <c r="BZ61" s="49">
        <f t="shared" si="132"/>
        <v>6.25</v>
      </c>
      <c r="CA61" s="3">
        <f t="shared" si="133"/>
        <v>2E-3</v>
      </c>
      <c r="CB61" s="49">
        <f t="shared" si="134"/>
        <v>0.24999999999999914</v>
      </c>
      <c r="CC61" s="49">
        <f t="shared" si="135"/>
        <v>0</v>
      </c>
      <c r="CD61" s="49">
        <f t="shared" si="136"/>
        <v>0.11250000000000002</v>
      </c>
      <c r="CE61" s="3">
        <f t="shared" si="137"/>
        <v>0.01</v>
      </c>
      <c r="CF61" s="50">
        <f t="shared" si="76"/>
        <v>6.5009814835915343</v>
      </c>
      <c r="CG61" s="3">
        <f t="shared" si="138"/>
        <v>8.4375</v>
      </c>
      <c r="CH61" s="3">
        <f t="shared" si="139"/>
        <v>2.0874999999999999E-3</v>
      </c>
      <c r="CI61" s="3">
        <f t="shared" si="77"/>
        <v>0.24999999999999914</v>
      </c>
      <c r="CJ61" s="3">
        <f t="shared" si="78"/>
        <v>0</v>
      </c>
      <c r="CK61" s="3">
        <f t="shared" si="140"/>
        <v>0.11250000000000002</v>
      </c>
      <c r="CL61" s="214">
        <f t="shared" si="141"/>
        <v>1.35E-2</v>
      </c>
      <c r="CM61" s="50">
        <f t="shared" si="79"/>
        <v>8.68823912583305</v>
      </c>
      <c r="CO61" s="22" t="s">
        <v>229</v>
      </c>
      <c r="CP61" s="24">
        <v>160</v>
      </c>
      <c r="CQ61" s="24">
        <v>-160</v>
      </c>
      <c r="CR61" s="24">
        <f t="shared" si="143"/>
        <v>16</v>
      </c>
      <c r="CS61" s="24"/>
    </row>
    <row r="62" spans="1:100" ht="14.25" customHeight="1">
      <c r="P62" s="116">
        <f t="shared" si="85"/>
        <v>8.5000000000000006E-4</v>
      </c>
      <c r="Q62" s="135">
        <f t="shared" si="87"/>
        <v>4.25E-6</v>
      </c>
      <c r="R62" s="49">
        <f t="shared" si="88"/>
        <v>117.64705882352942</v>
      </c>
      <c r="S62" s="3">
        <f t="shared" si="89"/>
        <v>8.0000000000000002E-3</v>
      </c>
      <c r="T62" s="49">
        <f t="shared" si="90"/>
        <v>0.94117647058823206</v>
      </c>
      <c r="U62" s="49">
        <f t="shared" si="91"/>
        <v>0</v>
      </c>
      <c r="V62" s="49">
        <f t="shared" si="92"/>
        <v>9.4117647058823528E-2</v>
      </c>
      <c r="W62" s="3">
        <f t="shared" si="93"/>
        <v>0.01</v>
      </c>
      <c r="X62" s="50">
        <f t="shared" si="60"/>
        <v>118.58827333385244</v>
      </c>
      <c r="Y62" s="3">
        <f t="shared" si="94"/>
        <v>125.88235294117648</v>
      </c>
      <c r="Z62" s="3">
        <f t="shared" si="95"/>
        <v>8.6999999999999994E-3</v>
      </c>
      <c r="AA62" s="3">
        <f t="shared" si="61"/>
        <v>0.94117647058823206</v>
      </c>
      <c r="AB62" s="3">
        <f t="shared" si="62"/>
        <v>0</v>
      </c>
      <c r="AC62" s="3">
        <f t="shared" si="96"/>
        <v>9.4117647058823528E-2</v>
      </c>
      <c r="AD62" s="214">
        <f t="shared" si="97"/>
        <v>1.35E-2</v>
      </c>
      <c r="AE62" s="136">
        <f t="shared" si="63"/>
        <v>126.82356535174462</v>
      </c>
      <c r="AF62" s="16">
        <f t="shared" si="98"/>
        <v>4.25E-6</v>
      </c>
      <c r="AG62" s="49">
        <f t="shared" si="99"/>
        <v>1.8823529411764706</v>
      </c>
      <c r="AH62" s="3">
        <f t="shared" si="100"/>
        <v>1.4999999999999999E-4</v>
      </c>
      <c r="AI62" s="49">
        <f t="shared" si="101"/>
        <v>1.1792640791229891E-2</v>
      </c>
      <c r="AJ62" s="49">
        <f t="shared" si="102"/>
        <v>0.26786351944955605</v>
      </c>
      <c r="AK62" s="49">
        <f t="shared" si="103"/>
        <v>5.2941176470588235E-2</v>
      </c>
      <c r="AL62" s="3">
        <f t="shared" si="104"/>
        <v>0.01</v>
      </c>
      <c r="AM62" s="50">
        <f t="shared" si="64"/>
        <v>2.1626803150898524</v>
      </c>
      <c r="AN62" s="3">
        <f t="shared" si="105"/>
        <v>2.7058823529411766</v>
      </c>
      <c r="AO62" s="3">
        <f t="shared" si="106"/>
        <v>2.1999999999999998E-4</v>
      </c>
      <c r="AP62" s="3">
        <f t="shared" si="65"/>
        <v>1.1792640791229891E-2</v>
      </c>
      <c r="AQ62" s="3">
        <f t="shared" si="66"/>
        <v>0.26786351944955605</v>
      </c>
      <c r="AR62" s="3">
        <f t="shared" si="107"/>
        <v>5.2941176470588235E-2</v>
      </c>
      <c r="AS62" s="214">
        <f t="shared" si="108"/>
        <v>1.35E-2</v>
      </c>
      <c r="AT62" s="50">
        <f t="shared" si="67"/>
        <v>2.9860383922948572</v>
      </c>
      <c r="AU62" s="16">
        <f t="shared" si="109"/>
        <v>4.25E-6</v>
      </c>
      <c r="AV62" s="49">
        <f t="shared" si="110"/>
        <v>35.294117647058819</v>
      </c>
      <c r="AW62" s="3">
        <f t="shared" si="111"/>
        <v>8.0000000000000002E-3</v>
      </c>
      <c r="AX62" s="49">
        <f t="shared" si="112"/>
        <v>0.94117647058823206</v>
      </c>
      <c r="AY62" s="49">
        <f t="shared" si="113"/>
        <v>178.15266197087797</v>
      </c>
      <c r="AZ62" s="49">
        <f t="shared" si="114"/>
        <v>9.4117647058823528E-2</v>
      </c>
      <c r="BA62" s="3">
        <f t="shared" si="115"/>
        <v>0.01</v>
      </c>
      <c r="BB62" s="50">
        <f t="shared" si="68"/>
        <v>214.38797713012457</v>
      </c>
      <c r="BC62" s="3">
        <f t="shared" si="116"/>
        <v>43.529411764705877</v>
      </c>
      <c r="BD62" s="3">
        <f t="shared" si="117"/>
        <v>8.6999999999999994E-3</v>
      </c>
      <c r="BE62" s="3">
        <f t="shared" si="69"/>
        <v>0.94117647058823206</v>
      </c>
      <c r="BF62" s="3">
        <f t="shared" si="70"/>
        <v>178.15266197087797</v>
      </c>
      <c r="BG62" s="3">
        <f t="shared" si="118"/>
        <v>9.4117647058823528E-2</v>
      </c>
      <c r="BH62" s="214">
        <f t="shared" si="119"/>
        <v>1.35E-2</v>
      </c>
      <c r="BI62" s="50">
        <f t="shared" si="71"/>
        <v>222.62327068038368</v>
      </c>
      <c r="BJ62" s="16">
        <f t="shared" si="120"/>
        <v>4.25E-6</v>
      </c>
      <c r="BK62" s="49">
        <f t="shared" si="121"/>
        <v>35.294117647058819</v>
      </c>
      <c r="BL62" s="3">
        <f t="shared" si="122"/>
        <v>1E-3</v>
      </c>
      <c r="BM62" s="49">
        <f t="shared" si="123"/>
        <v>0.23529411764705802</v>
      </c>
      <c r="BN62" s="49">
        <f t="shared" si="124"/>
        <v>8.4705882352941178</v>
      </c>
      <c r="BO62" s="49">
        <f t="shared" si="125"/>
        <v>5.2941176470588235E-2</v>
      </c>
      <c r="BP62" s="3">
        <f t="shared" si="126"/>
        <v>0.01</v>
      </c>
      <c r="BQ62" s="50">
        <f t="shared" si="72"/>
        <v>44.000032997353145</v>
      </c>
      <c r="BR62" s="3">
        <f t="shared" si="127"/>
        <v>39.411764705882348</v>
      </c>
      <c r="BS62" s="3">
        <f t="shared" si="128"/>
        <v>1.175E-3</v>
      </c>
      <c r="BT62" s="3">
        <f t="shared" si="73"/>
        <v>0.23529411764705802</v>
      </c>
      <c r="BU62" s="3">
        <f t="shared" si="74"/>
        <v>8.4705882352941178</v>
      </c>
      <c r="BV62" s="3">
        <f t="shared" si="129"/>
        <v>5.2941176470588235E-2</v>
      </c>
      <c r="BW62" s="214">
        <f t="shared" si="130"/>
        <v>1.35E-2</v>
      </c>
      <c r="BX62" s="50">
        <f t="shared" si="75"/>
        <v>48.117678091074787</v>
      </c>
      <c r="BY62" s="16">
        <f t="shared" si="131"/>
        <v>4.25E-6</v>
      </c>
      <c r="BZ62" s="49">
        <f t="shared" si="132"/>
        <v>5.8823529411764701</v>
      </c>
      <c r="CA62" s="3">
        <f t="shared" si="133"/>
        <v>2E-3</v>
      </c>
      <c r="CB62" s="49">
        <f t="shared" si="134"/>
        <v>0.23529411764705802</v>
      </c>
      <c r="CC62" s="49">
        <f t="shared" si="135"/>
        <v>0</v>
      </c>
      <c r="CD62" s="49">
        <f t="shared" si="136"/>
        <v>0.10588235294117647</v>
      </c>
      <c r="CE62" s="3">
        <f t="shared" si="137"/>
        <v>0.01</v>
      </c>
      <c r="CF62" s="50">
        <f t="shared" si="76"/>
        <v>6.118571778527774</v>
      </c>
      <c r="CG62" s="3">
        <f t="shared" si="138"/>
        <v>7.9411764705882346</v>
      </c>
      <c r="CH62" s="3">
        <f t="shared" si="139"/>
        <v>2.0874999999999999E-3</v>
      </c>
      <c r="CI62" s="3">
        <f t="shared" si="77"/>
        <v>0.23529411764705802</v>
      </c>
      <c r="CJ62" s="3">
        <f t="shared" si="78"/>
        <v>0</v>
      </c>
      <c r="CK62" s="3">
        <f t="shared" si="140"/>
        <v>0.10588235294117647</v>
      </c>
      <c r="CL62" s="214">
        <f t="shared" si="141"/>
        <v>1.35E-2</v>
      </c>
      <c r="CM62" s="50">
        <f t="shared" si="79"/>
        <v>8.1771675389830083</v>
      </c>
      <c r="CO62" s="22" t="s">
        <v>223</v>
      </c>
      <c r="CP62" s="24">
        <v>320</v>
      </c>
      <c r="CQ62" s="24">
        <v>-320</v>
      </c>
      <c r="CR62" s="24">
        <f t="shared" si="143"/>
        <v>32</v>
      </c>
      <c r="CS62" s="24"/>
    </row>
    <row r="63" spans="1:100">
      <c r="P63" s="116">
        <f t="shared" si="85"/>
        <v>9.0000000000000008E-4</v>
      </c>
      <c r="Q63" s="135">
        <f t="shared" si="87"/>
        <v>4.5000000000000001E-6</v>
      </c>
      <c r="R63" s="49">
        <f t="shared" si="88"/>
        <v>111.11111111111111</v>
      </c>
      <c r="S63" s="3">
        <f t="shared" si="89"/>
        <v>8.0000000000000002E-3</v>
      </c>
      <c r="T63" s="49">
        <f t="shared" si="90"/>
        <v>0.88888888888888584</v>
      </c>
      <c r="U63" s="49">
        <f t="shared" si="91"/>
        <v>0</v>
      </c>
      <c r="V63" s="49">
        <f t="shared" si="92"/>
        <v>8.8888888888888892E-2</v>
      </c>
      <c r="W63" s="3">
        <f t="shared" si="93"/>
        <v>0.01</v>
      </c>
      <c r="X63" s="50">
        <f t="shared" si="60"/>
        <v>112.00003600550568</v>
      </c>
      <c r="Y63" s="3">
        <f t="shared" si="94"/>
        <v>118.88888888888889</v>
      </c>
      <c r="Z63" s="3">
        <f t="shared" si="95"/>
        <v>8.6999999999999994E-3</v>
      </c>
      <c r="AA63" s="3">
        <f t="shared" si="61"/>
        <v>0.88888888888888584</v>
      </c>
      <c r="AB63" s="3">
        <f t="shared" si="62"/>
        <v>0</v>
      </c>
      <c r="AC63" s="3">
        <f t="shared" si="96"/>
        <v>8.8888888888888892E-2</v>
      </c>
      <c r="AD63" s="214">
        <f t="shared" si="97"/>
        <v>1.35E-2</v>
      </c>
      <c r="AE63" s="136">
        <f t="shared" si="63"/>
        <v>119.77781183740703</v>
      </c>
      <c r="AF63" s="16">
        <f t="shared" si="98"/>
        <v>4.5000000000000001E-6</v>
      </c>
      <c r="AG63" s="49">
        <f t="shared" si="99"/>
        <v>1.7777777777777777</v>
      </c>
      <c r="AH63" s="3">
        <f t="shared" si="100"/>
        <v>1.4999999999999999E-4</v>
      </c>
      <c r="AI63" s="49">
        <f t="shared" si="101"/>
        <v>1.1137494080606007E-2</v>
      </c>
      <c r="AJ63" s="49">
        <f t="shared" si="102"/>
        <v>0.25298221281346955</v>
      </c>
      <c r="AK63" s="49">
        <f t="shared" si="103"/>
        <v>4.9999999999999996E-2</v>
      </c>
      <c r="AL63" s="3">
        <f t="shared" si="104"/>
        <v>0.01</v>
      </c>
      <c r="AM63" s="50">
        <f t="shared" si="64"/>
        <v>2.0425340536718699</v>
      </c>
      <c r="AN63" s="3">
        <f t="shared" si="105"/>
        <v>2.5555555555555554</v>
      </c>
      <c r="AO63" s="3">
        <f t="shared" si="106"/>
        <v>2.1999999999999998E-4</v>
      </c>
      <c r="AP63" s="3">
        <f t="shared" si="65"/>
        <v>1.1137494080606007E-2</v>
      </c>
      <c r="AQ63" s="3">
        <f t="shared" si="66"/>
        <v>0.25298221281346955</v>
      </c>
      <c r="AR63" s="3">
        <f t="shared" si="107"/>
        <v>4.9999999999999996E-2</v>
      </c>
      <c r="AS63" s="214">
        <f t="shared" si="108"/>
        <v>1.35E-2</v>
      </c>
      <c r="AT63" s="50">
        <f t="shared" si="67"/>
        <v>2.8201508619345872</v>
      </c>
      <c r="AU63" s="16">
        <f t="shared" si="109"/>
        <v>4.5000000000000001E-6</v>
      </c>
      <c r="AV63" s="49">
        <f t="shared" si="110"/>
        <v>33.333333333333329</v>
      </c>
      <c r="AW63" s="3">
        <f t="shared" si="111"/>
        <v>8.0000000000000002E-3</v>
      </c>
      <c r="AX63" s="49">
        <f t="shared" si="112"/>
        <v>0.88888888888888584</v>
      </c>
      <c r="AY63" s="49">
        <f t="shared" si="113"/>
        <v>168.25529186138476</v>
      </c>
      <c r="AZ63" s="49">
        <f t="shared" si="114"/>
        <v>8.8888888888888892E-2</v>
      </c>
      <c r="BA63" s="3">
        <f t="shared" si="115"/>
        <v>0.01</v>
      </c>
      <c r="BB63" s="50">
        <f t="shared" si="68"/>
        <v>202.47753399997697</v>
      </c>
      <c r="BC63" s="3">
        <f t="shared" si="116"/>
        <v>41.111111111111107</v>
      </c>
      <c r="BD63" s="3">
        <f t="shared" si="117"/>
        <v>8.6999999999999994E-3</v>
      </c>
      <c r="BE63" s="3">
        <f t="shared" si="69"/>
        <v>0.88888888888888584</v>
      </c>
      <c r="BF63" s="3">
        <f t="shared" si="70"/>
        <v>168.25529186138476</v>
      </c>
      <c r="BG63" s="3">
        <f t="shared" si="118"/>
        <v>8.8888888888888892E-2</v>
      </c>
      <c r="BH63" s="214">
        <f t="shared" si="119"/>
        <v>1.35E-2</v>
      </c>
      <c r="BI63" s="50">
        <f t="shared" si="71"/>
        <v>210.2553112644022</v>
      </c>
      <c r="BJ63" s="16">
        <f t="shared" si="120"/>
        <v>4.5000000000000001E-6</v>
      </c>
      <c r="BK63" s="49">
        <f t="shared" si="121"/>
        <v>33.333333333333329</v>
      </c>
      <c r="BL63" s="3">
        <f t="shared" si="122"/>
        <v>1E-3</v>
      </c>
      <c r="BM63" s="49">
        <f t="shared" si="123"/>
        <v>0.22222222222222146</v>
      </c>
      <c r="BN63" s="49">
        <f t="shared" si="124"/>
        <v>8</v>
      </c>
      <c r="BO63" s="49">
        <f t="shared" si="125"/>
        <v>4.9999999999999996E-2</v>
      </c>
      <c r="BP63" s="3">
        <f t="shared" si="126"/>
        <v>0.01</v>
      </c>
      <c r="BQ63" s="50">
        <f t="shared" si="72"/>
        <v>41.55558685099831</v>
      </c>
      <c r="BR63" s="3">
        <f t="shared" si="127"/>
        <v>37.222222222222214</v>
      </c>
      <c r="BS63" s="3">
        <f t="shared" si="128"/>
        <v>1.175E-3</v>
      </c>
      <c r="BT63" s="3">
        <f t="shared" si="73"/>
        <v>0.22222222222222146</v>
      </c>
      <c r="BU63" s="3">
        <f t="shared" si="74"/>
        <v>8</v>
      </c>
      <c r="BV63" s="3">
        <f t="shared" si="129"/>
        <v>4.9999999999999996E-2</v>
      </c>
      <c r="BW63" s="214">
        <f t="shared" si="130"/>
        <v>1.35E-2</v>
      </c>
      <c r="BX63" s="50">
        <f t="shared" si="75"/>
        <v>45.44447397093316</v>
      </c>
      <c r="BY63" s="16">
        <f t="shared" si="131"/>
        <v>4.5000000000000001E-6</v>
      </c>
      <c r="BZ63" s="49">
        <f t="shared" si="132"/>
        <v>5.5555555555555554</v>
      </c>
      <c r="CA63" s="3">
        <f t="shared" si="133"/>
        <v>2E-3</v>
      </c>
      <c r="CB63" s="49">
        <f t="shared" si="134"/>
        <v>0.22222222222222146</v>
      </c>
      <c r="CC63" s="49">
        <f t="shared" si="135"/>
        <v>0</v>
      </c>
      <c r="CD63" s="49">
        <f t="shared" si="136"/>
        <v>9.9999999999999992E-2</v>
      </c>
      <c r="CE63" s="3">
        <f t="shared" si="137"/>
        <v>0.01</v>
      </c>
      <c r="CF63" s="50">
        <f t="shared" si="76"/>
        <v>5.7786520962403252</v>
      </c>
      <c r="CG63" s="3">
        <f t="shared" si="138"/>
        <v>7.5</v>
      </c>
      <c r="CH63" s="3">
        <f t="shared" si="139"/>
        <v>2.0874999999999999E-3</v>
      </c>
      <c r="CI63" s="3">
        <f t="shared" si="77"/>
        <v>0.22222222222222146</v>
      </c>
      <c r="CJ63" s="3">
        <f t="shared" si="78"/>
        <v>0</v>
      </c>
      <c r="CK63" s="3">
        <f t="shared" si="140"/>
        <v>9.9999999999999992E-2</v>
      </c>
      <c r="CL63" s="214">
        <f t="shared" si="141"/>
        <v>1.35E-2</v>
      </c>
      <c r="CM63" s="50">
        <f t="shared" si="79"/>
        <v>7.7228817585820222</v>
      </c>
      <c r="CO63" s="22" t="s">
        <v>218</v>
      </c>
      <c r="CP63" s="24">
        <v>40</v>
      </c>
      <c r="CQ63" s="24">
        <v>-40</v>
      </c>
      <c r="CR63" s="24">
        <f t="shared" si="143"/>
        <v>4</v>
      </c>
      <c r="CS63" s="24"/>
    </row>
    <row r="64" spans="1:100">
      <c r="P64" s="116">
        <f t="shared" si="85"/>
        <v>9.5000000000000011E-4</v>
      </c>
      <c r="Q64" s="135">
        <f t="shared" si="87"/>
        <v>4.7500000000000011E-6</v>
      </c>
      <c r="R64" s="49">
        <f t="shared" si="88"/>
        <v>105.26315789473682</v>
      </c>
      <c r="S64" s="3">
        <f t="shared" si="89"/>
        <v>8.0000000000000002E-3</v>
      </c>
      <c r="T64" s="49">
        <f t="shared" si="90"/>
        <v>0.84210526315789169</v>
      </c>
      <c r="U64" s="49">
        <f t="shared" si="91"/>
        <v>0</v>
      </c>
      <c r="V64" s="49">
        <f t="shared" si="92"/>
        <v>8.4210526315789472E-2</v>
      </c>
      <c r="W64" s="3">
        <f t="shared" si="93"/>
        <v>0.01</v>
      </c>
      <c r="X64" s="50">
        <f t="shared" si="60"/>
        <v>106.10529734758218</v>
      </c>
      <c r="Y64" s="3">
        <f t="shared" si="94"/>
        <v>112.6315789473684</v>
      </c>
      <c r="Z64" s="3">
        <f t="shared" si="95"/>
        <v>8.6999999999999994E-3</v>
      </c>
      <c r="AA64" s="3">
        <f t="shared" si="61"/>
        <v>0.84210526315789169</v>
      </c>
      <c r="AB64" s="3">
        <f t="shared" si="62"/>
        <v>0</v>
      </c>
      <c r="AC64" s="3">
        <f t="shared" si="96"/>
        <v>8.4210526315789472E-2</v>
      </c>
      <c r="AD64" s="214">
        <f t="shared" si="97"/>
        <v>1.35E-2</v>
      </c>
      <c r="AE64" s="136">
        <f t="shared" si="63"/>
        <v>113.47371659403329</v>
      </c>
      <c r="AF64" s="16">
        <f t="shared" si="98"/>
        <v>4.7500000000000011E-6</v>
      </c>
      <c r="AG64" s="49">
        <f t="shared" si="99"/>
        <v>1.6842105263157889</v>
      </c>
      <c r="AH64" s="3">
        <f t="shared" si="100"/>
        <v>1.4999999999999999E-4</v>
      </c>
      <c r="AI64" s="49">
        <f t="shared" si="101"/>
        <v>1.0551310181626743E-2</v>
      </c>
      <c r="AJ64" s="49">
        <f t="shared" si="102"/>
        <v>0.23966735950749743</v>
      </c>
      <c r="AK64" s="49">
        <f t="shared" si="103"/>
        <v>4.7368421052631574E-2</v>
      </c>
      <c r="AL64" s="3">
        <f t="shared" si="104"/>
        <v>0.01</v>
      </c>
      <c r="AM64" s="50">
        <f t="shared" si="64"/>
        <v>1.9350349103231277</v>
      </c>
      <c r="AN64" s="3">
        <f t="shared" si="105"/>
        <v>2.4210526315789469</v>
      </c>
      <c r="AO64" s="3">
        <f t="shared" si="106"/>
        <v>2.1999999999999998E-4</v>
      </c>
      <c r="AP64" s="3">
        <f t="shared" si="65"/>
        <v>1.0551310181626743E-2</v>
      </c>
      <c r="AQ64" s="3">
        <f t="shared" si="66"/>
        <v>0.23966735950749743</v>
      </c>
      <c r="AR64" s="3">
        <f t="shared" si="107"/>
        <v>4.7368421052631574E-2</v>
      </c>
      <c r="AS64" s="214">
        <f t="shared" si="108"/>
        <v>1.35E-2</v>
      </c>
      <c r="AT64" s="50">
        <f t="shared" si="67"/>
        <v>2.6717253658809006</v>
      </c>
      <c r="AU64" s="16">
        <f t="shared" si="109"/>
        <v>4.7500000000000011E-6</v>
      </c>
      <c r="AV64" s="49">
        <f t="shared" si="110"/>
        <v>31.578947368421044</v>
      </c>
      <c r="AW64" s="3">
        <f t="shared" si="111"/>
        <v>8.0000000000000002E-3</v>
      </c>
      <c r="AX64" s="49">
        <f t="shared" si="112"/>
        <v>0.84210526315789169</v>
      </c>
      <c r="AY64" s="49">
        <f t="shared" si="113"/>
        <v>159.39975018446972</v>
      </c>
      <c r="AZ64" s="49">
        <f t="shared" si="114"/>
        <v>8.4210526315789472E-2</v>
      </c>
      <c r="BA64" s="3">
        <f t="shared" si="115"/>
        <v>0.01</v>
      </c>
      <c r="BB64" s="50">
        <f t="shared" si="68"/>
        <v>191.82082172800261</v>
      </c>
      <c r="BC64" s="3">
        <f t="shared" si="116"/>
        <v>38.947368421052623</v>
      </c>
      <c r="BD64" s="3">
        <f t="shared" si="117"/>
        <v>8.6999999999999994E-3</v>
      </c>
      <c r="BE64" s="3">
        <f t="shared" si="69"/>
        <v>0.84210526315789169</v>
      </c>
      <c r="BF64" s="3">
        <f t="shared" si="70"/>
        <v>159.39975018446972</v>
      </c>
      <c r="BG64" s="3">
        <f t="shared" si="118"/>
        <v>8.4210526315789472E-2</v>
      </c>
      <c r="BH64" s="214">
        <f t="shared" si="119"/>
        <v>1.35E-2</v>
      </c>
      <c r="BI64" s="50">
        <f t="shared" si="71"/>
        <v>199.1892423168479</v>
      </c>
      <c r="BJ64" s="16">
        <f t="shared" si="120"/>
        <v>4.7500000000000011E-6</v>
      </c>
      <c r="BK64" s="49">
        <f t="shared" si="121"/>
        <v>31.578947368421044</v>
      </c>
      <c r="BL64" s="3">
        <f t="shared" si="122"/>
        <v>1E-3</v>
      </c>
      <c r="BM64" s="49">
        <f t="shared" si="123"/>
        <v>0.21052631578947292</v>
      </c>
      <c r="BN64" s="49">
        <f t="shared" si="124"/>
        <v>7.5789473684210513</v>
      </c>
      <c r="BO64" s="49">
        <f t="shared" si="125"/>
        <v>4.7368421052631574E-2</v>
      </c>
      <c r="BP64" s="3">
        <f t="shared" si="126"/>
        <v>0.01</v>
      </c>
      <c r="BQ64" s="50">
        <f t="shared" si="72"/>
        <v>39.368450832419065</v>
      </c>
      <c r="BR64" s="3">
        <f t="shared" si="127"/>
        <v>35.263157894736835</v>
      </c>
      <c r="BS64" s="3">
        <f t="shared" si="128"/>
        <v>1.175E-3</v>
      </c>
      <c r="BT64" s="3">
        <f t="shared" si="73"/>
        <v>0.21052631578947292</v>
      </c>
      <c r="BU64" s="3">
        <f t="shared" si="74"/>
        <v>7.5789473684210513</v>
      </c>
      <c r="BV64" s="3">
        <f t="shared" si="129"/>
        <v>4.7368421052631574E-2</v>
      </c>
      <c r="BW64" s="214">
        <f t="shared" si="130"/>
        <v>1.35E-2</v>
      </c>
      <c r="BX64" s="50">
        <f t="shared" si="75"/>
        <v>43.052659769989972</v>
      </c>
      <c r="BY64" s="16">
        <f t="shared" si="131"/>
        <v>4.7500000000000011E-6</v>
      </c>
      <c r="BZ64" s="49">
        <f t="shared" si="132"/>
        <v>5.2631578947368407</v>
      </c>
      <c r="CA64" s="3">
        <f t="shared" si="133"/>
        <v>2E-3</v>
      </c>
      <c r="CB64" s="49">
        <f t="shared" si="134"/>
        <v>0.21052631578947292</v>
      </c>
      <c r="CC64" s="49">
        <f t="shared" si="135"/>
        <v>0</v>
      </c>
      <c r="CD64" s="49">
        <f t="shared" si="136"/>
        <v>9.4736842105263147E-2</v>
      </c>
      <c r="CE64" s="3">
        <f t="shared" si="137"/>
        <v>0.01</v>
      </c>
      <c r="CF64" s="50">
        <f t="shared" si="76"/>
        <v>5.4745134857644793</v>
      </c>
      <c r="CG64" s="3">
        <f t="shared" si="138"/>
        <v>7.1052631578947345</v>
      </c>
      <c r="CH64" s="3">
        <f t="shared" si="139"/>
        <v>2.0874999999999999E-3</v>
      </c>
      <c r="CI64" s="3">
        <f t="shared" si="77"/>
        <v>0.21052631578947292</v>
      </c>
      <c r="CJ64" s="3">
        <f t="shared" si="78"/>
        <v>0</v>
      </c>
      <c r="CK64" s="3">
        <f t="shared" si="140"/>
        <v>9.4736842105263147E-2</v>
      </c>
      <c r="CL64" s="214">
        <f t="shared" si="141"/>
        <v>1.35E-2</v>
      </c>
      <c r="CM64" s="50">
        <f t="shared" si="79"/>
        <v>7.3164156046644164</v>
      </c>
      <c r="CO64" s="22" t="s">
        <v>236</v>
      </c>
      <c r="CP64" s="24">
        <v>80</v>
      </c>
      <c r="CQ64" s="24">
        <v>-80</v>
      </c>
      <c r="CR64" s="24">
        <f t="shared" si="143"/>
        <v>8</v>
      </c>
      <c r="CS64" s="24"/>
    </row>
    <row r="65" spans="16:97">
      <c r="P65" s="116">
        <f t="shared" si="85"/>
        <v>1E-3</v>
      </c>
      <c r="Q65" s="135">
        <f t="shared" si="87"/>
        <v>5.0000000000000004E-6</v>
      </c>
      <c r="R65" s="49">
        <f t="shared" si="88"/>
        <v>100</v>
      </c>
      <c r="S65" s="3">
        <f t="shared" si="89"/>
        <v>8.0000000000000002E-3</v>
      </c>
      <c r="T65" s="49">
        <f t="shared" si="90"/>
        <v>0.79999999999999716</v>
      </c>
      <c r="U65" s="49">
        <f t="shared" si="91"/>
        <v>0</v>
      </c>
      <c r="V65" s="49">
        <f t="shared" si="92"/>
        <v>0.08</v>
      </c>
      <c r="W65" s="3">
        <f t="shared" si="93"/>
        <v>0.01</v>
      </c>
      <c r="X65" s="50">
        <f t="shared" si="60"/>
        <v>100.80003255951854</v>
      </c>
      <c r="Y65" s="3">
        <f t="shared" si="94"/>
        <v>107</v>
      </c>
      <c r="Z65" s="3">
        <f t="shared" si="95"/>
        <v>8.6999999999999994E-3</v>
      </c>
      <c r="AA65" s="3">
        <f t="shared" si="61"/>
        <v>0.79999999999999716</v>
      </c>
      <c r="AB65" s="3">
        <f t="shared" si="62"/>
        <v>0</v>
      </c>
      <c r="AC65" s="3">
        <f t="shared" si="96"/>
        <v>0.08</v>
      </c>
      <c r="AD65" s="214">
        <f t="shared" si="97"/>
        <v>1.35E-2</v>
      </c>
      <c r="AE65" s="136">
        <f t="shared" si="63"/>
        <v>107.80003088097888</v>
      </c>
      <c r="AF65" s="16">
        <f t="shared" si="98"/>
        <v>5.0000000000000004E-6</v>
      </c>
      <c r="AG65" s="49">
        <f t="shared" si="99"/>
        <v>1.5999999999999999</v>
      </c>
      <c r="AH65" s="3">
        <f t="shared" si="100"/>
        <v>1.4999999999999999E-4</v>
      </c>
      <c r="AI65" s="49">
        <f t="shared" si="101"/>
        <v>1.0023744672545408E-2</v>
      </c>
      <c r="AJ65" s="49">
        <f t="shared" si="102"/>
        <v>0.2276839915321226</v>
      </c>
      <c r="AK65" s="49">
        <f t="shared" si="103"/>
        <v>4.5000000000000005E-2</v>
      </c>
      <c r="AL65" s="3">
        <f t="shared" si="104"/>
        <v>0.01</v>
      </c>
      <c r="AM65" s="50">
        <f t="shared" si="64"/>
        <v>1.8382858173326817</v>
      </c>
      <c r="AN65" s="3">
        <f t="shared" si="105"/>
        <v>2.2999999999999998</v>
      </c>
      <c r="AO65" s="3">
        <f t="shared" si="106"/>
        <v>2.1999999999999998E-4</v>
      </c>
      <c r="AP65" s="3">
        <f t="shared" si="65"/>
        <v>1.0023744672545408E-2</v>
      </c>
      <c r="AQ65" s="3">
        <f t="shared" si="66"/>
        <v>0.2276839915321226</v>
      </c>
      <c r="AR65" s="3">
        <f t="shared" si="107"/>
        <v>4.5000000000000005E-2</v>
      </c>
      <c r="AS65" s="214">
        <f t="shared" si="108"/>
        <v>1.35E-2</v>
      </c>
      <c r="AT65" s="50">
        <f t="shared" si="67"/>
        <v>2.5381425989871054</v>
      </c>
      <c r="AU65" s="16">
        <f t="shared" si="109"/>
        <v>5.0000000000000004E-6</v>
      </c>
      <c r="AV65" s="49">
        <f t="shared" si="110"/>
        <v>29.999999999999996</v>
      </c>
      <c r="AW65" s="3">
        <f t="shared" si="111"/>
        <v>8.0000000000000002E-3</v>
      </c>
      <c r="AX65" s="49">
        <f t="shared" si="112"/>
        <v>0.79999999999999716</v>
      </c>
      <c r="AY65" s="49">
        <f t="shared" si="113"/>
        <v>151.42976267524628</v>
      </c>
      <c r="AZ65" s="49">
        <f t="shared" si="114"/>
        <v>0.08</v>
      </c>
      <c r="BA65" s="3">
        <f t="shared" si="115"/>
        <v>0.01</v>
      </c>
      <c r="BB65" s="50">
        <f t="shared" si="68"/>
        <v>182.2297806854757</v>
      </c>
      <c r="BC65" s="3">
        <f t="shared" si="116"/>
        <v>36.999999999999993</v>
      </c>
      <c r="BD65" s="3">
        <f t="shared" si="117"/>
        <v>8.6999999999999994E-3</v>
      </c>
      <c r="BE65" s="3">
        <f t="shared" si="69"/>
        <v>0.79999999999999716</v>
      </c>
      <c r="BF65" s="3">
        <f t="shared" si="70"/>
        <v>151.42976267524628</v>
      </c>
      <c r="BG65" s="3">
        <f t="shared" si="118"/>
        <v>0.08</v>
      </c>
      <c r="BH65" s="214">
        <f t="shared" si="119"/>
        <v>1.35E-2</v>
      </c>
      <c r="BI65" s="50">
        <f t="shared" si="71"/>
        <v>189.2297802674569</v>
      </c>
      <c r="BJ65" s="16">
        <f t="shared" si="120"/>
        <v>5.0000000000000004E-6</v>
      </c>
      <c r="BK65" s="49">
        <f t="shared" si="121"/>
        <v>29.999999999999996</v>
      </c>
      <c r="BL65" s="3">
        <f t="shared" si="122"/>
        <v>1E-3</v>
      </c>
      <c r="BM65" s="49">
        <f t="shared" si="123"/>
        <v>0.19999999999999929</v>
      </c>
      <c r="BN65" s="49">
        <f t="shared" si="124"/>
        <v>7.1999999999999993</v>
      </c>
      <c r="BO65" s="49">
        <f t="shared" si="125"/>
        <v>4.5000000000000005E-2</v>
      </c>
      <c r="BP65" s="3">
        <f t="shared" si="126"/>
        <v>0.01</v>
      </c>
      <c r="BQ65" s="50">
        <f t="shared" si="72"/>
        <v>37.400028422449083</v>
      </c>
      <c r="BR65" s="3">
        <f t="shared" si="127"/>
        <v>33.499999999999993</v>
      </c>
      <c r="BS65" s="3">
        <f t="shared" si="128"/>
        <v>1.175E-3</v>
      </c>
      <c r="BT65" s="3">
        <f t="shared" si="73"/>
        <v>0.19999999999999929</v>
      </c>
      <c r="BU65" s="3">
        <f t="shared" si="74"/>
        <v>7.1999999999999993</v>
      </c>
      <c r="BV65" s="3">
        <f t="shared" si="129"/>
        <v>4.5000000000000005E-2</v>
      </c>
      <c r="BW65" s="214">
        <f t="shared" si="130"/>
        <v>1.35E-2</v>
      </c>
      <c r="BX65" s="50">
        <f t="shared" si="75"/>
        <v>40.900027000365469</v>
      </c>
      <c r="BY65" s="16">
        <f t="shared" si="131"/>
        <v>5.0000000000000004E-6</v>
      </c>
      <c r="BZ65" s="49">
        <f t="shared" si="132"/>
        <v>4.9999999999999991</v>
      </c>
      <c r="CA65" s="3">
        <f t="shared" si="133"/>
        <v>2E-3</v>
      </c>
      <c r="CB65" s="49">
        <f t="shared" si="134"/>
        <v>0.19999999999999929</v>
      </c>
      <c r="CC65" s="49">
        <f t="shared" si="135"/>
        <v>0</v>
      </c>
      <c r="CD65" s="49">
        <f t="shared" si="136"/>
        <v>9.0000000000000011E-2</v>
      </c>
      <c r="CE65" s="3">
        <f t="shared" si="137"/>
        <v>0.01</v>
      </c>
      <c r="CF65" s="50">
        <f t="shared" si="76"/>
        <v>5.2007887863284727</v>
      </c>
      <c r="CG65" s="3">
        <f t="shared" si="138"/>
        <v>6.7499999999999991</v>
      </c>
      <c r="CH65" s="3">
        <f t="shared" si="139"/>
        <v>2.0874999999999999E-3</v>
      </c>
      <c r="CI65" s="3">
        <f t="shared" si="77"/>
        <v>0.19999999999999929</v>
      </c>
      <c r="CJ65" s="3">
        <f t="shared" si="78"/>
        <v>0</v>
      </c>
      <c r="CK65" s="3">
        <f t="shared" si="140"/>
        <v>9.0000000000000011E-2</v>
      </c>
      <c r="CL65" s="214">
        <f t="shared" si="141"/>
        <v>1.35E-2</v>
      </c>
      <c r="CM65" s="50">
        <f t="shared" si="79"/>
        <v>6.9505961332576529</v>
      </c>
      <c r="CO65" s="22" t="s">
        <v>230</v>
      </c>
      <c r="CP65" s="24">
        <v>160</v>
      </c>
      <c r="CQ65" s="24">
        <v>-160</v>
      </c>
      <c r="CR65" s="24">
        <f t="shared" si="143"/>
        <v>16</v>
      </c>
      <c r="CS65" s="24"/>
    </row>
    <row r="66" spans="16:97">
      <c r="P66" s="116">
        <f t="shared" si="85"/>
        <v>1.5E-3</v>
      </c>
      <c r="Q66" s="135">
        <f t="shared" si="87"/>
        <v>7.4999999999999993E-6</v>
      </c>
      <c r="R66" s="49">
        <f t="shared" si="88"/>
        <v>66.666666666666671</v>
      </c>
      <c r="S66" s="3">
        <f t="shared" si="89"/>
        <v>8.0000000000000002E-3</v>
      </c>
      <c r="T66" s="49">
        <f t="shared" si="90"/>
        <v>0.53333333333333155</v>
      </c>
      <c r="U66" s="49">
        <f t="shared" si="91"/>
        <v>0</v>
      </c>
      <c r="V66" s="49">
        <f t="shared" si="92"/>
        <v>5.3333333333333337E-2</v>
      </c>
      <c r="W66" s="3">
        <f t="shared" si="93"/>
        <v>0.01</v>
      </c>
      <c r="X66" s="50">
        <f t="shared" si="60"/>
        <v>67.200022384255533</v>
      </c>
      <c r="Y66" s="3">
        <f t="shared" si="94"/>
        <v>71.333333333333343</v>
      </c>
      <c r="Z66" s="3">
        <f t="shared" si="95"/>
        <v>8.6999999999999994E-3</v>
      </c>
      <c r="AA66" s="3">
        <f t="shared" si="61"/>
        <v>0.53333333333333155</v>
      </c>
      <c r="AB66" s="3">
        <f t="shared" si="62"/>
        <v>0</v>
      </c>
      <c r="AC66" s="3">
        <f t="shared" si="96"/>
        <v>5.3333333333333337E-2</v>
      </c>
      <c r="AD66" s="214">
        <f t="shared" si="97"/>
        <v>1.35E-2</v>
      </c>
      <c r="AE66" s="136">
        <f t="shared" si="63"/>
        <v>71.866688250970796</v>
      </c>
      <c r="AF66" s="16">
        <f t="shared" si="98"/>
        <v>7.4999999999999993E-6</v>
      </c>
      <c r="AG66" s="49">
        <f t="shared" si="99"/>
        <v>1.0666666666666667</v>
      </c>
      <c r="AH66" s="3">
        <f t="shared" si="100"/>
        <v>1.4999999999999999E-4</v>
      </c>
      <c r="AI66" s="49">
        <f t="shared" si="101"/>
        <v>6.6824964483636054E-3</v>
      </c>
      <c r="AJ66" s="49">
        <f t="shared" si="102"/>
        <v>0.15178932768808176</v>
      </c>
      <c r="AK66" s="49">
        <f t="shared" si="103"/>
        <v>3.0000000000000002E-2</v>
      </c>
      <c r="AL66" s="3">
        <f t="shared" si="104"/>
        <v>0.01</v>
      </c>
      <c r="AM66" s="50">
        <f t="shared" si="64"/>
        <v>1.2255465491556521</v>
      </c>
      <c r="AN66" s="3">
        <f t="shared" si="105"/>
        <v>1.5333333333333332</v>
      </c>
      <c r="AO66" s="3">
        <f t="shared" si="106"/>
        <v>2.1999999999999998E-4</v>
      </c>
      <c r="AP66" s="3">
        <f t="shared" si="65"/>
        <v>6.6824964483636054E-3</v>
      </c>
      <c r="AQ66" s="3">
        <f t="shared" si="66"/>
        <v>0.15178932768808176</v>
      </c>
      <c r="AR66" s="3">
        <f t="shared" si="107"/>
        <v>3.0000000000000002E-2</v>
      </c>
      <c r="AS66" s="214">
        <f t="shared" si="108"/>
        <v>1.35E-2</v>
      </c>
      <c r="AT66" s="50">
        <f t="shared" si="67"/>
        <v>1.6921249922039867</v>
      </c>
      <c r="AU66" s="16">
        <f t="shared" si="109"/>
        <v>7.4999999999999993E-6</v>
      </c>
      <c r="AV66" s="49">
        <f t="shared" si="110"/>
        <v>20</v>
      </c>
      <c r="AW66" s="3">
        <f t="shared" si="111"/>
        <v>8.0000000000000002E-3</v>
      </c>
      <c r="AX66" s="49">
        <f t="shared" si="112"/>
        <v>0.53333333333333155</v>
      </c>
      <c r="AY66" s="49">
        <f t="shared" si="113"/>
        <v>100.95317511683086</v>
      </c>
      <c r="AZ66" s="49">
        <f t="shared" si="114"/>
        <v>5.3333333333333337E-2</v>
      </c>
      <c r="BA66" s="3">
        <f t="shared" si="115"/>
        <v>0.01</v>
      </c>
      <c r="BB66" s="50">
        <f t="shared" si="68"/>
        <v>121.48652083196828</v>
      </c>
      <c r="BC66" s="3">
        <f t="shared" si="116"/>
        <v>24.666666666666668</v>
      </c>
      <c r="BD66" s="3">
        <f t="shared" si="117"/>
        <v>8.6999999999999994E-3</v>
      </c>
      <c r="BE66" s="3">
        <f t="shared" si="69"/>
        <v>0.53333333333333155</v>
      </c>
      <c r="BF66" s="3">
        <f t="shared" si="70"/>
        <v>100.95317511683086</v>
      </c>
      <c r="BG66" s="3">
        <f t="shared" si="118"/>
        <v>5.3333333333333337E-2</v>
      </c>
      <c r="BH66" s="214">
        <f t="shared" si="119"/>
        <v>1.35E-2</v>
      </c>
      <c r="BI66" s="50">
        <f t="shared" si="71"/>
        <v>126.15318741293159</v>
      </c>
      <c r="BJ66" s="16">
        <f t="shared" si="120"/>
        <v>7.4999999999999993E-6</v>
      </c>
      <c r="BK66" s="49">
        <f t="shared" si="121"/>
        <v>20</v>
      </c>
      <c r="BL66" s="3">
        <f t="shared" si="122"/>
        <v>1E-3</v>
      </c>
      <c r="BM66" s="49">
        <f t="shared" si="123"/>
        <v>0.13333333333333289</v>
      </c>
      <c r="BN66" s="49">
        <f t="shared" si="124"/>
        <v>4.8000000000000007</v>
      </c>
      <c r="BO66" s="49">
        <f t="shared" si="125"/>
        <v>3.0000000000000002E-2</v>
      </c>
      <c r="BP66" s="3">
        <f t="shared" si="126"/>
        <v>0.01</v>
      </c>
      <c r="BQ66" s="50">
        <f t="shared" si="72"/>
        <v>24.933353406854664</v>
      </c>
      <c r="BR66" s="3">
        <f t="shared" si="127"/>
        <v>22.333333333333332</v>
      </c>
      <c r="BS66" s="3">
        <f t="shared" si="128"/>
        <v>1.175E-3</v>
      </c>
      <c r="BT66" s="3">
        <f t="shared" si="73"/>
        <v>0.13333333333333289</v>
      </c>
      <c r="BU66" s="3">
        <f t="shared" si="74"/>
        <v>4.8000000000000007</v>
      </c>
      <c r="BV66" s="3">
        <f t="shared" si="129"/>
        <v>3.0000000000000002E-2</v>
      </c>
      <c r="BW66" s="214">
        <f t="shared" si="130"/>
        <v>1.35E-2</v>
      </c>
      <c r="BX66" s="50">
        <f t="shared" si="75"/>
        <v>27.266686537636655</v>
      </c>
      <c r="BY66" s="16">
        <f t="shared" si="131"/>
        <v>7.4999999999999993E-6</v>
      </c>
      <c r="BZ66" s="49">
        <f t="shared" si="132"/>
        <v>3.3333333333333335</v>
      </c>
      <c r="CA66" s="3">
        <f t="shared" si="133"/>
        <v>2E-3</v>
      </c>
      <c r="CB66" s="49">
        <f t="shared" si="134"/>
        <v>0.13333333333333289</v>
      </c>
      <c r="CC66" s="49">
        <f t="shared" si="135"/>
        <v>0</v>
      </c>
      <c r="CD66" s="49">
        <f t="shared" si="136"/>
        <v>6.0000000000000005E-2</v>
      </c>
      <c r="CE66" s="3">
        <f t="shared" si="137"/>
        <v>0.01</v>
      </c>
      <c r="CF66" s="50">
        <f t="shared" si="76"/>
        <v>3.4672008562784153</v>
      </c>
      <c r="CG66" s="3">
        <f t="shared" si="138"/>
        <v>4.5</v>
      </c>
      <c r="CH66" s="3">
        <f t="shared" si="139"/>
        <v>2.0874999999999999E-3</v>
      </c>
      <c r="CI66" s="3">
        <f t="shared" si="77"/>
        <v>0.13333333333333289</v>
      </c>
      <c r="CJ66" s="3">
        <f t="shared" si="78"/>
        <v>0</v>
      </c>
      <c r="CK66" s="3">
        <f t="shared" si="140"/>
        <v>6.0000000000000005E-2</v>
      </c>
      <c r="CL66" s="214">
        <f t="shared" si="141"/>
        <v>1.35E-2</v>
      </c>
      <c r="CM66" s="50">
        <f t="shared" si="79"/>
        <v>4.6337419420414445</v>
      </c>
      <c r="CO66" s="22" t="s">
        <v>224</v>
      </c>
      <c r="CP66" s="24">
        <v>320</v>
      </c>
      <c r="CQ66" s="24">
        <v>-320</v>
      </c>
      <c r="CR66" s="24">
        <f t="shared" si="143"/>
        <v>32</v>
      </c>
      <c r="CS66" s="24"/>
    </row>
    <row r="67" spans="16:97">
      <c r="P67" s="116">
        <f t="shared" si="85"/>
        <v>2E-3</v>
      </c>
      <c r="Q67" s="135">
        <f t="shared" si="87"/>
        <v>1.0000000000000001E-5</v>
      </c>
      <c r="R67" s="49">
        <f t="shared" si="88"/>
        <v>50</v>
      </c>
      <c r="S67" s="3">
        <f t="shared" si="89"/>
        <v>8.0000000000000002E-3</v>
      </c>
      <c r="T67" s="49">
        <f t="shared" si="90"/>
        <v>0.39999999999999858</v>
      </c>
      <c r="U67" s="49">
        <f t="shared" si="91"/>
        <v>0</v>
      </c>
      <c r="V67" s="49">
        <f t="shared" si="92"/>
        <v>0.04</v>
      </c>
      <c r="W67" s="3">
        <f t="shared" si="93"/>
        <v>0.01</v>
      </c>
      <c r="X67" s="50">
        <f t="shared" si="60"/>
        <v>50.400017499996963</v>
      </c>
      <c r="Y67" s="3">
        <f t="shared" si="94"/>
        <v>53.5</v>
      </c>
      <c r="Z67" s="3">
        <f t="shared" si="95"/>
        <v>8.6999999999999994E-3</v>
      </c>
      <c r="AA67" s="3">
        <f t="shared" si="61"/>
        <v>0.39999999999999858</v>
      </c>
      <c r="AB67" s="3">
        <f t="shared" si="62"/>
        <v>0</v>
      </c>
      <c r="AC67" s="3">
        <f t="shared" si="96"/>
        <v>0.04</v>
      </c>
      <c r="AD67" s="214">
        <f t="shared" si="97"/>
        <v>1.35E-2</v>
      </c>
      <c r="AE67" s="136">
        <f t="shared" si="63"/>
        <v>53.90001723506218</v>
      </c>
      <c r="AF67" s="16">
        <f t="shared" si="98"/>
        <v>1.0000000000000001E-5</v>
      </c>
      <c r="AG67" s="49">
        <f t="shared" si="99"/>
        <v>0.79999999999999993</v>
      </c>
      <c r="AH67" s="3">
        <f t="shared" si="100"/>
        <v>1.4999999999999999E-4</v>
      </c>
      <c r="AI67" s="49">
        <f t="shared" si="101"/>
        <v>5.0118723362727038E-3</v>
      </c>
      <c r="AJ67" s="49">
        <f t="shared" si="102"/>
        <v>0.1138419957660613</v>
      </c>
      <c r="AK67" s="49">
        <f t="shared" si="103"/>
        <v>2.2500000000000003E-2</v>
      </c>
      <c r="AL67" s="3">
        <f t="shared" si="104"/>
        <v>0.01</v>
      </c>
      <c r="AM67" s="50">
        <f t="shared" si="64"/>
        <v>0.91918371581888969</v>
      </c>
      <c r="AN67" s="3">
        <f t="shared" si="105"/>
        <v>1.1499999999999999</v>
      </c>
      <c r="AO67" s="3">
        <f t="shared" si="106"/>
        <v>2.1999999999999998E-4</v>
      </c>
      <c r="AP67" s="3">
        <f t="shared" si="65"/>
        <v>5.0118723362727038E-3</v>
      </c>
      <c r="AQ67" s="3">
        <f t="shared" si="66"/>
        <v>0.1138419957660613</v>
      </c>
      <c r="AR67" s="3">
        <f t="shared" si="107"/>
        <v>2.2500000000000003E-2</v>
      </c>
      <c r="AS67" s="214">
        <f t="shared" si="108"/>
        <v>1.35E-2</v>
      </c>
      <c r="AT67" s="50">
        <f t="shared" si="67"/>
        <v>1.2691251660093479</v>
      </c>
      <c r="AU67" s="16">
        <f t="shared" si="109"/>
        <v>1.0000000000000001E-5</v>
      </c>
      <c r="AV67" s="49">
        <f t="shared" si="110"/>
        <v>14.999999999999998</v>
      </c>
      <c r="AW67" s="3">
        <f t="shared" si="111"/>
        <v>8.0000000000000002E-3</v>
      </c>
      <c r="AX67" s="49">
        <f t="shared" si="112"/>
        <v>0.39999999999999858</v>
      </c>
      <c r="AY67" s="49">
        <f t="shared" si="113"/>
        <v>75.71488133762314</v>
      </c>
      <c r="AZ67" s="49">
        <f t="shared" si="114"/>
        <v>0.04</v>
      </c>
      <c r="BA67" s="3">
        <f t="shared" si="115"/>
        <v>0.01</v>
      </c>
      <c r="BB67" s="50">
        <f t="shared" si="68"/>
        <v>91.114891017709851</v>
      </c>
      <c r="BC67" s="3">
        <f t="shared" si="116"/>
        <v>18.499999999999996</v>
      </c>
      <c r="BD67" s="3">
        <f t="shared" si="117"/>
        <v>8.6999999999999994E-3</v>
      </c>
      <c r="BE67" s="3">
        <f t="shared" si="69"/>
        <v>0.39999999999999858</v>
      </c>
      <c r="BF67" s="3">
        <f t="shared" si="70"/>
        <v>75.71488133762314</v>
      </c>
      <c r="BG67" s="3">
        <f t="shared" si="118"/>
        <v>0.04</v>
      </c>
      <c r="BH67" s="214">
        <f t="shared" si="119"/>
        <v>1.35E-2</v>
      </c>
      <c r="BI67" s="50">
        <f t="shared" si="71"/>
        <v>94.61489115605697</v>
      </c>
      <c r="BJ67" s="16">
        <f t="shared" si="120"/>
        <v>1.0000000000000001E-5</v>
      </c>
      <c r="BK67" s="49">
        <f t="shared" si="121"/>
        <v>14.999999999999998</v>
      </c>
      <c r="BL67" s="3">
        <f t="shared" si="122"/>
        <v>1E-3</v>
      </c>
      <c r="BM67" s="49">
        <f t="shared" si="123"/>
        <v>9.9999999999999645E-2</v>
      </c>
      <c r="BN67" s="49">
        <f t="shared" si="124"/>
        <v>3.5999999999999996</v>
      </c>
      <c r="BO67" s="49">
        <f t="shared" si="125"/>
        <v>2.2500000000000003E-2</v>
      </c>
      <c r="BP67" s="3">
        <f t="shared" si="126"/>
        <v>0.01</v>
      </c>
      <c r="BQ67" s="50">
        <f t="shared" si="72"/>
        <v>18.700016236623963</v>
      </c>
      <c r="BR67" s="3">
        <f t="shared" si="127"/>
        <v>16.749999999999996</v>
      </c>
      <c r="BS67" s="3">
        <f t="shared" si="128"/>
        <v>1.175E-3</v>
      </c>
      <c r="BT67" s="3">
        <f t="shared" si="73"/>
        <v>9.9999999999999645E-2</v>
      </c>
      <c r="BU67" s="3">
        <f t="shared" si="74"/>
        <v>3.5999999999999996</v>
      </c>
      <c r="BV67" s="3">
        <f t="shared" si="129"/>
        <v>2.2500000000000003E-2</v>
      </c>
      <c r="BW67" s="214">
        <f t="shared" si="130"/>
        <v>1.35E-2</v>
      </c>
      <c r="BX67" s="50">
        <f t="shared" si="75"/>
        <v>20.450016867489985</v>
      </c>
      <c r="BY67" s="16">
        <f t="shared" si="131"/>
        <v>1.0000000000000001E-5</v>
      </c>
      <c r="BZ67" s="49">
        <f t="shared" si="132"/>
        <v>2.4999999999999996</v>
      </c>
      <c r="CA67" s="3">
        <f t="shared" si="133"/>
        <v>2E-3</v>
      </c>
      <c r="CB67" s="49">
        <f t="shared" si="134"/>
        <v>9.9999999999999645E-2</v>
      </c>
      <c r="CC67" s="49">
        <f t="shared" si="135"/>
        <v>0</v>
      </c>
      <c r="CD67" s="49">
        <f t="shared" si="136"/>
        <v>4.5000000000000005E-2</v>
      </c>
      <c r="CE67" s="3">
        <f t="shared" si="137"/>
        <v>0.01</v>
      </c>
      <c r="CF67" s="50">
        <f t="shared" si="76"/>
        <v>2.6004093908459867</v>
      </c>
      <c r="CG67" s="3">
        <f t="shared" si="138"/>
        <v>3.3749999999999996</v>
      </c>
      <c r="CH67" s="3">
        <f t="shared" si="139"/>
        <v>2.0874999999999999E-3</v>
      </c>
      <c r="CI67" s="3">
        <f t="shared" si="77"/>
        <v>9.9999999999999645E-2</v>
      </c>
      <c r="CJ67" s="3">
        <f t="shared" si="78"/>
        <v>0</v>
      </c>
      <c r="CK67" s="3">
        <f t="shared" si="140"/>
        <v>4.5000000000000005E-2</v>
      </c>
      <c r="CL67" s="214">
        <f t="shared" si="141"/>
        <v>1.35E-2</v>
      </c>
      <c r="CM67" s="50">
        <f t="shared" si="79"/>
        <v>3.4753182023602163</v>
      </c>
      <c r="CO67" s="22" t="s">
        <v>219</v>
      </c>
      <c r="CP67" s="24">
        <v>40</v>
      </c>
      <c r="CQ67" s="24">
        <v>-40</v>
      </c>
      <c r="CR67" s="24">
        <f t="shared" si="143"/>
        <v>4</v>
      </c>
      <c r="CS67" s="24"/>
    </row>
    <row r="68" spans="16:97">
      <c r="P68" s="116">
        <f t="shared" si="85"/>
        <v>2.5000000000000001E-3</v>
      </c>
      <c r="Q68" s="135">
        <f t="shared" si="87"/>
        <v>1.2500000000000001E-5</v>
      </c>
      <c r="R68" s="49">
        <f t="shared" si="88"/>
        <v>40</v>
      </c>
      <c r="S68" s="3">
        <f t="shared" si="89"/>
        <v>8.0000000000000002E-3</v>
      </c>
      <c r="T68" s="49">
        <f t="shared" si="90"/>
        <v>0.3199999999999989</v>
      </c>
      <c r="U68" s="49">
        <f t="shared" si="91"/>
        <v>0</v>
      </c>
      <c r="V68" s="49">
        <f t="shared" si="92"/>
        <v>3.2000000000000001E-2</v>
      </c>
      <c r="W68" s="3">
        <f t="shared" si="93"/>
        <v>0.01</v>
      </c>
      <c r="X68" s="50">
        <f t="shared" si="60"/>
        <v>40.320014732140166</v>
      </c>
      <c r="Y68" s="3">
        <f t="shared" si="94"/>
        <v>42.8</v>
      </c>
      <c r="Z68" s="3">
        <f t="shared" si="95"/>
        <v>8.6999999999999994E-3</v>
      </c>
      <c r="AA68" s="3">
        <f t="shared" si="61"/>
        <v>0.3199999999999989</v>
      </c>
      <c r="AB68" s="3">
        <f t="shared" si="62"/>
        <v>0</v>
      </c>
      <c r="AC68" s="3">
        <f t="shared" si="96"/>
        <v>3.2000000000000001E-2</v>
      </c>
      <c r="AD68" s="214">
        <f t="shared" si="97"/>
        <v>1.35E-2</v>
      </c>
      <c r="AE68" s="136">
        <f t="shared" si="63"/>
        <v>43.120014864793355</v>
      </c>
      <c r="AF68" s="16">
        <f t="shared" si="98"/>
        <v>1.2500000000000001E-5</v>
      </c>
      <c r="AG68" s="49">
        <f t="shared" si="99"/>
        <v>0.6399999999999999</v>
      </c>
      <c r="AH68" s="3">
        <f t="shared" si="100"/>
        <v>1.4999999999999999E-4</v>
      </c>
      <c r="AI68" s="49">
        <f t="shared" si="101"/>
        <v>4.0094978690181629E-3</v>
      </c>
      <c r="AJ68" s="49">
        <f t="shared" si="102"/>
        <v>9.1073596612849042E-2</v>
      </c>
      <c r="AK68" s="49">
        <f t="shared" si="103"/>
        <v>1.8000000000000002E-2</v>
      </c>
      <c r="AL68" s="3">
        <f t="shared" si="104"/>
        <v>0.01</v>
      </c>
      <c r="AM68" s="50">
        <f t="shared" si="64"/>
        <v>0.7353714559955653</v>
      </c>
      <c r="AN68" s="3">
        <f t="shared" si="105"/>
        <v>0.91999999999999993</v>
      </c>
      <c r="AO68" s="3">
        <f t="shared" si="106"/>
        <v>2.1999999999999998E-4</v>
      </c>
      <c r="AP68" s="3">
        <f t="shared" si="65"/>
        <v>4.0094978690181629E-3</v>
      </c>
      <c r="AQ68" s="3">
        <f t="shared" si="66"/>
        <v>9.1073596612849042E-2</v>
      </c>
      <c r="AR68" s="3">
        <f t="shared" si="107"/>
        <v>1.8000000000000002E-2</v>
      </c>
      <c r="AS68" s="214">
        <f t="shared" si="108"/>
        <v>1.35E-2</v>
      </c>
      <c r="AT68" s="50">
        <f t="shared" si="67"/>
        <v>1.0153324515166859</v>
      </c>
      <c r="AU68" s="16">
        <f t="shared" si="109"/>
        <v>1.2500000000000001E-5</v>
      </c>
      <c r="AV68" s="49">
        <f t="shared" si="110"/>
        <v>11.999999999999998</v>
      </c>
      <c r="AW68" s="3">
        <f t="shared" si="111"/>
        <v>8.0000000000000002E-3</v>
      </c>
      <c r="AX68" s="49">
        <f t="shared" si="112"/>
        <v>0.3199999999999989</v>
      </c>
      <c r="AY68" s="49">
        <f t="shared" si="113"/>
        <v>60.571905070098509</v>
      </c>
      <c r="AZ68" s="49">
        <f t="shared" si="114"/>
        <v>3.2000000000000001E-2</v>
      </c>
      <c r="BA68" s="3">
        <f t="shared" si="115"/>
        <v>0.01</v>
      </c>
      <c r="BB68" s="50">
        <f t="shared" si="68"/>
        <v>72.891913219151078</v>
      </c>
      <c r="BC68" s="3">
        <f t="shared" si="116"/>
        <v>14.799999999999997</v>
      </c>
      <c r="BD68" s="3">
        <f t="shared" si="117"/>
        <v>8.6999999999999994E-3</v>
      </c>
      <c r="BE68" s="3">
        <f t="shared" si="69"/>
        <v>0.3199999999999989</v>
      </c>
      <c r="BF68" s="3">
        <f t="shared" si="70"/>
        <v>60.571905070098509</v>
      </c>
      <c r="BG68" s="3">
        <f t="shared" si="118"/>
        <v>3.2000000000000001E-2</v>
      </c>
      <c r="BH68" s="214">
        <f t="shared" si="119"/>
        <v>1.35E-2</v>
      </c>
      <c r="BI68" s="50">
        <f t="shared" si="71"/>
        <v>75.691913538242659</v>
      </c>
      <c r="BJ68" s="16">
        <f t="shared" si="120"/>
        <v>1.2500000000000001E-5</v>
      </c>
      <c r="BK68" s="49">
        <f t="shared" si="121"/>
        <v>11.999999999999998</v>
      </c>
      <c r="BL68" s="3">
        <f t="shared" si="122"/>
        <v>1E-3</v>
      </c>
      <c r="BM68" s="49">
        <f t="shared" si="123"/>
        <v>7.9999999999999724E-2</v>
      </c>
      <c r="BN68" s="49">
        <f t="shared" si="124"/>
        <v>2.88</v>
      </c>
      <c r="BO68" s="49">
        <f t="shared" si="125"/>
        <v>1.8000000000000002E-2</v>
      </c>
      <c r="BP68" s="3">
        <f t="shared" si="126"/>
        <v>0.01</v>
      </c>
      <c r="BQ68" s="50">
        <f t="shared" si="72"/>
        <v>14.960014204538709</v>
      </c>
      <c r="BR68" s="3">
        <f t="shared" si="127"/>
        <v>13.399999999999999</v>
      </c>
      <c r="BS68" s="3">
        <f t="shared" si="128"/>
        <v>1.175E-3</v>
      </c>
      <c r="BT68" s="3">
        <f t="shared" si="73"/>
        <v>7.9999999999999724E-2</v>
      </c>
      <c r="BU68" s="3">
        <f t="shared" si="74"/>
        <v>2.88</v>
      </c>
      <c r="BV68" s="3">
        <f t="shared" si="129"/>
        <v>1.8000000000000002E-2</v>
      </c>
      <c r="BW68" s="214">
        <f t="shared" si="130"/>
        <v>1.35E-2</v>
      </c>
      <c r="BX68" s="50">
        <f t="shared" si="75"/>
        <v>16.360015514376048</v>
      </c>
      <c r="BY68" s="16">
        <f t="shared" si="131"/>
        <v>1.2500000000000001E-5</v>
      </c>
      <c r="BZ68" s="49">
        <f t="shared" si="132"/>
        <v>1.9999999999999998</v>
      </c>
      <c r="CA68" s="3">
        <f t="shared" si="133"/>
        <v>2E-3</v>
      </c>
      <c r="CB68" s="49">
        <f t="shared" si="134"/>
        <v>7.9999999999999724E-2</v>
      </c>
      <c r="CC68" s="49">
        <f t="shared" si="135"/>
        <v>0</v>
      </c>
      <c r="CD68" s="49">
        <f t="shared" si="136"/>
        <v>3.6000000000000004E-2</v>
      </c>
      <c r="CE68" s="3">
        <f t="shared" si="137"/>
        <v>0.01</v>
      </c>
      <c r="CF68" s="50">
        <f t="shared" si="76"/>
        <v>2.0803365112404286</v>
      </c>
      <c r="CG68" s="3">
        <f t="shared" si="138"/>
        <v>2.6999999999999997</v>
      </c>
      <c r="CH68" s="3">
        <f t="shared" si="139"/>
        <v>2.0874999999999999E-3</v>
      </c>
      <c r="CI68" s="3">
        <f t="shared" si="77"/>
        <v>7.9999999999999724E-2</v>
      </c>
      <c r="CJ68" s="3">
        <f t="shared" si="78"/>
        <v>0</v>
      </c>
      <c r="CK68" s="3">
        <f t="shared" si="140"/>
        <v>3.6000000000000004E-2</v>
      </c>
      <c r="CL68" s="214">
        <f t="shared" si="141"/>
        <v>1.35E-2</v>
      </c>
      <c r="CM68" s="50">
        <f t="shared" si="79"/>
        <v>2.7802666432657581</v>
      </c>
      <c r="CO68" s="22" t="s">
        <v>237</v>
      </c>
      <c r="CP68" s="24">
        <v>80</v>
      </c>
      <c r="CQ68" s="24">
        <v>-80</v>
      </c>
      <c r="CR68" s="24">
        <f t="shared" si="143"/>
        <v>8</v>
      </c>
      <c r="CS68" s="24"/>
    </row>
    <row r="69" spans="16:97">
      <c r="P69" s="116">
        <f t="shared" si="85"/>
        <v>3.0000000000000001E-3</v>
      </c>
      <c r="Q69" s="135">
        <f t="shared" si="87"/>
        <v>1.4999999999999999E-5</v>
      </c>
      <c r="R69" s="49">
        <f t="shared" si="88"/>
        <v>33.333333333333336</v>
      </c>
      <c r="S69" s="3">
        <f t="shared" si="89"/>
        <v>8.0000000000000002E-3</v>
      </c>
      <c r="T69" s="49">
        <f t="shared" si="90"/>
        <v>0.26666666666666577</v>
      </c>
      <c r="U69" s="49">
        <f t="shared" si="91"/>
        <v>0</v>
      </c>
      <c r="V69" s="49">
        <f t="shared" si="92"/>
        <v>2.6666666666666668E-2</v>
      </c>
      <c r="W69" s="3">
        <f t="shared" si="93"/>
        <v>0.01</v>
      </c>
      <c r="X69" s="50">
        <f t="shared" si="60"/>
        <v>33.600013022484248</v>
      </c>
      <c r="Y69" s="3">
        <f t="shared" si="94"/>
        <v>35.666666666666671</v>
      </c>
      <c r="Z69" s="3">
        <f t="shared" si="95"/>
        <v>8.6999999999999994E-3</v>
      </c>
      <c r="AA69" s="3">
        <f t="shared" si="61"/>
        <v>0.26666666666666577</v>
      </c>
      <c r="AB69" s="3">
        <f t="shared" si="62"/>
        <v>0</v>
      </c>
      <c r="AC69" s="3">
        <f t="shared" si="96"/>
        <v>2.6666666666666668E-2</v>
      </c>
      <c r="AD69" s="214">
        <f t="shared" si="97"/>
        <v>1.35E-2</v>
      </c>
      <c r="AE69" s="136">
        <f t="shared" si="63"/>
        <v>35.933346817344415</v>
      </c>
      <c r="AF69" s="16">
        <f t="shared" si="98"/>
        <v>1.4999999999999999E-5</v>
      </c>
      <c r="AG69" s="49">
        <f t="shared" si="99"/>
        <v>0.53333333333333333</v>
      </c>
      <c r="AH69" s="3">
        <f t="shared" si="100"/>
        <v>1.4999999999999999E-4</v>
      </c>
      <c r="AI69" s="49">
        <f t="shared" si="101"/>
        <v>3.3412482241818027E-3</v>
      </c>
      <c r="AJ69" s="49">
        <f t="shared" si="102"/>
        <v>7.589466384404088E-2</v>
      </c>
      <c r="AK69" s="49">
        <f t="shared" si="103"/>
        <v>1.5000000000000001E-2</v>
      </c>
      <c r="AL69" s="3">
        <f t="shared" si="104"/>
        <v>0.01</v>
      </c>
      <c r="AM69" s="50">
        <f t="shared" si="64"/>
        <v>0.61283448247616723</v>
      </c>
      <c r="AN69" s="3">
        <f t="shared" si="105"/>
        <v>0.76666666666666661</v>
      </c>
      <c r="AO69" s="3">
        <f t="shared" si="106"/>
        <v>2.1999999999999998E-4</v>
      </c>
      <c r="AP69" s="3">
        <f t="shared" si="65"/>
        <v>3.3412482241818027E-3</v>
      </c>
      <c r="AQ69" s="3">
        <f t="shared" si="66"/>
        <v>7.589466384404088E-2</v>
      </c>
      <c r="AR69" s="3">
        <f t="shared" si="107"/>
        <v>1.5000000000000001E-2</v>
      </c>
      <c r="AS69" s="214">
        <f t="shared" si="108"/>
        <v>1.35E-2</v>
      </c>
      <c r="AT69" s="50">
        <f t="shared" si="67"/>
        <v>0.84614329230357643</v>
      </c>
      <c r="AU69" s="16">
        <f t="shared" si="109"/>
        <v>1.4999999999999999E-5</v>
      </c>
      <c r="AV69" s="49">
        <f t="shared" si="110"/>
        <v>10</v>
      </c>
      <c r="AW69" s="3">
        <f t="shared" si="111"/>
        <v>8.0000000000000002E-3</v>
      </c>
      <c r="AX69" s="49">
        <f t="shared" si="112"/>
        <v>0.26666666666666577</v>
      </c>
      <c r="AY69" s="49">
        <f t="shared" si="113"/>
        <v>50.476587558415432</v>
      </c>
      <c r="AZ69" s="49">
        <f t="shared" si="114"/>
        <v>2.6666666666666668E-2</v>
      </c>
      <c r="BA69" s="3">
        <f t="shared" si="115"/>
        <v>0.01</v>
      </c>
      <c r="BB69" s="50">
        <f t="shared" si="68"/>
        <v>60.743261428442132</v>
      </c>
      <c r="BC69" s="3">
        <f t="shared" si="116"/>
        <v>12.333333333333334</v>
      </c>
      <c r="BD69" s="3">
        <f t="shared" si="117"/>
        <v>8.6999999999999994E-3</v>
      </c>
      <c r="BE69" s="3">
        <f t="shared" si="69"/>
        <v>0.26666666666666577</v>
      </c>
      <c r="BF69" s="3">
        <f t="shared" si="70"/>
        <v>50.476587558415432</v>
      </c>
      <c r="BG69" s="3">
        <f t="shared" si="118"/>
        <v>2.6666666666666668E-2</v>
      </c>
      <c r="BH69" s="214">
        <f t="shared" si="119"/>
        <v>1.35E-2</v>
      </c>
      <c r="BI69" s="50">
        <f t="shared" si="71"/>
        <v>63.076595239958536</v>
      </c>
      <c r="BJ69" s="16">
        <f t="shared" si="120"/>
        <v>1.4999999999999999E-5</v>
      </c>
      <c r="BK69" s="49">
        <f t="shared" si="121"/>
        <v>10</v>
      </c>
      <c r="BL69" s="3">
        <f t="shared" si="122"/>
        <v>1E-3</v>
      </c>
      <c r="BM69" s="49">
        <f t="shared" si="123"/>
        <v>6.6666666666666444E-2</v>
      </c>
      <c r="BN69" s="49">
        <f t="shared" si="124"/>
        <v>2.4000000000000004</v>
      </c>
      <c r="BO69" s="49">
        <f t="shared" si="125"/>
        <v>1.5000000000000001E-2</v>
      </c>
      <c r="BP69" s="3">
        <f t="shared" si="126"/>
        <v>0.01</v>
      </c>
      <c r="BQ69" s="50">
        <f t="shared" si="72"/>
        <v>12.466679741526121</v>
      </c>
      <c r="BR69" s="3">
        <f t="shared" si="127"/>
        <v>11.166666666666666</v>
      </c>
      <c r="BS69" s="3">
        <f t="shared" si="128"/>
        <v>1.175E-3</v>
      </c>
      <c r="BT69" s="3">
        <f t="shared" si="73"/>
        <v>6.6666666666666444E-2</v>
      </c>
      <c r="BU69" s="3">
        <f t="shared" si="74"/>
        <v>2.4000000000000004</v>
      </c>
      <c r="BV69" s="3">
        <f t="shared" si="129"/>
        <v>1.5000000000000001E-2</v>
      </c>
      <c r="BW69" s="214">
        <f t="shared" si="130"/>
        <v>1.35E-2</v>
      </c>
      <c r="BX69" s="50">
        <f t="shared" si="75"/>
        <v>13.633348319778335</v>
      </c>
      <c r="BY69" s="16">
        <f t="shared" si="131"/>
        <v>1.4999999999999999E-5</v>
      </c>
      <c r="BZ69" s="49">
        <f t="shared" si="132"/>
        <v>1.6666666666666667</v>
      </c>
      <c r="CA69" s="3">
        <f t="shared" si="133"/>
        <v>2E-3</v>
      </c>
      <c r="CB69" s="49">
        <f t="shared" si="134"/>
        <v>6.6666666666666444E-2</v>
      </c>
      <c r="CC69" s="49">
        <f t="shared" si="135"/>
        <v>0</v>
      </c>
      <c r="CD69" s="49">
        <f t="shared" si="136"/>
        <v>3.0000000000000002E-2</v>
      </c>
      <c r="CE69" s="3">
        <f t="shared" si="137"/>
        <v>0.01</v>
      </c>
      <c r="CF69" s="50">
        <f t="shared" si="76"/>
        <v>1.7336229245266817</v>
      </c>
      <c r="CG69" s="3">
        <f t="shared" si="138"/>
        <v>2.25</v>
      </c>
      <c r="CH69" s="3">
        <f t="shared" si="139"/>
        <v>2.0874999999999999E-3</v>
      </c>
      <c r="CI69" s="3">
        <f t="shared" si="77"/>
        <v>6.6666666666666444E-2</v>
      </c>
      <c r="CJ69" s="3">
        <f t="shared" si="78"/>
        <v>0</v>
      </c>
      <c r="CK69" s="3">
        <f t="shared" si="140"/>
        <v>3.0000000000000002E-2</v>
      </c>
      <c r="CL69" s="214">
        <f t="shared" si="141"/>
        <v>1.35E-2</v>
      </c>
      <c r="CM69" s="50">
        <f t="shared" si="79"/>
        <v>2.3169011744355203</v>
      </c>
      <c r="CO69" s="22" t="s">
        <v>231</v>
      </c>
      <c r="CP69" s="24">
        <v>160</v>
      </c>
      <c r="CQ69" s="24">
        <v>-160</v>
      </c>
      <c r="CR69" s="24">
        <f t="shared" si="143"/>
        <v>16</v>
      </c>
      <c r="CS69" s="24"/>
    </row>
    <row r="70" spans="16:97">
      <c r="P70" s="116">
        <f t="shared" si="85"/>
        <v>3.4999999999999996E-3</v>
      </c>
      <c r="Q70" s="135">
        <f t="shared" si="87"/>
        <v>1.7499999999999998E-5</v>
      </c>
      <c r="R70" s="49">
        <f t="shared" si="88"/>
        <v>28.571428571428573</v>
      </c>
      <c r="S70" s="3">
        <f t="shared" si="89"/>
        <v>8.0000000000000002E-3</v>
      </c>
      <c r="T70" s="49">
        <f t="shared" si="90"/>
        <v>0.22857142857142781</v>
      </c>
      <c r="U70" s="49">
        <f t="shared" si="91"/>
        <v>0</v>
      </c>
      <c r="V70" s="49">
        <f t="shared" si="92"/>
        <v>2.2857142857142861E-2</v>
      </c>
      <c r="W70" s="3">
        <f t="shared" si="93"/>
        <v>0.01</v>
      </c>
      <c r="X70" s="50">
        <f t="shared" si="60"/>
        <v>28.800011917514542</v>
      </c>
      <c r="Y70" s="3">
        <f t="shared" si="94"/>
        <v>30.571428571428573</v>
      </c>
      <c r="Z70" s="3">
        <f t="shared" si="95"/>
        <v>8.6999999999999994E-3</v>
      </c>
      <c r="AA70" s="3">
        <f t="shared" si="61"/>
        <v>0.22857142857142781</v>
      </c>
      <c r="AB70" s="3">
        <f t="shared" si="62"/>
        <v>0</v>
      </c>
      <c r="AC70" s="3">
        <f t="shared" si="96"/>
        <v>2.2857142857142861E-2</v>
      </c>
      <c r="AD70" s="214">
        <f t="shared" si="97"/>
        <v>1.35E-2</v>
      </c>
      <c r="AE70" s="136">
        <f t="shared" si="63"/>
        <v>30.800012668649661</v>
      </c>
      <c r="AF70" s="16">
        <f t="shared" si="98"/>
        <v>1.7499999999999998E-5</v>
      </c>
      <c r="AG70" s="49">
        <f t="shared" si="99"/>
        <v>0.45714285714285718</v>
      </c>
      <c r="AH70" s="3">
        <f t="shared" si="100"/>
        <v>1.4999999999999999E-4</v>
      </c>
      <c r="AI70" s="49">
        <f t="shared" si="101"/>
        <v>2.863927049298688E-3</v>
      </c>
      <c r="AJ70" s="49">
        <f t="shared" si="102"/>
        <v>6.5052569009177899E-2</v>
      </c>
      <c r="AK70" s="49">
        <f t="shared" si="103"/>
        <v>1.2857142857142859E-2</v>
      </c>
      <c r="AL70" s="3">
        <f t="shared" si="104"/>
        <v>0.01</v>
      </c>
      <c r="AM70" s="50">
        <f t="shared" si="64"/>
        <v>0.52531195779903195</v>
      </c>
      <c r="AN70" s="3">
        <f t="shared" si="105"/>
        <v>0.65714285714285725</v>
      </c>
      <c r="AO70" s="3">
        <f t="shared" si="106"/>
        <v>2.1999999999999998E-4</v>
      </c>
      <c r="AP70" s="3">
        <f t="shared" si="65"/>
        <v>2.863927049298688E-3</v>
      </c>
      <c r="AQ70" s="3">
        <f t="shared" si="66"/>
        <v>6.5052569009177899E-2</v>
      </c>
      <c r="AR70" s="3">
        <f t="shared" si="107"/>
        <v>1.2857142857142859E-2</v>
      </c>
      <c r="AS70" s="214">
        <f t="shared" si="108"/>
        <v>1.35E-2</v>
      </c>
      <c r="AT70" s="50">
        <f t="shared" si="67"/>
        <v>0.72529902122309919</v>
      </c>
      <c r="AU70" s="16">
        <f t="shared" si="109"/>
        <v>1.7499999999999998E-5</v>
      </c>
      <c r="AV70" s="49">
        <f t="shared" si="110"/>
        <v>8.5714285714285712</v>
      </c>
      <c r="AW70" s="3">
        <f t="shared" si="111"/>
        <v>8.0000000000000002E-3</v>
      </c>
      <c r="AX70" s="49">
        <f t="shared" si="112"/>
        <v>0.22857142857142781</v>
      </c>
      <c r="AY70" s="49">
        <f t="shared" si="113"/>
        <v>43.265646478641798</v>
      </c>
      <c r="AZ70" s="49">
        <f t="shared" si="114"/>
        <v>2.2857142857142861E-2</v>
      </c>
      <c r="BA70" s="3">
        <f t="shared" si="115"/>
        <v>0.01</v>
      </c>
      <c r="BB70" s="50">
        <f t="shared" si="68"/>
        <v>52.065653070790198</v>
      </c>
      <c r="BC70" s="3">
        <f t="shared" si="116"/>
        <v>10.571428571428571</v>
      </c>
      <c r="BD70" s="3">
        <f t="shared" si="117"/>
        <v>8.6999999999999994E-3</v>
      </c>
      <c r="BE70" s="3">
        <f t="shared" si="69"/>
        <v>0.22857142857142781</v>
      </c>
      <c r="BF70" s="3">
        <f t="shared" si="70"/>
        <v>43.265646478641798</v>
      </c>
      <c r="BG70" s="3">
        <f t="shared" si="118"/>
        <v>2.2857142857142861E-2</v>
      </c>
      <c r="BH70" s="214">
        <f t="shared" si="119"/>
        <v>1.35E-2</v>
      </c>
      <c r="BI70" s="50">
        <f t="shared" si="71"/>
        <v>54.065653695691601</v>
      </c>
      <c r="BJ70" s="16">
        <f t="shared" si="120"/>
        <v>1.7499999999999998E-5</v>
      </c>
      <c r="BK70" s="49">
        <f t="shared" si="121"/>
        <v>8.5714285714285712</v>
      </c>
      <c r="BL70" s="3">
        <f t="shared" si="122"/>
        <v>1E-3</v>
      </c>
      <c r="BM70" s="49">
        <f t="shared" si="123"/>
        <v>5.7142857142856954E-2</v>
      </c>
      <c r="BN70" s="49">
        <f t="shared" si="124"/>
        <v>2.0571428571428574</v>
      </c>
      <c r="BO70" s="49">
        <f t="shared" si="125"/>
        <v>1.2857142857142859E-2</v>
      </c>
      <c r="BP70" s="3">
        <f t="shared" si="126"/>
        <v>0.01</v>
      </c>
      <c r="BQ70" s="50">
        <f t="shared" si="72"/>
        <v>10.685726746554996</v>
      </c>
      <c r="BR70" s="3">
        <f t="shared" si="127"/>
        <v>9.5714285714285712</v>
      </c>
      <c r="BS70" s="3">
        <f t="shared" si="128"/>
        <v>1.175E-3</v>
      </c>
      <c r="BT70" s="3">
        <f t="shared" si="73"/>
        <v>5.7142857142856954E-2</v>
      </c>
      <c r="BU70" s="3">
        <f t="shared" si="74"/>
        <v>2.0571428571428574</v>
      </c>
      <c r="BV70" s="3">
        <f t="shared" si="129"/>
        <v>1.2857142857142859E-2</v>
      </c>
      <c r="BW70" s="214">
        <f t="shared" si="130"/>
        <v>1.35E-2</v>
      </c>
      <c r="BX70" s="50">
        <f t="shared" si="75"/>
        <v>11.685729215761178</v>
      </c>
      <c r="BY70" s="16">
        <f t="shared" si="131"/>
        <v>1.7499999999999998E-5</v>
      </c>
      <c r="BZ70" s="49">
        <f t="shared" si="132"/>
        <v>1.4285714285714286</v>
      </c>
      <c r="CA70" s="3">
        <f t="shared" si="133"/>
        <v>2E-3</v>
      </c>
      <c r="CB70" s="49">
        <f t="shared" si="134"/>
        <v>5.7142857142856954E-2</v>
      </c>
      <c r="CC70" s="49">
        <f t="shared" si="135"/>
        <v>0</v>
      </c>
      <c r="CD70" s="49">
        <f t="shared" si="136"/>
        <v>2.5714285714285717E-2</v>
      </c>
      <c r="CE70" s="3">
        <f t="shared" si="137"/>
        <v>0.01</v>
      </c>
      <c r="CF70" s="50">
        <f t="shared" si="76"/>
        <v>1.4859717908713159</v>
      </c>
      <c r="CG70" s="3">
        <f t="shared" si="138"/>
        <v>1.9285714285714286</v>
      </c>
      <c r="CH70" s="3">
        <f t="shared" si="139"/>
        <v>2.0874999999999999E-3</v>
      </c>
      <c r="CI70" s="3">
        <f t="shared" si="77"/>
        <v>5.7142857142856954E-2</v>
      </c>
      <c r="CJ70" s="3">
        <f t="shared" si="78"/>
        <v>0</v>
      </c>
      <c r="CK70" s="3">
        <f t="shared" si="140"/>
        <v>2.5714285714285717E-2</v>
      </c>
      <c r="CL70" s="214">
        <f t="shared" si="141"/>
        <v>1.35E-2</v>
      </c>
      <c r="CM70" s="50">
        <f t="shared" si="79"/>
        <v>1.985927757154283</v>
      </c>
      <c r="CO70" s="22" t="s">
        <v>225</v>
      </c>
      <c r="CP70" s="24">
        <v>320</v>
      </c>
      <c r="CQ70" s="24">
        <v>-320</v>
      </c>
      <c r="CR70" s="24">
        <f t="shared" si="143"/>
        <v>32</v>
      </c>
      <c r="CS70" s="24"/>
    </row>
    <row r="71" spans="16:97">
      <c r="P71" s="116">
        <f t="shared" si="85"/>
        <v>4.0000000000000001E-3</v>
      </c>
      <c r="Q71" s="135">
        <f t="shared" si="87"/>
        <v>2.0000000000000002E-5</v>
      </c>
      <c r="R71" s="49">
        <f t="shared" si="88"/>
        <v>25</v>
      </c>
      <c r="S71" s="3">
        <f t="shared" si="89"/>
        <v>8.0000000000000002E-3</v>
      </c>
      <c r="T71" s="49">
        <f t="shared" si="90"/>
        <v>0.19999999999999929</v>
      </c>
      <c r="U71" s="49">
        <f t="shared" si="91"/>
        <v>0</v>
      </c>
      <c r="V71" s="49">
        <f t="shared" si="92"/>
        <v>0.02</v>
      </c>
      <c r="W71" s="3">
        <f t="shared" si="93"/>
        <v>0.01</v>
      </c>
      <c r="X71" s="50">
        <f t="shared" si="60"/>
        <v>25.200011190473703</v>
      </c>
      <c r="Y71" s="3">
        <f t="shared" si="94"/>
        <v>26.75</v>
      </c>
      <c r="Z71" s="3">
        <f t="shared" si="95"/>
        <v>8.6999999999999994E-3</v>
      </c>
      <c r="AA71" s="3">
        <f t="shared" si="61"/>
        <v>0.19999999999999929</v>
      </c>
      <c r="AB71" s="3">
        <f t="shared" si="62"/>
        <v>0</v>
      </c>
      <c r="AC71" s="3">
        <f t="shared" si="96"/>
        <v>0.02</v>
      </c>
      <c r="AD71" s="214">
        <f t="shared" si="97"/>
        <v>1.35E-2</v>
      </c>
      <c r="AE71" s="136">
        <f t="shared" si="63"/>
        <v>26.95001220667627</v>
      </c>
      <c r="AF71" s="16">
        <f t="shared" si="98"/>
        <v>2.0000000000000002E-5</v>
      </c>
      <c r="AG71" s="49">
        <f t="shared" si="99"/>
        <v>0.39999999999999997</v>
      </c>
      <c r="AH71" s="3">
        <f t="shared" si="100"/>
        <v>1.4999999999999999E-4</v>
      </c>
      <c r="AI71" s="49">
        <f t="shared" si="101"/>
        <v>2.5059361681363519E-3</v>
      </c>
      <c r="AJ71" s="49">
        <f t="shared" si="102"/>
        <v>5.692099788303065E-2</v>
      </c>
      <c r="AK71" s="49">
        <f t="shared" si="103"/>
        <v>1.1250000000000001E-2</v>
      </c>
      <c r="AL71" s="3">
        <f t="shared" si="104"/>
        <v>0.01</v>
      </c>
      <c r="AM71" s="50">
        <f t="shared" si="64"/>
        <v>0.45967346315798491</v>
      </c>
      <c r="AN71" s="3">
        <f t="shared" si="105"/>
        <v>0.57499999999999996</v>
      </c>
      <c r="AO71" s="3">
        <f t="shared" si="106"/>
        <v>2.1999999999999998E-4</v>
      </c>
      <c r="AP71" s="3">
        <f t="shared" si="65"/>
        <v>2.5059361681363519E-3</v>
      </c>
      <c r="AQ71" s="3">
        <f t="shared" si="66"/>
        <v>5.692099788303065E-2</v>
      </c>
      <c r="AR71" s="3">
        <f t="shared" si="107"/>
        <v>1.1250000000000001E-2</v>
      </c>
      <c r="AS71" s="214">
        <f t="shared" si="108"/>
        <v>1.35E-2</v>
      </c>
      <c r="AT71" s="50">
        <f t="shared" si="67"/>
        <v>0.63467030460670182</v>
      </c>
      <c r="AU71" s="16">
        <f t="shared" si="109"/>
        <v>2.0000000000000002E-5</v>
      </c>
      <c r="AV71" s="49">
        <f t="shared" si="110"/>
        <v>7.4999999999999991</v>
      </c>
      <c r="AW71" s="3">
        <f t="shared" si="111"/>
        <v>8.0000000000000002E-3</v>
      </c>
      <c r="AX71" s="49">
        <f t="shared" si="112"/>
        <v>0.19999999999999929</v>
      </c>
      <c r="AY71" s="49">
        <f t="shared" si="113"/>
        <v>37.85744066881157</v>
      </c>
      <c r="AZ71" s="49">
        <f t="shared" si="114"/>
        <v>0.02</v>
      </c>
      <c r="BA71" s="3">
        <f t="shared" si="115"/>
        <v>0.01</v>
      </c>
      <c r="BB71" s="50">
        <f t="shared" si="68"/>
        <v>45.557446858798905</v>
      </c>
      <c r="BC71" s="3">
        <f t="shared" si="116"/>
        <v>9.2499999999999982</v>
      </c>
      <c r="BD71" s="3">
        <f t="shared" si="117"/>
        <v>8.6999999999999994E-3</v>
      </c>
      <c r="BE71" s="3">
        <f t="shared" si="69"/>
        <v>0.19999999999999929</v>
      </c>
      <c r="BF71" s="3">
        <f t="shared" si="70"/>
        <v>37.85744066881157</v>
      </c>
      <c r="BG71" s="3">
        <f t="shared" si="118"/>
        <v>0.02</v>
      </c>
      <c r="BH71" s="214">
        <f t="shared" si="119"/>
        <v>1.35E-2</v>
      </c>
      <c r="BI71" s="50">
        <f t="shared" si="71"/>
        <v>47.307447622685437</v>
      </c>
      <c r="BJ71" s="16">
        <f t="shared" si="120"/>
        <v>2.0000000000000002E-5</v>
      </c>
      <c r="BK71" s="49">
        <f t="shared" si="121"/>
        <v>7.4999999999999991</v>
      </c>
      <c r="BL71" s="3">
        <f t="shared" si="122"/>
        <v>1E-3</v>
      </c>
      <c r="BM71" s="49">
        <f t="shared" si="123"/>
        <v>4.9999999999999822E-2</v>
      </c>
      <c r="BN71" s="49">
        <f t="shared" si="124"/>
        <v>1.7999999999999998</v>
      </c>
      <c r="BO71" s="49">
        <f t="shared" si="125"/>
        <v>1.1250000000000001E-2</v>
      </c>
      <c r="BP71" s="3">
        <f t="shared" si="126"/>
        <v>0.01</v>
      </c>
      <c r="BQ71" s="50">
        <f t="shared" si="72"/>
        <v>9.3500121691097249</v>
      </c>
      <c r="BR71" s="3">
        <f t="shared" si="127"/>
        <v>8.3749999999999982</v>
      </c>
      <c r="BS71" s="3">
        <f t="shared" si="128"/>
        <v>1.175E-3</v>
      </c>
      <c r="BT71" s="3">
        <f t="shared" si="73"/>
        <v>4.9999999999999822E-2</v>
      </c>
      <c r="BU71" s="3">
        <f t="shared" si="74"/>
        <v>1.7999999999999998</v>
      </c>
      <c r="BV71" s="3">
        <f t="shared" si="129"/>
        <v>1.1250000000000001E-2</v>
      </c>
      <c r="BW71" s="214">
        <f t="shared" si="130"/>
        <v>1.35E-2</v>
      </c>
      <c r="BX71" s="50">
        <f t="shared" si="75"/>
        <v>10.225015168356718</v>
      </c>
      <c r="BY71" s="16">
        <f t="shared" si="131"/>
        <v>2.0000000000000002E-5</v>
      </c>
      <c r="BZ71" s="49">
        <f t="shared" si="132"/>
        <v>1.2499999999999998</v>
      </c>
      <c r="CA71" s="3">
        <f t="shared" si="133"/>
        <v>2E-3</v>
      </c>
      <c r="CB71" s="49">
        <f t="shared" si="134"/>
        <v>4.9999999999999822E-2</v>
      </c>
      <c r="CC71" s="49">
        <f t="shared" si="135"/>
        <v>0</v>
      </c>
      <c r="CD71" s="49">
        <f t="shared" si="136"/>
        <v>2.2500000000000003E-2</v>
      </c>
      <c r="CE71" s="3">
        <f t="shared" si="137"/>
        <v>0.01</v>
      </c>
      <c r="CF71" s="50">
        <f t="shared" si="76"/>
        <v>1.3002346903540141</v>
      </c>
      <c r="CG71" s="3">
        <f t="shared" si="138"/>
        <v>1.6874999999999998</v>
      </c>
      <c r="CH71" s="3">
        <f t="shared" si="139"/>
        <v>2.0874999999999999E-3</v>
      </c>
      <c r="CI71" s="3">
        <f t="shared" si="77"/>
        <v>4.9999999999999822E-2</v>
      </c>
      <c r="CJ71" s="3">
        <f t="shared" si="78"/>
        <v>0</v>
      </c>
      <c r="CK71" s="3">
        <f t="shared" si="140"/>
        <v>2.2500000000000003E-2</v>
      </c>
      <c r="CL71" s="214">
        <f t="shared" si="141"/>
        <v>1.35E-2</v>
      </c>
      <c r="CM71" s="50">
        <f t="shared" si="79"/>
        <v>1.7376993720595773</v>
      </c>
      <c r="CO71" s="22" t="s">
        <v>77</v>
      </c>
      <c r="CP71" s="208">
        <v>81.92</v>
      </c>
      <c r="CQ71" s="208">
        <v>-81.917500000000004</v>
      </c>
      <c r="CR71" s="24">
        <f t="shared" si="143"/>
        <v>8.19</v>
      </c>
      <c r="CS71" s="24"/>
    </row>
    <row r="72" spans="16:97">
      <c r="P72" s="116">
        <f t="shared" si="85"/>
        <v>4.5000000000000005E-3</v>
      </c>
      <c r="Q72" s="135">
        <f t="shared" si="87"/>
        <v>2.2500000000000001E-5</v>
      </c>
      <c r="R72" s="49">
        <f t="shared" si="88"/>
        <v>22.222222222222221</v>
      </c>
      <c r="S72" s="3">
        <f t="shared" si="89"/>
        <v>8.0000000000000002E-3</v>
      </c>
      <c r="T72" s="49">
        <f t="shared" si="90"/>
        <v>0.17777777777777715</v>
      </c>
      <c r="U72" s="49">
        <f t="shared" si="91"/>
        <v>0</v>
      </c>
      <c r="V72" s="49">
        <f t="shared" si="92"/>
        <v>1.7777777777777778E-2</v>
      </c>
      <c r="W72" s="3">
        <f t="shared" si="93"/>
        <v>0.01</v>
      </c>
      <c r="X72" s="50">
        <f t="shared" si="60"/>
        <v>22.400010715385442</v>
      </c>
      <c r="Y72" s="3">
        <f t="shared" si="94"/>
        <v>23.777777777777779</v>
      </c>
      <c r="Z72" s="3">
        <f t="shared" si="95"/>
        <v>8.6999999999999994E-3</v>
      </c>
      <c r="AA72" s="3">
        <f t="shared" si="61"/>
        <v>0.17777777777777715</v>
      </c>
      <c r="AB72" s="3">
        <f t="shared" si="62"/>
        <v>0</v>
      </c>
      <c r="AC72" s="3">
        <f t="shared" si="96"/>
        <v>1.7777777777777778E-2</v>
      </c>
      <c r="AD72" s="214">
        <f t="shared" si="97"/>
        <v>1.35E-2</v>
      </c>
      <c r="AE72" s="136">
        <f t="shared" si="63"/>
        <v>23.955567535850435</v>
      </c>
      <c r="AF72" s="16">
        <f t="shared" si="98"/>
        <v>2.2500000000000001E-5</v>
      </c>
      <c r="AG72" s="49">
        <f t="shared" si="99"/>
        <v>0.35555555555555551</v>
      </c>
      <c r="AH72" s="3">
        <f t="shared" si="100"/>
        <v>1.4999999999999999E-4</v>
      </c>
      <c r="AI72" s="49">
        <f t="shared" si="101"/>
        <v>2.2274988161212015E-3</v>
      </c>
      <c r="AJ72" s="49">
        <f t="shared" si="102"/>
        <v>5.0596442562693911E-2</v>
      </c>
      <c r="AK72" s="49">
        <f t="shared" si="103"/>
        <v>0.01</v>
      </c>
      <c r="AL72" s="3">
        <f t="shared" si="104"/>
        <v>0.01</v>
      </c>
      <c r="AM72" s="50">
        <f t="shared" si="64"/>
        <v>0.40862432137156202</v>
      </c>
      <c r="AN72" s="3">
        <f t="shared" si="105"/>
        <v>0.51111111111111107</v>
      </c>
      <c r="AO72" s="3">
        <f t="shared" si="106"/>
        <v>2.1999999999999998E-4</v>
      </c>
      <c r="AP72" s="3">
        <f t="shared" si="65"/>
        <v>2.2274988161212015E-3</v>
      </c>
      <c r="AQ72" s="3">
        <f t="shared" si="66"/>
        <v>5.0596442562693911E-2</v>
      </c>
      <c r="AR72" s="3">
        <f t="shared" si="107"/>
        <v>0.01</v>
      </c>
      <c r="AS72" s="214">
        <f t="shared" si="108"/>
        <v>1.35E-2</v>
      </c>
      <c r="AT72" s="50">
        <f t="shared" si="67"/>
        <v>0.56418529033183396</v>
      </c>
      <c r="AU72" s="16">
        <f t="shared" si="109"/>
        <v>2.2500000000000001E-5</v>
      </c>
      <c r="AV72" s="49">
        <f t="shared" si="110"/>
        <v>6.6666666666666661</v>
      </c>
      <c r="AW72" s="3">
        <f t="shared" si="111"/>
        <v>8.0000000000000002E-3</v>
      </c>
      <c r="AX72" s="49">
        <f t="shared" si="112"/>
        <v>0.17777777777777715</v>
      </c>
      <c r="AY72" s="49">
        <f t="shared" si="113"/>
        <v>33.65105837227695</v>
      </c>
      <c r="AZ72" s="49">
        <f t="shared" si="114"/>
        <v>1.7777777777777778E-2</v>
      </c>
      <c r="BA72" s="3">
        <f t="shared" si="115"/>
        <v>0.01</v>
      </c>
      <c r="BB72" s="50">
        <f t="shared" si="68"/>
        <v>40.495508743914712</v>
      </c>
      <c r="BC72" s="3">
        <f t="shared" si="116"/>
        <v>8.2222222222222214</v>
      </c>
      <c r="BD72" s="3">
        <f t="shared" si="117"/>
        <v>8.6999999999999994E-3</v>
      </c>
      <c r="BE72" s="3">
        <f t="shared" si="69"/>
        <v>0.17777777777777715</v>
      </c>
      <c r="BF72" s="3">
        <f t="shared" si="70"/>
        <v>33.65105837227695</v>
      </c>
      <c r="BG72" s="3">
        <f t="shared" si="118"/>
        <v>1.7777777777777778E-2</v>
      </c>
      <c r="BH72" s="214">
        <f t="shared" si="119"/>
        <v>1.35E-2</v>
      </c>
      <c r="BI72" s="50">
        <f t="shared" si="71"/>
        <v>42.051065197186453</v>
      </c>
      <c r="BJ72" s="16">
        <f t="shared" si="120"/>
        <v>2.2500000000000001E-5</v>
      </c>
      <c r="BK72" s="49">
        <f t="shared" si="121"/>
        <v>6.6666666666666661</v>
      </c>
      <c r="BL72" s="3">
        <f t="shared" si="122"/>
        <v>1E-3</v>
      </c>
      <c r="BM72" s="49">
        <f t="shared" si="123"/>
        <v>4.4444444444444287E-2</v>
      </c>
      <c r="BN72" s="49">
        <f t="shared" si="124"/>
        <v>1.5999999999999999</v>
      </c>
      <c r="BO72" s="49">
        <f t="shared" si="125"/>
        <v>0.01</v>
      </c>
      <c r="BP72" s="3">
        <f t="shared" si="126"/>
        <v>0.01</v>
      </c>
      <c r="BQ72" s="50">
        <f t="shared" si="72"/>
        <v>8.311123203348302</v>
      </c>
      <c r="BR72" s="3">
        <f t="shared" si="127"/>
        <v>7.4444444444444438</v>
      </c>
      <c r="BS72" s="3">
        <f t="shared" si="128"/>
        <v>1.175E-3</v>
      </c>
      <c r="BT72" s="3">
        <f t="shared" si="73"/>
        <v>4.4444444444444287E-2</v>
      </c>
      <c r="BU72" s="3">
        <f t="shared" si="74"/>
        <v>1.5999999999999999</v>
      </c>
      <c r="BV72" s="3">
        <f t="shared" si="129"/>
        <v>0.01</v>
      </c>
      <c r="BW72" s="214">
        <f t="shared" si="130"/>
        <v>1.35E-2</v>
      </c>
      <c r="BX72" s="50">
        <f t="shared" si="75"/>
        <v>9.0889044920272362</v>
      </c>
      <c r="BY72" s="16">
        <f t="shared" si="131"/>
        <v>2.2500000000000001E-5</v>
      </c>
      <c r="BZ72" s="49">
        <f t="shared" si="132"/>
        <v>1.1111111111111109</v>
      </c>
      <c r="CA72" s="3">
        <f t="shared" si="133"/>
        <v>2E-3</v>
      </c>
      <c r="CB72" s="49">
        <f t="shared" si="134"/>
        <v>4.4444444444444287E-2</v>
      </c>
      <c r="CC72" s="49">
        <f t="shared" si="135"/>
        <v>0</v>
      </c>
      <c r="CD72" s="49">
        <f t="shared" si="136"/>
        <v>0.02</v>
      </c>
      <c r="CE72" s="3">
        <f t="shared" si="137"/>
        <v>0.01</v>
      </c>
      <c r="CF72" s="50">
        <f t="shared" si="76"/>
        <v>1.155773611904731</v>
      </c>
      <c r="CG72" s="3">
        <f t="shared" si="138"/>
        <v>1.4999999999999998</v>
      </c>
      <c r="CH72" s="3">
        <f t="shared" si="139"/>
        <v>2.0874999999999999E-3</v>
      </c>
      <c r="CI72" s="3">
        <f t="shared" si="77"/>
        <v>4.4444444444444287E-2</v>
      </c>
      <c r="CJ72" s="3">
        <f t="shared" si="78"/>
        <v>0</v>
      </c>
      <c r="CK72" s="3">
        <f t="shared" si="140"/>
        <v>0.02</v>
      </c>
      <c r="CL72" s="214">
        <f t="shared" si="141"/>
        <v>1.35E-2</v>
      </c>
      <c r="CM72" s="50">
        <f t="shared" si="79"/>
        <v>1.5446343417234893</v>
      </c>
      <c r="CO72" s="22" t="s">
        <v>468</v>
      </c>
      <c r="CP72" s="208">
        <v>163.84</v>
      </c>
      <c r="CQ72" s="208">
        <v>-163.84</v>
      </c>
      <c r="CR72" s="24">
        <f t="shared" si="143"/>
        <v>16.38</v>
      </c>
      <c r="CS72" s="24"/>
    </row>
    <row r="73" spans="16:97">
      <c r="P73" s="116">
        <f t="shared" si="85"/>
        <v>5.0000000000000001E-3</v>
      </c>
      <c r="Q73" s="135">
        <f t="shared" si="87"/>
        <v>2.5000000000000001E-5</v>
      </c>
      <c r="R73" s="49">
        <f t="shared" si="88"/>
        <v>20</v>
      </c>
      <c r="S73" s="3">
        <f t="shared" si="89"/>
        <v>8.0000000000000002E-3</v>
      </c>
      <c r="T73" s="49">
        <f t="shared" si="90"/>
        <v>0.15999999999999945</v>
      </c>
      <c r="U73" s="49">
        <f t="shared" si="91"/>
        <v>0</v>
      </c>
      <c r="V73" s="49">
        <f t="shared" si="92"/>
        <v>1.6E-2</v>
      </c>
      <c r="W73" s="3">
        <f t="shared" si="93"/>
        <v>0.01</v>
      </c>
      <c r="X73" s="50">
        <f t="shared" si="60"/>
        <v>20.160010416663976</v>
      </c>
      <c r="Y73" s="3">
        <f t="shared" si="94"/>
        <v>21.4</v>
      </c>
      <c r="Z73" s="3">
        <f t="shared" si="95"/>
        <v>8.6999999999999994E-3</v>
      </c>
      <c r="AA73" s="3">
        <f t="shared" si="61"/>
        <v>0.15999999999999945</v>
      </c>
      <c r="AB73" s="3">
        <f t="shared" si="62"/>
        <v>0</v>
      </c>
      <c r="AC73" s="3">
        <f t="shared" si="96"/>
        <v>1.6E-2</v>
      </c>
      <c r="AD73" s="214">
        <f t="shared" si="97"/>
        <v>1.35E-2</v>
      </c>
      <c r="AE73" s="136">
        <f t="shared" si="63"/>
        <v>21.560011918827872</v>
      </c>
      <c r="AF73" s="16">
        <f t="shared" si="98"/>
        <v>2.5000000000000001E-5</v>
      </c>
      <c r="AG73" s="49">
        <f t="shared" si="99"/>
        <v>0.31999999999999995</v>
      </c>
      <c r="AH73" s="3">
        <f t="shared" si="100"/>
        <v>1.4999999999999999E-4</v>
      </c>
      <c r="AI73" s="49">
        <f t="shared" si="101"/>
        <v>2.0047489345090814E-3</v>
      </c>
      <c r="AJ73" s="49">
        <f t="shared" si="102"/>
        <v>4.5536798306424521E-2</v>
      </c>
      <c r="AK73" s="49">
        <f t="shared" si="103"/>
        <v>9.0000000000000011E-3</v>
      </c>
      <c r="AL73" s="3">
        <f t="shared" si="104"/>
        <v>0.01</v>
      </c>
      <c r="AM73" s="50">
        <f t="shared" si="64"/>
        <v>0.36778772607070426</v>
      </c>
      <c r="AN73" s="3">
        <f t="shared" si="105"/>
        <v>0.45999999999999996</v>
      </c>
      <c r="AO73" s="3">
        <f t="shared" si="106"/>
        <v>2.1999999999999998E-4</v>
      </c>
      <c r="AP73" s="3">
        <f t="shared" si="65"/>
        <v>2.0047489345090814E-3</v>
      </c>
      <c r="AQ73" s="3">
        <f t="shared" si="66"/>
        <v>4.5536798306424521E-2</v>
      </c>
      <c r="AR73" s="3">
        <f t="shared" si="107"/>
        <v>9.0000000000000011E-3</v>
      </c>
      <c r="AS73" s="214">
        <f t="shared" si="108"/>
        <v>1.35E-2</v>
      </c>
      <c r="AT73" s="50">
        <f t="shared" si="67"/>
        <v>0.50780086704900462</v>
      </c>
      <c r="AU73" s="16">
        <f t="shared" si="109"/>
        <v>2.5000000000000001E-5</v>
      </c>
      <c r="AV73" s="49">
        <f t="shared" si="110"/>
        <v>5.9999999999999991</v>
      </c>
      <c r="AW73" s="3">
        <f t="shared" si="111"/>
        <v>8.0000000000000002E-3</v>
      </c>
      <c r="AX73" s="49">
        <f t="shared" si="112"/>
        <v>0.15999999999999945</v>
      </c>
      <c r="AY73" s="49">
        <f t="shared" si="113"/>
        <v>30.285952535049255</v>
      </c>
      <c r="AZ73" s="49">
        <f t="shared" si="114"/>
        <v>1.6E-2</v>
      </c>
      <c r="BA73" s="3">
        <f t="shared" si="115"/>
        <v>0.01</v>
      </c>
      <c r="BB73" s="50">
        <f t="shared" si="68"/>
        <v>36.44595829700549</v>
      </c>
      <c r="BC73" s="3">
        <f t="shared" si="116"/>
        <v>7.3999999999999986</v>
      </c>
      <c r="BD73" s="3">
        <f t="shared" si="117"/>
        <v>8.6999999999999994E-3</v>
      </c>
      <c r="BE73" s="3">
        <f t="shared" si="69"/>
        <v>0.15999999999999945</v>
      </c>
      <c r="BF73" s="3">
        <f t="shared" si="70"/>
        <v>30.285952535049255</v>
      </c>
      <c r="BG73" s="3">
        <f t="shared" si="118"/>
        <v>1.6E-2</v>
      </c>
      <c r="BH73" s="214">
        <f t="shared" si="119"/>
        <v>1.35E-2</v>
      </c>
      <c r="BI73" s="50">
        <f t="shared" si="71"/>
        <v>37.845959324942484</v>
      </c>
      <c r="BJ73" s="16">
        <f t="shared" si="120"/>
        <v>2.5000000000000001E-5</v>
      </c>
      <c r="BK73" s="49">
        <f t="shared" si="121"/>
        <v>5.9999999999999991</v>
      </c>
      <c r="BL73" s="3">
        <f t="shared" si="122"/>
        <v>1E-3</v>
      </c>
      <c r="BM73" s="49">
        <f t="shared" si="123"/>
        <v>3.9999999999999862E-2</v>
      </c>
      <c r="BN73" s="49">
        <f t="shared" si="124"/>
        <v>1.44</v>
      </c>
      <c r="BO73" s="49">
        <f t="shared" si="125"/>
        <v>9.0000000000000011E-3</v>
      </c>
      <c r="BP73" s="3">
        <f t="shared" si="126"/>
        <v>0.01</v>
      </c>
      <c r="BQ73" s="50">
        <f t="shared" si="72"/>
        <v>7.4800121657655065</v>
      </c>
      <c r="BR73" s="3">
        <f t="shared" si="127"/>
        <v>6.6999999999999993</v>
      </c>
      <c r="BS73" s="3">
        <f t="shared" si="128"/>
        <v>1.175E-3</v>
      </c>
      <c r="BT73" s="3">
        <f t="shared" si="73"/>
        <v>3.9999999999999862E-2</v>
      </c>
      <c r="BU73" s="3">
        <f t="shared" si="74"/>
        <v>1.44</v>
      </c>
      <c r="BV73" s="3">
        <f t="shared" si="129"/>
        <v>9.0000000000000011E-3</v>
      </c>
      <c r="BW73" s="214">
        <f t="shared" si="130"/>
        <v>1.35E-2</v>
      </c>
      <c r="BX73" s="50">
        <f t="shared" si="75"/>
        <v>8.1800161754500813</v>
      </c>
      <c r="BY73" s="16">
        <f t="shared" si="131"/>
        <v>2.5000000000000001E-5</v>
      </c>
      <c r="BZ73" s="49">
        <f t="shared" si="132"/>
        <v>0.99999999999999989</v>
      </c>
      <c r="CA73" s="3">
        <f t="shared" si="133"/>
        <v>2E-3</v>
      </c>
      <c r="CB73" s="49">
        <f t="shared" si="134"/>
        <v>3.9999999999999862E-2</v>
      </c>
      <c r="CC73" s="49">
        <f t="shared" si="135"/>
        <v>0</v>
      </c>
      <c r="CD73" s="49">
        <f t="shared" si="136"/>
        <v>1.8000000000000002E-2</v>
      </c>
      <c r="CE73" s="3">
        <f t="shared" si="137"/>
        <v>0.01</v>
      </c>
      <c r="CF73" s="50">
        <f t="shared" si="76"/>
        <v>1.040205748878557</v>
      </c>
      <c r="CG73" s="3">
        <f t="shared" si="138"/>
        <v>1.3499999999999999</v>
      </c>
      <c r="CH73" s="3">
        <f t="shared" si="139"/>
        <v>2.0874999999999999E-3</v>
      </c>
      <c r="CI73" s="3">
        <f t="shared" si="77"/>
        <v>3.9999999999999862E-2</v>
      </c>
      <c r="CJ73" s="3">
        <f t="shared" si="78"/>
        <v>0</v>
      </c>
      <c r="CK73" s="3">
        <f t="shared" si="140"/>
        <v>1.8000000000000002E-2</v>
      </c>
      <c r="CL73" s="214">
        <f t="shared" si="141"/>
        <v>1.35E-2</v>
      </c>
      <c r="CM73" s="50">
        <f t="shared" si="79"/>
        <v>1.3901836596853845</v>
      </c>
      <c r="CO73" s="22" t="s">
        <v>469</v>
      </c>
      <c r="CP73" s="208">
        <v>163.84</v>
      </c>
      <c r="CQ73" s="208">
        <v>-163.84</v>
      </c>
      <c r="CR73" s="24">
        <f t="shared" si="143"/>
        <v>16.38</v>
      </c>
      <c r="CS73" s="24"/>
    </row>
    <row r="74" spans="16:97">
      <c r="P74" s="116">
        <f t="shared" si="85"/>
        <v>5.4999999999999997E-3</v>
      </c>
      <c r="Q74" s="135">
        <f t="shared" si="87"/>
        <v>2.7499999999999998E-5</v>
      </c>
      <c r="R74" s="49">
        <f t="shared" si="88"/>
        <v>18.181818181818183</v>
      </c>
      <c r="S74" s="3">
        <f t="shared" si="89"/>
        <v>8.0000000000000002E-3</v>
      </c>
      <c r="T74" s="49">
        <f t="shared" si="90"/>
        <v>0.14545454545454498</v>
      </c>
      <c r="U74" s="49">
        <f t="shared" si="91"/>
        <v>0</v>
      </c>
      <c r="V74" s="49">
        <f t="shared" si="92"/>
        <v>1.4545454545454547E-2</v>
      </c>
      <c r="W74" s="3">
        <f t="shared" si="93"/>
        <v>0.01</v>
      </c>
      <c r="X74" s="50">
        <f t="shared" si="60"/>
        <v>18.327282973481985</v>
      </c>
      <c r="Y74" s="3">
        <f t="shared" si="94"/>
        <v>19.454545454545457</v>
      </c>
      <c r="Z74" s="3">
        <f t="shared" si="95"/>
        <v>8.6999999999999994E-3</v>
      </c>
      <c r="AA74" s="3">
        <f t="shared" si="61"/>
        <v>0.14545454545454498</v>
      </c>
      <c r="AB74" s="3">
        <f t="shared" si="62"/>
        <v>0</v>
      </c>
      <c r="AC74" s="3">
        <f t="shared" si="96"/>
        <v>1.4545454545454547E-2</v>
      </c>
      <c r="AD74" s="214">
        <f t="shared" si="97"/>
        <v>1.35E-2</v>
      </c>
      <c r="AE74" s="136">
        <f t="shared" si="63"/>
        <v>19.600011977298585</v>
      </c>
      <c r="AF74" s="16">
        <f t="shared" si="98"/>
        <v>2.7499999999999998E-5</v>
      </c>
      <c r="AG74" s="49">
        <f t="shared" si="99"/>
        <v>0.29090909090909089</v>
      </c>
      <c r="AH74" s="3">
        <f t="shared" si="100"/>
        <v>1.4999999999999999E-4</v>
      </c>
      <c r="AI74" s="49">
        <f t="shared" si="101"/>
        <v>1.8224990313718925E-3</v>
      </c>
      <c r="AJ74" s="49">
        <f t="shared" si="102"/>
        <v>4.1397089369476843E-2</v>
      </c>
      <c r="AK74" s="49">
        <f t="shared" si="103"/>
        <v>8.1818181818181825E-3</v>
      </c>
      <c r="AL74" s="3">
        <f t="shared" si="104"/>
        <v>0.01</v>
      </c>
      <c r="AM74" s="50">
        <f t="shared" si="64"/>
        <v>0.33437843678407975</v>
      </c>
      <c r="AN74" s="3">
        <f t="shared" si="105"/>
        <v>0.41818181818181821</v>
      </c>
      <c r="AO74" s="3">
        <f t="shared" si="106"/>
        <v>2.1999999999999998E-4</v>
      </c>
      <c r="AP74" s="3">
        <f t="shared" si="65"/>
        <v>1.8224990313718925E-3</v>
      </c>
      <c r="AQ74" s="3">
        <f t="shared" si="66"/>
        <v>4.1397089369476843E-2</v>
      </c>
      <c r="AR74" s="3">
        <f t="shared" si="107"/>
        <v>8.1818181818181825E-3</v>
      </c>
      <c r="AS74" s="214">
        <f t="shared" si="108"/>
        <v>1.35E-2</v>
      </c>
      <c r="AT74" s="50">
        <f t="shared" si="67"/>
        <v>0.46167141837590925</v>
      </c>
      <c r="AU74" s="16">
        <f t="shared" si="109"/>
        <v>2.7499999999999998E-5</v>
      </c>
      <c r="AV74" s="49">
        <f t="shared" si="110"/>
        <v>5.4545454545454541</v>
      </c>
      <c r="AW74" s="3">
        <f t="shared" si="111"/>
        <v>8.0000000000000002E-3</v>
      </c>
      <c r="AX74" s="49">
        <f t="shared" si="112"/>
        <v>0.14545454545454498</v>
      </c>
      <c r="AY74" s="49">
        <f t="shared" si="113"/>
        <v>27.532684122772054</v>
      </c>
      <c r="AZ74" s="49">
        <f t="shared" si="114"/>
        <v>1.4545454545454547E-2</v>
      </c>
      <c r="BA74" s="3">
        <f t="shared" si="115"/>
        <v>0.01</v>
      </c>
      <c r="BB74" s="50">
        <f t="shared" si="68"/>
        <v>33.132689790441695</v>
      </c>
      <c r="BC74" s="3">
        <f t="shared" si="116"/>
        <v>6.7272727272727266</v>
      </c>
      <c r="BD74" s="3">
        <f t="shared" si="117"/>
        <v>8.6999999999999994E-3</v>
      </c>
      <c r="BE74" s="3">
        <f t="shared" si="69"/>
        <v>0.14545454545454498</v>
      </c>
      <c r="BF74" s="3">
        <f t="shared" si="70"/>
        <v>27.532684122772054</v>
      </c>
      <c r="BG74" s="3">
        <f t="shared" si="118"/>
        <v>1.4545454545454547E-2</v>
      </c>
      <c r="BH74" s="214">
        <f t="shared" si="119"/>
        <v>1.35E-2</v>
      </c>
      <c r="BI74" s="50">
        <f t="shared" si="71"/>
        <v>34.405418218702167</v>
      </c>
      <c r="BJ74" s="16">
        <f t="shared" si="120"/>
        <v>2.7499999999999998E-5</v>
      </c>
      <c r="BK74" s="49">
        <f t="shared" si="121"/>
        <v>5.4545454545454541</v>
      </c>
      <c r="BL74" s="3">
        <f t="shared" si="122"/>
        <v>1E-3</v>
      </c>
      <c r="BM74" s="49">
        <f t="shared" si="123"/>
        <v>3.6363636363636244E-2</v>
      </c>
      <c r="BN74" s="49">
        <f t="shared" si="124"/>
        <v>1.3090909090909093</v>
      </c>
      <c r="BO74" s="49">
        <f t="shared" si="125"/>
        <v>8.1818181818181825E-3</v>
      </c>
      <c r="BP74" s="3">
        <f t="shared" si="126"/>
        <v>0.01</v>
      </c>
      <c r="BQ74" s="50">
        <f t="shared" si="72"/>
        <v>6.8000123486761961</v>
      </c>
      <c r="BR74" s="3">
        <f t="shared" si="127"/>
        <v>6.0909090909090908</v>
      </c>
      <c r="BS74" s="3">
        <f t="shared" si="128"/>
        <v>1.175E-3</v>
      </c>
      <c r="BT74" s="3">
        <f t="shared" si="73"/>
        <v>3.6363636363636244E-2</v>
      </c>
      <c r="BU74" s="3">
        <f t="shared" si="74"/>
        <v>1.3090909090909093</v>
      </c>
      <c r="BV74" s="3">
        <f t="shared" si="129"/>
        <v>8.1818181818181825E-3</v>
      </c>
      <c r="BW74" s="214">
        <f t="shared" si="130"/>
        <v>1.35E-2</v>
      </c>
      <c r="BX74" s="50">
        <f t="shared" si="75"/>
        <v>7.4363804841471879</v>
      </c>
      <c r="BY74" s="16">
        <f t="shared" si="131"/>
        <v>2.7499999999999998E-5</v>
      </c>
      <c r="BZ74" s="49">
        <f t="shared" si="132"/>
        <v>0.90909090909090906</v>
      </c>
      <c r="CA74" s="3">
        <f t="shared" si="133"/>
        <v>2E-3</v>
      </c>
      <c r="CB74" s="49">
        <f t="shared" si="134"/>
        <v>3.6363636363636244E-2</v>
      </c>
      <c r="CC74" s="49">
        <f t="shared" si="135"/>
        <v>0</v>
      </c>
      <c r="CD74" s="49">
        <f t="shared" si="136"/>
        <v>1.6363636363636365E-2</v>
      </c>
      <c r="CE74" s="3">
        <f t="shared" si="137"/>
        <v>0.01</v>
      </c>
      <c r="CF74" s="50">
        <f t="shared" si="76"/>
        <v>0.94565113340792972</v>
      </c>
      <c r="CG74" s="3">
        <f t="shared" si="138"/>
        <v>1.2272727272727273</v>
      </c>
      <c r="CH74" s="3">
        <f t="shared" si="139"/>
        <v>2.0874999999999999E-3</v>
      </c>
      <c r="CI74" s="3">
        <f t="shared" si="77"/>
        <v>3.6363636363636244E-2</v>
      </c>
      <c r="CJ74" s="3">
        <f t="shared" si="78"/>
        <v>0</v>
      </c>
      <c r="CK74" s="3">
        <f t="shared" si="140"/>
        <v>1.6363636363636365E-2</v>
      </c>
      <c r="CL74" s="214">
        <f t="shared" si="141"/>
        <v>1.35E-2</v>
      </c>
      <c r="CM74" s="50">
        <f t="shared" si="79"/>
        <v>1.2638161400122343</v>
      </c>
      <c r="CO74" s="22" t="s">
        <v>80</v>
      </c>
      <c r="CP74" s="208">
        <v>81.92</v>
      </c>
      <c r="CQ74" s="208">
        <v>-81.917500000000004</v>
      </c>
      <c r="CR74" s="24">
        <f t="shared" si="143"/>
        <v>8.19</v>
      </c>
      <c r="CS74" s="24"/>
    </row>
    <row r="75" spans="16:97">
      <c r="P75" s="116">
        <f t="shared" si="85"/>
        <v>6.0000000000000001E-3</v>
      </c>
      <c r="Q75" s="135">
        <f t="shared" ref="Q75:Q106" si="144">IF(calcshunt="Yes",($P75*$C$32/1000),($P75*$J$19/1000))</f>
        <v>2.9999999999999997E-5</v>
      </c>
      <c r="R75" s="49">
        <f t="shared" ref="R75:R106" si="145">IF(RTC="Yes",0,((VOS_1/1000000)/Q75))</f>
        <v>16.666666666666668</v>
      </c>
      <c r="S75" s="3">
        <f t="shared" ref="S75:S106" si="146">IF(R$8&lt;&gt;0,"ERROR",IF(RTC="Yes",0,GE_1))</f>
        <v>8.0000000000000002E-3</v>
      </c>
      <c r="T75" s="49">
        <f t="shared" ref="T75:T106" si="147">IF(RTC="Yes",0,(($T$7*ABS(Vsupply-$T$8))/Q75))</f>
        <v>0.13333333333333289</v>
      </c>
      <c r="U75" s="49">
        <f t="shared" ref="U75:U106" si="148">IF(RTC="Yes",0,(($U$7*ABS(Vcm-$U$8))/Q75))</f>
        <v>0</v>
      </c>
      <c r="V75" s="49">
        <f t="shared" ref="V75:V106" si="149">IF(RTC="Yes",0,((ibias1/1000000)/$P75))</f>
        <v>1.3333333333333334E-2</v>
      </c>
      <c r="W75" s="3">
        <f t="shared" ref="W75:W106" si="150">IF(RTC="Yes",0,$J$20)</f>
        <v>0.01</v>
      </c>
      <c r="X75" s="50">
        <f t="shared" si="60"/>
        <v>16.800010171954593</v>
      </c>
      <c r="Y75" s="3">
        <f t="shared" ref="Y75:Y106" si="151">R75+((VOSD1*0.000001*ABS(Desiredtemp-25)))/Q75</f>
        <v>17.833333333333336</v>
      </c>
      <c r="Z75" s="3">
        <f t="shared" ref="Z75:Z106" si="152">S75+(GED_1/1000000*ABS(Desiredtemp-25))</f>
        <v>8.6999999999999994E-3</v>
      </c>
      <c r="AA75" s="3">
        <f t="shared" si="61"/>
        <v>0.13333333333333289</v>
      </c>
      <c r="AB75" s="3">
        <f t="shared" si="62"/>
        <v>0</v>
      </c>
      <c r="AC75" s="3">
        <f t="shared" ref="AC75:AC106" si="153">(ibias1/1000000)/$P75</f>
        <v>1.3333333333333334E-2</v>
      </c>
      <c r="AD75" s="214">
        <f t="shared" ref="AD75:AD106" si="154">((resdrift/1000000)*ABS(Desiredtemp-25))+W75</f>
        <v>1.35E-2</v>
      </c>
      <c r="AE75" s="136">
        <f t="shared" si="63"/>
        <v>17.966678792389231</v>
      </c>
      <c r="AF75" s="16">
        <f t="shared" ref="AF75:AF106" si="155">IF(calcshunt="Yes",($P75*$D$32/1000),($P75*$J$19/1000))</f>
        <v>2.9999999999999997E-5</v>
      </c>
      <c r="AG75" s="49">
        <f t="shared" ref="AG75:AG106" si="156">IF(RTC="Yes",0,((VOS_2/1000000)/AF75))</f>
        <v>0.26666666666666666</v>
      </c>
      <c r="AH75" s="3">
        <f t="shared" ref="AH75:AH106" si="157">IF(AG$8&lt;&gt;0,"ERROR",IF(RTC="Yes",0,GE_2))</f>
        <v>1.4999999999999999E-4</v>
      </c>
      <c r="AI75" s="49">
        <f t="shared" ref="AI75:AI106" si="158">IF(RTC="Yes",0,(($AI$7*ABS(Vsupply-$AI$8))/AF75))</f>
        <v>1.6706241120909013E-3</v>
      </c>
      <c r="AJ75" s="49">
        <f t="shared" ref="AJ75:AJ106" si="159">IF(RTC="Yes",0,(($AJ$7*ABS(Vcm-$AJ$8))/AF75))</f>
        <v>3.794733192202044E-2</v>
      </c>
      <c r="AK75" s="49">
        <f t="shared" ref="AK75:AK106" si="160">IF(RTC="Yes",0,((ibias2/1000000)/$P75))</f>
        <v>7.5000000000000006E-3</v>
      </c>
      <c r="AL75" s="3">
        <f t="shared" ref="AL75:AL106" si="161">IF(RTC="Yes",0,$J$20)</f>
        <v>0.01</v>
      </c>
      <c r="AM75" s="50">
        <f t="shared" si="64"/>
        <v>0.30653962648075034</v>
      </c>
      <c r="AN75" s="3">
        <f t="shared" ref="AN75:AN106" si="162">AG75+((VOSD2*0.000001*ABS(Desiredtemp-25)))/AF75</f>
        <v>0.3833333333333333</v>
      </c>
      <c r="AO75" s="3">
        <f t="shared" ref="AO75:AO106" si="163">AH75+(GED_2/1000000*ABS(Desiredtemp-25))</f>
        <v>2.1999999999999998E-4</v>
      </c>
      <c r="AP75" s="3">
        <f t="shared" si="65"/>
        <v>1.6706241120909013E-3</v>
      </c>
      <c r="AQ75" s="3">
        <f t="shared" si="66"/>
        <v>3.794733192202044E-2</v>
      </c>
      <c r="AR75" s="3">
        <f t="shared" ref="AR75:AR106" si="164">(ibias2/1000000)/$P75</f>
        <v>7.5000000000000006E-3</v>
      </c>
      <c r="AS75" s="214">
        <f t="shared" ref="AS75:AS106" si="165">((resdrift/1000000)*ABS(Desiredtemp-25))+AL75</f>
        <v>1.35E-2</v>
      </c>
      <c r="AT75" s="50">
        <f t="shared" si="67"/>
        <v>0.42323319999449938</v>
      </c>
      <c r="AU75" s="16">
        <f t="shared" ref="AU75:AU106" si="166">IF(calcshunt="Yes",($P75*$E$32/1000),($P75*$J$19/1000))</f>
        <v>2.9999999999999997E-5</v>
      </c>
      <c r="AV75" s="49">
        <f t="shared" ref="AV75:AV106" si="167">IF(RTC="Yes",0,((VOS_3/1000000)/AU75))</f>
        <v>5</v>
      </c>
      <c r="AW75" s="3">
        <f t="shared" ref="AW75:AW106" si="168">IF(AV$8&lt;&gt;0,"ERROR",IF(RTC="Yes",0,GE_3))</f>
        <v>8.0000000000000002E-3</v>
      </c>
      <c r="AX75" s="49">
        <f t="shared" ref="AX75:AX106" si="169">IF(RTC="Yes",0,(($AX$7*ABS(Vsupply-$AX$8))/AU75))</f>
        <v>0.13333333333333289</v>
      </c>
      <c r="AY75" s="49">
        <f t="shared" ref="AY75:AY106" si="170">IF(RTC="Yes",0,(($AY$7*ABS(Vcm-$AY$8))/AU75))</f>
        <v>25.238293779207716</v>
      </c>
      <c r="AZ75" s="49">
        <f t="shared" ref="AZ75:AZ106" si="171">IF(RTC="Yes",0,((ibias3/1000000)/$P75))</f>
        <v>1.3333333333333334E-2</v>
      </c>
      <c r="BA75" s="3">
        <f t="shared" ref="BA75:BA106" si="172">IF(RTC="Yes",0,$J$20)</f>
        <v>0.01</v>
      </c>
      <c r="BB75" s="50">
        <f t="shared" si="68"/>
        <v>30.371632739136963</v>
      </c>
      <c r="BC75" s="3">
        <f t="shared" ref="BC75:BC106" si="173">AV75+((VOSD3*0.000001*ABS(Desiredtemp-25)))/AU75</f>
        <v>6.166666666666667</v>
      </c>
      <c r="BD75" s="3">
        <f t="shared" ref="BD75:BD106" si="174">AW75+(GED_3/1000000*ABS(Desiredtemp-25))</f>
        <v>8.6999999999999994E-3</v>
      </c>
      <c r="BE75" s="3">
        <f t="shared" si="69"/>
        <v>0.13333333333333289</v>
      </c>
      <c r="BF75" s="3">
        <f t="shared" si="70"/>
        <v>25.238293779207716</v>
      </c>
      <c r="BG75" s="3">
        <f t="shared" ref="BG75:BG106" si="175">(ibias3/1000000)/$P75</f>
        <v>1.3333333333333334E-2</v>
      </c>
      <c r="BH75" s="214">
        <f t="shared" ref="BH75:BH106" si="176">((resdrift/1000000)*ABS(Desiredtemp-25))+BA75</f>
        <v>1.35E-2</v>
      </c>
      <c r="BI75" s="50">
        <f t="shared" si="71"/>
        <v>31.538300686964572</v>
      </c>
      <c r="BJ75" s="16">
        <f t="shared" ref="BJ75:BJ106" si="177">IF(calcshunt="Yes",($P75*$F$32/1000),($P75*$J$19/1000))</f>
        <v>2.9999999999999997E-5</v>
      </c>
      <c r="BK75" s="49">
        <f t="shared" ref="BK75:BK106" si="178">IF(RTC="Yes",0,((VOS_4/1000000)/BJ75))</f>
        <v>5</v>
      </c>
      <c r="BL75" s="3">
        <f t="shared" ref="BL75:BL106" si="179">IF(BK$8&lt;&gt;0,"ERROR",IF(RTC="Yes",0,GE_4))</f>
        <v>1E-3</v>
      </c>
      <c r="BM75" s="49">
        <f t="shared" ref="BM75:BM106" si="180">IF(RTC="Yes",0,(($BM$7*ABS(Vsupply-$BM$8))/BJ75))</f>
        <v>3.3333333333333222E-2</v>
      </c>
      <c r="BN75" s="49">
        <f t="shared" ref="BN75:BN106" si="181">IF(RTC="Yes",0,(($BN$7*ABS(Vcm-$BN$8))/BJ75))</f>
        <v>1.2000000000000002</v>
      </c>
      <c r="BO75" s="49">
        <f t="shared" ref="BO75:BO106" si="182">IF(RTC="Yes",0,((ibias4/1000000)/$P75))</f>
        <v>7.5000000000000006E-3</v>
      </c>
      <c r="BP75" s="3">
        <f t="shared" ref="BP75:BP106" si="183">IF(RTC="Yes",0,$J$20)</f>
        <v>0.01</v>
      </c>
      <c r="BQ75" s="50">
        <f t="shared" si="72"/>
        <v>6.233345946956935</v>
      </c>
      <c r="BR75" s="3">
        <f t="shared" ref="BR75:BR106" si="184">BK75+((VOSD4*0.000001*ABS(Desiredtemp-25)))/BJ75</f>
        <v>5.583333333333333</v>
      </c>
      <c r="BS75" s="3">
        <f t="shared" ref="BS75:BS106" si="185">BL75+(GED_4/1000000*ABS(Desiredtemp-25))</f>
        <v>1.175E-3</v>
      </c>
      <c r="BT75" s="3">
        <f t="shared" si="73"/>
        <v>3.3333333333333222E-2</v>
      </c>
      <c r="BU75" s="3">
        <f t="shared" si="74"/>
        <v>1.2000000000000002</v>
      </c>
      <c r="BV75" s="3">
        <f t="shared" ref="BV75:BV106" si="186">(ibias4/1000000)/$P75</f>
        <v>7.5000000000000006E-3</v>
      </c>
      <c r="BW75" s="214">
        <f t="shared" ref="BW75:BW106" si="187">((resdrift/1000000)*ABS(Desiredtemp-25))+BP75</f>
        <v>1.35E-2</v>
      </c>
      <c r="BX75" s="50">
        <f t="shared" si="75"/>
        <v>6.8166842617998267</v>
      </c>
      <c r="BY75" s="16">
        <f t="shared" ref="BY75:BY106" si="188">IF(calcshunt="Yes",($P75*$G$32/1000),($P75*$J$19/1000))</f>
        <v>2.9999999999999997E-5</v>
      </c>
      <c r="BZ75" s="49">
        <f t="shared" ref="BZ75:BZ106" si="189">IF(RTC="Yes",0,((VOS_5/1000000)/BY75))</f>
        <v>0.83333333333333337</v>
      </c>
      <c r="CA75" s="3">
        <f t="shared" ref="CA75:CA106" si="190">IF(BZ$8&lt;&gt;0,"ERROR",IF(RTC="Yes",0,GE_5))</f>
        <v>2E-3</v>
      </c>
      <c r="CB75" s="49">
        <f t="shared" ref="CB75:CB106" si="191">IF(RTC="Yes",0,(($CB$7*ABS(Vsupply-$CB$8))/BY75))</f>
        <v>3.3333333333333222E-2</v>
      </c>
      <c r="CC75" s="49">
        <f t="shared" ref="CC75:CC106" si="192">IF(RTC="Yes",0,(($CC$7*ABS(Vcm-$CC$8))/BY75))</f>
        <v>0</v>
      </c>
      <c r="CD75" s="49">
        <f t="shared" ref="CD75:CD106" si="193">IF(RTC="Yes",0,((ibias5/1000000)/$P75))</f>
        <v>1.5000000000000001E-2</v>
      </c>
      <c r="CE75" s="3">
        <f t="shared" ref="CE75:CE106" si="194">IF(RTC="Yes",0,$J$20)</f>
        <v>0.01</v>
      </c>
      <c r="CF75" s="50">
        <f t="shared" si="76"/>
        <v>0.86685645357874042</v>
      </c>
      <c r="CG75" s="3">
        <f t="shared" ref="CG75:CG106" si="195">BZ75+((VOSD5*0.000001*ABS(Desiredtemp-25)))/BY75</f>
        <v>1.125</v>
      </c>
      <c r="CH75" s="3">
        <f t="shared" ref="CH75:CH106" si="196">CA75+(GED_5/1000000*ABS(Desiredtemp-25))</f>
        <v>2.0874999999999999E-3</v>
      </c>
      <c r="CI75" s="3">
        <f t="shared" si="77"/>
        <v>3.3333333333333222E-2</v>
      </c>
      <c r="CJ75" s="3">
        <f t="shared" si="78"/>
        <v>0</v>
      </c>
      <c r="CK75" s="3">
        <f t="shared" ref="CK75:CK106" si="197">(ibias5/1000000)/$P75</f>
        <v>1.5000000000000001E-2</v>
      </c>
      <c r="CL75" s="214">
        <f t="shared" ref="CL75:CL106" si="198">((resdrift/1000000)*ABS(Desiredtemp-25))+CE75</f>
        <v>1.35E-2</v>
      </c>
      <c r="CM75" s="50">
        <f t="shared" si="79"/>
        <v>1.1585109920787806</v>
      </c>
      <c r="CO75" s="22" t="s">
        <v>81</v>
      </c>
      <c r="CP75" s="208">
        <v>81.92</v>
      </c>
      <c r="CQ75" s="208">
        <v>-81.917500000000004</v>
      </c>
      <c r="CR75" s="24">
        <f t="shared" si="143"/>
        <v>8.19</v>
      </c>
      <c r="CS75" s="24"/>
    </row>
    <row r="76" spans="16:97">
      <c r="P76" s="116">
        <f t="shared" si="85"/>
        <v>6.4999999999999997E-3</v>
      </c>
      <c r="Q76" s="135">
        <f t="shared" si="144"/>
        <v>3.2500000000000004E-5</v>
      </c>
      <c r="R76" s="49">
        <f t="shared" si="145"/>
        <v>15.384615384615383</v>
      </c>
      <c r="S76" s="3">
        <f t="shared" si="146"/>
        <v>8.0000000000000002E-3</v>
      </c>
      <c r="T76" s="49">
        <f t="shared" si="147"/>
        <v>0.12307692307692264</v>
      </c>
      <c r="U76" s="49">
        <f t="shared" si="148"/>
        <v>0</v>
      </c>
      <c r="V76" s="49">
        <f t="shared" si="149"/>
        <v>1.2307692307692309E-2</v>
      </c>
      <c r="W76" s="3">
        <f t="shared" si="150"/>
        <v>0.01</v>
      </c>
      <c r="X76" s="50">
        <f t="shared" ref="X76:X139" si="199">SQRT((V76^2)+(R76+T76+U76)^2+(S76)^2+(W76)^2)</f>
        <v>15.507702479392266</v>
      </c>
      <c r="Y76" s="3">
        <f t="shared" si="151"/>
        <v>16.46153846153846</v>
      </c>
      <c r="Z76" s="3">
        <f t="shared" si="152"/>
        <v>8.6999999999999994E-3</v>
      </c>
      <c r="AA76" s="3">
        <f t="shared" ref="AA76:AA139" si="200">T76</f>
        <v>0.12307692307692264</v>
      </c>
      <c r="AB76" s="3">
        <f t="shared" ref="AB76:AB139" si="201">U76</f>
        <v>0</v>
      </c>
      <c r="AC76" s="3">
        <f t="shared" si="153"/>
        <v>1.2307692307692309E-2</v>
      </c>
      <c r="AD76" s="214">
        <f t="shared" si="154"/>
        <v>1.35E-2</v>
      </c>
      <c r="AE76" s="136">
        <f t="shared" ref="AE76:AE139" si="202">SQRT(((Y76+AA76+AB76)^2+(Z76)^2+(AC76)^2+(AD76)^2))</f>
        <v>16.584627727956732</v>
      </c>
      <c r="AF76" s="16">
        <f t="shared" si="155"/>
        <v>3.2500000000000004E-5</v>
      </c>
      <c r="AG76" s="49">
        <f t="shared" si="156"/>
        <v>0.24615384615384611</v>
      </c>
      <c r="AH76" s="3">
        <f t="shared" si="157"/>
        <v>1.4999999999999999E-4</v>
      </c>
      <c r="AI76" s="49">
        <f t="shared" si="158"/>
        <v>1.5421145650069857E-3</v>
      </c>
      <c r="AJ76" s="49">
        <f t="shared" si="159"/>
        <v>3.5028306389557326E-2</v>
      </c>
      <c r="AK76" s="49">
        <f t="shared" si="160"/>
        <v>6.9230769230769242E-3</v>
      </c>
      <c r="AL76" s="3">
        <f t="shared" si="161"/>
        <v>0.01</v>
      </c>
      <c r="AM76" s="50">
        <f t="shared" ref="AM76:AM139" si="203">SQRT((AK76^2)+(AG76+AI76+AJ76)^2+(AH76)^2+(AL76)^2)</f>
        <v>0.28298579947776648</v>
      </c>
      <c r="AN76" s="3">
        <f t="shared" si="162"/>
        <v>0.35384615384615381</v>
      </c>
      <c r="AO76" s="3">
        <f t="shared" si="163"/>
        <v>2.1999999999999998E-4</v>
      </c>
      <c r="AP76" s="3">
        <f t="shared" ref="AP76:AP139" si="204">AI76</f>
        <v>1.5421145650069857E-3</v>
      </c>
      <c r="AQ76" s="3">
        <f t="shared" ref="AQ76:AQ139" si="205">AJ76</f>
        <v>3.5028306389557326E-2</v>
      </c>
      <c r="AR76" s="3">
        <f t="shared" si="164"/>
        <v>6.9230769230769242E-3</v>
      </c>
      <c r="AS76" s="214">
        <f t="shared" si="165"/>
        <v>1.35E-2</v>
      </c>
      <c r="AT76" s="50">
        <f t="shared" ref="AT76:AT139" si="206">SQRT(((AN76+AP76+AQ76)^2+(AO76)^2+(AR76)^2+(AS76)^2))</f>
        <v>0.39071131193402575</v>
      </c>
      <c r="AU76" s="16">
        <f t="shared" si="166"/>
        <v>3.2500000000000004E-5</v>
      </c>
      <c r="AV76" s="49">
        <f t="shared" si="167"/>
        <v>4.6153846153846141</v>
      </c>
      <c r="AW76" s="3">
        <f t="shared" si="168"/>
        <v>8.0000000000000002E-3</v>
      </c>
      <c r="AX76" s="49">
        <f t="shared" si="169"/>
        <v>0.12307692307692264</v>
      </c>
      <c r="AY76" s="49">
        <f t="shared" si="170"/>
        <v>23.296886565422501</v>
      </c>
      <c r="AZ76" s="49">
        <f t="shared" si="171"/>
        <v>1.2307692307692309E-2</v>
      </c>
      <c r="BA76" s="3">
        <f t="shared" si="172"/>
        <v>0.01</v>
      </c>
      <c r="BB76" s="50">
        <f t="shared" ref="BB76:BB139" si="207">SQRT((AZ76^2)+(AV76+AX76+AY76)^2+(AW76)^2+(BA76)^2)</f>
        <v>28.0353537303392</v>
      </c>
      <c r="BC76" s="3">
        <f t="shared" si="173"/>
        <v>5.6923076923076907</v>
      </c>
      <c r="BD76" s="3">
        <f t="shared" si="174"/>
        <v>8.6999999999999994E-3</v>
      </c>
      <c r="BE76" s="3">
        <f t="shared" ref="BE76:BE139" si="208">AX76</f>
        <v>0.12307692307692264</v>
      </c>
      <c r="BF76" s="3">
        <f t="shared" ref="BF76:BF139" si="209">AY76</f>
        <v>23.296886565422501</v>
      </c>
      <c r="BG76" s="3">
        <f t="shared" si="175"/>
        <v>1.2307692307692309E-2</v>
      </c>
      <c r="BH76" s="214">
        <f t="shared" si="176"/>
        <v>1.35E-2</v>
      </c>
      <c r="BI76" s="50">
        <f t="shared" ref="BI76:BI139" si="210">SQRT(((BC76+BE76+BF76)^2+(BD76)^2+(BG76)^2+(BH76)^2))</f>
        <v>29.112278212536754</v>
      </c>
      <c r="BJ76" s="16">
        <f t="shared" si="177"/>
        <v>3.2500000000000004E-5</v>
      </c>
      <c r="BK76" s="49">
        <f t="shared" si="178"/>
        <v>4.6153846153846141</v>
      </c>
      <c r="BL76" s="3">
        <f t="shared" si="179"/>
        <v>1E-3</v>
      </c>
      <c r="BM76" s="49">
        <f t="shared" si="180"/>
        <v>3.076923076923066E-2</v>
      </c>
      <c r="BN76" s="49">
        <f t="shared" si="181"/>
        <v>1.1076923076923075</v>
      </c>
      <c r="BO76" s="49">
        <f t="shared" si="182"/>
        <v>6.9230769230769242E-3</v>
      </c>
      <c r="BP76" s="3">
        <f t="shared" si="183"/>
        <v>0.01</v>
      </c>
      <c r="BQ76" s="50">
        <f t="shared" ref="BQ76:BQ139" si="211">SQRT((BO76^2)+(BK76+BM76+BN76)^2+(BL76)^2+(BP76)^2)</f>
        <v>5.7538590955222606</v>
      </c>
      <c r="BR76" s="3">
        <f t="shared" si="184"/>
        <v>5.1538461538461524</v>
      </c>
      <c r="BS76" s="3">
        <f t="shared" si="185"/>
        <v>1.175E-3</v>
      </c>
      <c r="BT76" s="3">
        <f t="shared" ref="BT76:BT139" si="212">BM76</f>
        <v>3.076923076923066E-2</v>
      </c>
      <c r="BU76" s="3">
        <f t="shared" ref="BU76:BU139" si="213">BN76</f>
        <v>1.1076923076923075</v>
      </c>
      <c r="BV76" s="3">
        <f t="shared" si="186"/>
        <v>6.9230769230769242E-3</v>
      </c>
      <c r="BW76" s="214">
        <f t="shared" si="187"/>
        <v>1.35E-2</v>
      </c>
      <c r="BX76" s="50">
        <f t="shared" ref="BX76:BX139" si="214">SQRT(((BR76+BT76+BU76)^2+(BS76)^2+(BV76)^2+(BW76)^2))</f>
        <v>6.292326092495018</v>
      </c>
      <c r="BY76" s="16">
        <f t="shared" si="188"/>
        <v>3.2500000000000004E-5</v>
      </c>
      <c r="BZ76" s="49">
        <f t="shared" si="189"/>
        <v>0.76923076923076905</v>
      </c>
      <c r="CA76" s="3">
        <f t="shared" si="190"/>
        <v>2E-3</v>
      </c>
      <c r="CB76" s="49">
        <f t="shared" si="191"/>
        <v>3.076923076923066E-2</v>
      </c>
      <c r="CC76" s="49">
        <f t="shared" si="192"/>
        <v>0</v>
      </c>
      <c r="CD76" s="49">
        <f t="shared" si="193"/>
        <v>1.3846153846153848E-2</v>
      </c>
      <c r="CE76" s="3">
        <f t="shared" si="194"/>
        <v>0.01</v>
      </c>
      <c r="CF76" s="50">
        <f t="shared" ref="CF76:CF139" si="215">SQRT((CD76^2)+(BZ76+CB76+CC76)^2+(CA76)^2+(CE76)^2)</f>
        <v>0.80018480114054336</v>
      </c>
      <c r="CG76" s="3">
        <f t="shared" si="195"/>
        <v>1.0384615384615383</v>
      </c>
      <c r="CH76" s="3">
        <f t="shared" si="196"/>
        <v>2.0874999999999999E-3</v>
      </c>
      <c r="CI76" s="3">
        <f t="shared" ref="CI76:CI139" si="216">CB76</f>
        <v>3.076923076923066E-2</v>
      </c>
      <c r="CJ76" s="3">
        <f t="shared" ref="CJ76:CJ139" si="217">CC76</f>
        <v>0</v>
      </c>
      <c r="CK76" s="3">
        <f t="shared" si="197"/>
        <v>1.3846153846153848E-2</v>
      </c>
      <c r="CL76" s="214">
        <f t="shared" si="198"/>
        <v>1.35E-2</v>
      </c>
      <c r="CM76" s="50">
        <f t="shared" ref="CM76:CM139" si="218">SQRT(((CG76+CI76+CJ76)^2+(CH76)^2+(CK76)^2+(CL76)^2))</f>
        <v>1.069407668526088</v>
      </c>
      <c r="CO76" s="22" t="s">
        <v>78</v>
      </c>
      <c r="CP76" s="208">
        <v>81.92</v>
      </c>
      <c r="CQ76" s="208">
        <v>-81.917500000000004</v>
      </c>
      <c r="CR76" s="24">
        <f t="shared" si="143"/>
        <v>8.19</v>
      </c>
      <c r="CS76" s="24"/>
    </row>
    <row r="77" spans="16:97">
      <c r="P77" s="116">
        <f t="shared" si="85"/>
        <v>6.9999999999999993E-3</v>
      </c>
      <c r="Q77" s="135">
        <f t="shared" si="144"/>
        <v>3.4999999999999997E-5</v>
      </c>
      <c r="R77" s="49">
        <f t="shared" si="145"/>
        <v>14.285714285714286</v>
      </c>
      <c r="S77" s="3">
        <f t="shared" si="146"/>
        <v>8.0000000000000002E-3</v>
      </c>
      <c r="T77" s="49">
        <f t="shared" si="147"/>
        <v>0.11428571428571391</v>
      </c>
      <c r="U77" s="49">
        <f t="shared" si="148"/>
        <v>0</v>
      </c>
      <c r="V77" s="49">
        <f t="shared" si="149"/>
        <v>1.142857142857143E-2</v>
      </c>
      <c r="W77" s="3">
        <f t="shared" si="150"/>
        <v>0.01</v>
      </c>
      <c r="X77" s="50">
        <f t="shared" si="199"/>
        <v>14.400010229588204</v>
      </c>
      <c r="Y77" s="3">
        <f t="shared" si="151"/>
        <v>15.285714285714286</v>
      </c>
      <c r="Z77" s="3">
        <f t="shared" si="152"/>
        <v>8.6999999999999994E-3</v>
      </c>
      <c r="AA77" s="3">
        <f t="shared" si="200"/>
        <v>0.11428571428571391</v>
      </c>
      <c r="AB77" s="3">
        <f t="shared" si="201"/>
        <v>0</v>
      </c>
      <c r="AC77" s="3">
        <f t="shared" si="153"/>
        <v>1.142857142857143E-2</v>
      </c>
      <c r="AD77" s="214">
        <f t="shared" si="154"/>
        <v>1.35E-2</v>
      </c>
      <c r="AE77" s="136">
        <f t="shared" si="202"/>
        <v>15.40001261532746</v>
      </c>
      <c r="AF77" s="16">
        <f t="shared" si="155"/>
        <v>3.4999999999999997E-5</v>
      </c>
      <c r="AG77" s="49">
        <f t="shared" si="156"/>
        <v>0.22857142857142859</v>
      </c>
      <c r="AH77" s="3">
        <f t="shared" si="157"/>
        <v>1.4999999999999999E-4</v>
      </c>
      <c r="AI77" s="49">
        <f t="shared" si="158"/>
        <v>1.431963524649344E-3</v>
      </c>
      <c r="AJ77" s="49">
        <f t="shared" si="159"/>
        <v>3.252628450458895E-2</v>
      </c>
      <c r="AK77" s="49">
        <f t="shared" si="160"/>
        <v>6.4285714285714293E-3</v>
      </c>
      <c r="AL77" s="3">
        <f t="shared" si="161"/>
        <v>0.01</v>
      </c>
      <c r="AM77" s="50">
        <f t="shared" si="203"/>
        <v>0.262798744530226</v>
      </c>
      <c r="AN77" s="3">
        <f t="shared" si="162"/>
        <v>0.32857142857142863</v>
      </c>
      <c r="AO77" s="3">
        <f t="shared" si="163"/>
        <v>2.1999999999999998E-4</v>
      </c>
      <c r="AP77" s="3">
        <f t="shared" si="204"/>
        <v>1.431963524649344E-3</v>
      </c>
      <c r="AQ77" s="3">
        <f t="shared" si="205"/>
        <v>3.252628450458895E-2</v>
      </c>
      <c r="AR77" s="3">
        <f t="shared" si="164"/>
        <v>6.4285714285714293E-3</v>
      </c>
      <c r="AS77" s="214">
        <f t="shared" si="165"/>
        <v>1.35E-2</v>
      </c>
      <c r="AT77" s="50">
        <f t="shared" si="206"/>
        <v>0.36283796844706923</v>
      </c>
      <c r="AU77" s="16">
        <f t="shared" si="166"/>
        <v>3.4999999999999997E-5</v>
      </c>
      <c r="AV77" s="49">
        <f t="shared" si="167"/>
        <v>4.2857142857142856</v>
      </c>
      <c r="AW77" s="3">
        <f t="shared" si="168"/>
        <v>8.0000000000000002E-3</v>
      </c>
      <c r="AX77" s="49">
        <f t="shared" si="169"/>
        <v>0.11428571428571391</v>
      </c>
      <c r="AY77" s="49">
        <f t="shared" si="170"/>
        <v>21.632823239320899</v>
      </c>
      <c r="AZ77" s="49">
        <f t="shared" si="171"/>
        <v>1.142857142857143E-2</v>
      </c>
      <c r="BA77" s="3">
        <f t="shared" si="172"/>
        <v>0.01</v>
      </c>
      <c r="BB77" s="50">
        <f t="shared" si="207"/>
        <v>26.032828897796932</v>
      </c>
      <c r="BC77" s="3">
        <f t="shared" si="173"/>
        <v>5.2857142857142856</v>
      </c>
      <c r="BD77" s="3">
        <f t="shared" si="174"/>
        <v>8.6999999999999994E-3</v>
      </c>
      <c r="BE77" s="3">
        <f t="shared" si="208"/>
        <v>0.11428571428571391</v>
      </c>
      <c r="BF77" s="3">
        <f t="shared" si="209"/>
        <v>21.632823239320899</v>
      </c>
      <c r="BG77" s="3">
        <f t="shared" si="175"/>
        <v>1.142857142857143E-2</v>
      </c>
      <c r="BH77" s="214">
        <f t="shared" si="176"/>
        <v>1.35E-2</v>
      </c>
      <c r="BI77" s="50">
        <f t="shared" si="210"/>
        <v>27.032830425995218</v>
      </c>
      <c r="BJ77" s="16">
        <f t="shared" si="177"/>
        <v>3.4999999999999997E-5</v>
      </c>
      <c r="BK77" s="49">
        <f t="shared" si="178"/>
        <v>4.2857142857142856</v>
      </c>
      <c r="BL77" s="3">
        <f t="shared" si="179"/>
        <v>1E-3</v>
      </c>
      <c r="BM77" s="49">
        <f t="shared" si="180"/>
        <v>2.8571428571428477E-2</v>
      </c>
      <c r="BN77" s="49">
        <f t="shared" si="181"/>
        <v>1.0285714285714287</v>
      </c>
      <c r="BO77" s="49">
        <f t="shared" si="182"/>
        <v>6.4285714285714293E-3</v>
      </c>
      <c r="BP77" s="3">
        <f t="shared" si="183"/>
        <v>0.01</v>
      </c>
      <c r="BQ77" s="50">
        <f t="shared" si="211"/>
        <v>5.3428704621682721</v>
      </c>
      <c r="BR77" s="3">
        <f t="shared" si="184"/>
        <v>4.7857142857142856</v>
      </c>
      <c r="BS77" s="3">
        <f t="shared" si="185"/>
        <v>1.175E-3</v>
      </c>
      <c r="BT77" s="3">
        <f t="shared" si="212"/>
        <v>2.8571428571428477E-2</v>
      </c>
      <c r="BU77" s="3">
        <f t="shared" si="213"/>
        <v>1.0285714285714287</v>
      </c>
      <c r="BV77" s="3">
        <f t="shared" si="186"/>
        <v>6.4285714285714293E-3</v>
      </c>
      <c r="BW77" s="214">
        <f t="shared" si="187"/>
        <v>1.35E-2</v>
      </c>
      <c r="BX77" s="50">
        <f t="shared" si="214"/>
        <v>5.842876393437769</v>
      </c>
      <c r="BY77" s="16">
        <f t="shared" si="188"/>
        <v>3.4999999999999997E-5</v>
      </c>
      <c r="BZ77" s="49">
        <f t="shared" si="189"/>
        <v>0.7142857142857143</v>
      </c>
      <c r="CA77" s="3">
        <f t="shared" si="190"/>
        <v>2E-3</v>
      </c>
      <c r="CB77" s="49">
        <f t="shared" si="191"/>
        <v>2.8571428571428477E-2</v>
      </c>
      <c r="CC77" s="49">
        <f t="shared" si="192"/>
        <v>0</v>
      </c>
      <c r="CD77" s="49">
        <f t="shared" si="193"/>
        <v>1.2857142857142859E-2</v>
      </c>
      <c r="CE77" s="3">
        <f t="shared" si="194"/>
        <v>0.01</v>
      </c>
      <c r="CF77" s="50">
        <f t="shared" si="215"/>
        <v>0.74303838448382087</v>
      </c>
      <c r="CG77" s="3">
        <f t="shared" si="195"/>
        <v>0.9642857142857143</v>
      </c>
      <c r="CH77" s="3">
        <f t="shared" si="196"/>
        <v>2.0874999999999999E-3</v>
      </c>
      <c r="CI77" s="3">
        <f t="shared" si="216"/>
        <v>2.8571428571428477E-2</v>
      </c>
      <c r="CJ77" s="3">
        <f t="shared" si="217"/>
        <v>0</v>
      </c>
      <c r="CK77" s="3">
        <f t="shared" si="197"/>
        <v>1.2857142857142859E-2</v>
      </c>
      <c r="CL77" s="214">
        <f t="shared" si="198"/>
        <v>1.35E-2</v>
      </c>
      <c r="CM77" s="50">
        <f t="shared" si="218"/>
        <v>0.99303434980928418</v>
      </c>
      <c r="CO77" s="22" t="s">
        <v>510</v>
      </c>
      <c r="CP77" s="208">
        <v>81.92</v>
      </c>
      <c r="CQ77" s="208">
        <v>-81.917500000000004</v>
      </c>
      <c r="CR77" s="24">
        <f t="shared" si="143"/>
        <v>8.19</v>
      </c>
      <c r="CS77" s="24"/>
    </row>
    <row r="78" spans="16:97">
      <c r="P78" s="116">
        <f t="shared" si="85"/>
        <v>7.4999999999999997E-3</v>
      </c>
      <c r="Q78" s="135">
        <f t="shared" si="144"/>
        <v>3.7499999999999997E-5</v>
      </c>
      <c r="R78" s="49">
        <f t="shared" si="145"/>
        <v>13.333333333333334</v>
      </c>
      <c r="S78" s="3">
        <f t="shared" si="146"/>
        <v>8.0000000000000002E-3</v>
      </c>
      <c r="T78" s="49">
        <f t="shared" si="147"/>
        <v>0.10666666666666631</v>
      </c>
      <c r="U78" s="49">
        <f t="shared" si="148"/>
        <v>0</v>
      </c>
      <c r="V78" s="49">
        <f t="shared" si="149"/>
        <v>1.0666666666666668E-2</v>
      </c>
      <c r="W78" s="3">
        <f t="shared" si="150"/>
        <v>0.01</v>
      </c>
      <c r="X78" s="50">
        <f t="shared" si="199"/>
        <v>13.440010333990736</v>
      </c>
      <c r="Y78" s="3">
        <f t="shared" si="151"/>
        <v>14.266666666666667</v>
      </c>
      <c r="Z78" s="3">
        <f t="shared" si="152"/>
        <v>8.6999999999999994E-3</v>
      </c>
      <c r="AA78" s="3">
        <f t="shared" si="200"/>
        <v>0.10666666666666631</v>
      </c>
      <c r="AB78" s="3">
        <f t="shared" si="201"/>
        <v>0</v>
      </c>
      <c r="AC78" s="3">
        <f t="shared" si="153"/>
        <v>1.0666666666666668E-2</v>
      </c>
      <c r="AD78" s="214">
        <f t="shared" si="154"/>
        <v>1.35E-2</v>
      </c>
      <c r="AE78" s="136">
        <f t="shared" si="202"/>
        <v>14.37334626414075</v>
      </c>
      <c r="AF78" s="16">
        <f t="shared" si="155"/>
        <v>3.7499999999999997E-5</v>
      </c>
      <c r="AG78" s="49">
        <f t="shared" si="156"/>
        <v>0.21333333333333335</v>
      </c>
      <c r="AH78" s="3">
        <f t="shared" si="157"/>
        <v>1.4999999999999999E-4</v>
      </c>
      <c r="AI78" s="49">
        <f t="shared" si="158"/>
        <v>1.336499289672721E-3</v>
      </c>
      <c r="AJ78" s="49">
        <f t="shared" si="159"/>
        <v>3.0357865537616352E-2</v>
      </c>
      <c r="AK78" s="49">
        <f t="shared" si="160"/>
        <v>6.000000000000001E-3</v>
      </c>
      <c r="AL78" s="3">
        <f t="shared" si="161"/>
        <v>0.01</v>
      </c>
      <c r="AM78" s="50">
        <f t="shared" si="203"/>
        <v>0.24530510668531361</v>
      </c>
      <c r="AN78" s="3">
        <f t="shared" si="162"/>
        <v>0.3066666666666667</v>
      </c>
      <c r="AO78" s="3">
        <f t="shared" si="163"/>
        <v>2.1999999999999998E-4</v>
      </c>
      <c r="AP78" s="3">
        <f t="shared" si="204"/>
        <v>1.336499289672721E-3</v>
      </c>
      <c r="AQ78" s="3">
        <f t="shared" si="205"/>
        <v>3.0357865537616352E-2</v>
      </c>
      <c r="AR78" s="3">
        <f t="shared" si="164"/>
        <v>6.000000000000001E-3</v>
      </c>
      <c r="AS78" s="214">
        <f t="shared" si="165"/>
        <v>1.35E-2</v>
      </c>
      <c r="AT78" s="50">
        <f t="shared" si="206"/>
        <v>0.33868345993516386</v>
      </c>
      <c r="AU78" s="16">
        <f t="shared" si="166"/>
        <v>3.7499999999999997E-5</v>
      </c>
      <c r="AV78" s="49">
        <f t="shared" si="167"/>
        <v>4</v>
      </c>
      <c r="AW78" s="3">
        <f t="shared" si="168"/>
        <v>8.0000000000000002E-3</v>
      </c>
      <c r="AX78" s="49">
        <f t="shared" si="169"/>
        <v>0.10666666666666631</v>
      </c>
      <c r="AY78" s="49">
        <f t="shared" si="170"/>
        <v>20.190635023366173</v>
      </c>
      <c r="AZ78" s="49">
        <f t="shared" si="171"/>
        <v>1.0666666666666668E-2</v>
      </c>
      <c r="BA78" s="3">
        <f t="shared" si="172"/>
        <v>0.01</v>
      </c>
      <c r="BB78" s="50">
        <f t="shared" si="207"/>
        <v>24.297307406259037</v>
      </c>
      <c r="BC78" s="3">
        <f t="shared" si="173"/>
        <v>4.9333333333333336</v>
      </c>
      <c r="BD78" s="3">
        <f t="shared" si="174"/>
        <v>8.6999999999999994E-3</v>
      </c>
      <c r="BE78" s="3">
        <f t="shared" si="208"/>
        <v>0.10666666666666631</v>
      </c>
      <c r="BF78" s="3">
        <f t="shared" si="209"/>
        <v>20.190635023366173</v>
      </c>
      <c r="BG78" s="3">
        <f t="shared" si="175"/>
        <v>1.0666666666666668E-2</v>
      </c>
      <c r="BH78" s="214">
        <f t="shared" si="176"/>
        <v>1.35E-2</v>
      </c>
      <c r="BI78" s="50">
        <f t="shared" si="210"/>
        <v>25.230642389762682</v>
      </c>
      <c r="BJ78" s="16">
        <f t="shared" si="177"/>
        <v>3.7499999999999997E-5</v>
      </c>
      <c r="BK78" s="49">
        <f t="shared" si="178"/>
        <v>4</v>
      </c>
      <c r="BL78" s="3">
        <f t="shared" si="179"/>
        <v>1E-3</v>
      </c>
      <c r="BM78" s="49">
        <f t="shared" si="180"/>
        <v>2.6666666666666578E-2</v>
      </c>
      <c r="BN78" s="49">
        <f t="shared" si="181"/>
        <v>0.96000000000000008</v>
      </c>
      <c r="BO78" s="49">
        <f t="shared" si="182"/>
        <v>6.000000000000001E-3</v>
      </c>
      <c r="BP78" s="3">
        <f t="shared" si="183"/>
        <v>0.01</v>
      </c>
      <c r="BQ78" s="50">
        <f t="shared" si="211"/>
        <v>4.9866804032787631</v>
      </c>
      <c r="BR78" s="3">
        <f t="shared" si="184"/>
        <v>4.4666666666666668</v>
      </c>
      <c r="BS78" s="3">
        <f t="shared" si="185"/>
        <v>1.175E-3</v>
      </c>
      <c r="BT78" s="3">
        <f t="shared" si="212"/>
        <v>2.6666666666666578E-2</v>
      </c>
      <c r="BU78" s="3">
        <f t="shared" si="213"/>
        <v>0.96000000000000008</v>
      </c>
      <c r="BV78" s="3">
        <f t="shared" si="186"/>
        <v>6.000000000000001E-3</v>
      </c>
      <c r="BW78" s="214">
        <f t="shared" si="187"/>
        <v>1.35E-2</v>
      </c>
      <c r="BX78" s="50">
        <f t="shared" si="214"/>
        <v>5.4533534705783966</v>
      </c>
      <c r="BY78" s="16">
        <f t="shared" si="188"/>
        <v>3.7499999999999997E-5</v>
      </c>
      <c r="BZ78" s="49">
        <f t="shared" si="189"/>
        <v>0.66666666666666663</v>
      </c>
      <c r="CA78" s="3">
        <f t="shared" si="190"/>
        <v>2E-3</v>
      </c>
      <c r="CB78" s="49">
        <f t="shared" si="191"/>
        <v>2.6666666666666578E-2</v>
      </c>
      <c r="CC78" s="49">
        <f t="shared" si="192"/>
        <v>0</v>
      </c>
      <c r="CD78" s="49">
        <f t="shared" si="193"/>
        <v>1.2000000000000002E-2</v>
      </c>
      <c r="CE78" s="3">
        <f t="shared" si="194"/>
        <v>0.01</v>
      </c>
      <c r="CF78" s="50">
        <f t="shared" si="215"/>
        <v>0.69351215642633901</v>
      </c>
      <c r="CG78" s="3">
        <f t="shared" si="195"/>
        <v>0.89999999999999991</v>
      </c>
      <c r="CH78" s="3">
        <f t="shared" si="196"/>
        <v>2.0874999999999999E-3</v>
      </c>
      <c r="CI78" s="3">
        <f t="shared" si="216"/>
        <v>2.6666666666666578E-2</v>
      </c>
      <c r="CJ78" s="3">
        <f t="shared" si="217"/>
        <v>0</v>
      </c>
      <c r="CK78" s="3">
        <f t="shared" si="197"/>
        <v>1.2000000000000002E-2</v>
      </c>
      <c r="CL78" s="214">
        <f t="shared" si="198"/>
        <v>1.35E-2</v>
      </c>
      <c r="CM78" s="50">
        <f t="shared" si="218"/>
        <v>0.92684503492620651</v>
      </c>
      <c r="CO78" s="22" t="s">
        <v>512</v>
      </c>
      <c r="CP78" s="208">
        <v>20.48</v>
      </c>
      <c r="CQ78" s="208">
        <v>-20.479399999999998</v>
      </c>
      <c r="CR78" s="24">
        <f t="shared" si="143"/>
        <v>2.0499999999999998</v>
      </c>
      <c r="CS78" s="24"/>
    </row>
    <row r="79" spans="16:97">
      <c r="P79" s="116">
        <f t="shared" si="85"/>
        <v>8.0000000000000002E-3</v>
      </c>
      <c r="Q79" s="135">
        <f t="shared" si="144"/>
        <v>4.0000000000000003E-5</v>
      </c>
      <c r="R79" s="49">
        <f t="shared" si="145"/>
        <v>12.5</v>
      </c>
      <c r="S79" s="3">
        <f t="shared" si="146"/>
        <v>8.0000000000000002E-3</v>
      </c>
      <c r="T79" s="49">
        <f t="shared" si="147"/>
        <v>9.9999999999999645E-2</v>
      </c>
      <c r="U79" s="49">
        <f t="shared" si="148"/>
        <v>0</v>
      </c>
      <c r="V79" s="49">
        <f t="shared" si="149"/>
        <v>0.01</v>
      </c>
      <c r="W79" s="3">
        <f t="shared" si="150"/>
        <v>0.01</v>
      </c>
      <c r="X79" s="50">
        <f t="shared" si="199"/>
        <v>12.600010476186121</v>
      </c>
      <c r="Y79" s="3">
        <f t="shared" si="151"/>
        <v>13.375</v>
      </c>
      <c r="Z79" s="3">
        <f t="shared" si="152"/>
        <v>8.6999999999999994E-3</v>
      </c>
      <c r="AA79" s="3">
        <f t="shared" si="200"/>
        <v>9.9999999999999645E-2</v>
      </c>
      <c r="AB79" s="3">
        <f t="shared" si="201"/>
        <v>0</v>
      </c>
      <c r="AC79" s="3">
        <f t="shared" si="153"/>
        <v>0.01</v>
      </c>
      <c r="AD79" s="214">
        <f t="shared" si="154"/>
        <v>1.35E-2</v>
      </c>
      <c r="AE79" s="136">
        <f t="shared" si="202"/>
        <v>13.475013281626108</v>
      </c>
      <c r="AF79" s="16">
        <f t="shared" si="155"/>
        <v>4.0000000000000003E-5</v>
      </c>
      <c r="AG79" s="49">
        <f t="shared" si="156"/>
        <v>0.19999999999999998</v>
      </c>
      <c r="AH79" s="3">
        <f t="shared" si="157"/>
        <v>1.4999999999999999E-4</v>
      </c>
      <c r="AI79" s="49">
        <f t="shared" si="158"/>
        <v>1.252968084068176E-3</v>
      </c>
      <c r="AJ79" s="49">
        <f t="shared" si="159"/>
        <v>2.8460498941515325E-2</v>
      </c>
      <c r="AK79" s="49">
        <f t="shared" si="160"/>
        <v>5.6250000000000007E-3</v>
      </c>
      <c r="AL79" s="3">
        <f t="shared" si="161"/>
        <v>0.01</v>
      </c>
      <c r="AM79" s="50">
        <f t="shared" si="203"/>
        <v>0.22999986969108013</v>
      </c>
      <c r="AN79" s="3">
        <f t="shared" si="162"/>
        <v>0.28749999999999998</v>
      </c>
      <c r="AO79" s="3">
        <f t="shared" si="163"/>
        <v>2.1999999999999998E-4</v>
      </c>
      <c r="AP79" s="3">
        <f t="shared" si="204"/>
        <v>1.252968084068176E-3</v>
      </c>
      <c r="AQ79" s="3">
        <f t="shared" si="205"/>
        <v>2.8460498941515325E-2</v>
      </c>
      <c r="AR79" s="3">
        <f t="shared" si="164"/>
        <v>5.6250000000000007E-3</v>
      </c>
      <c r="AS79" s="214">
        <f t="shared" si="165"/>
        <v>1.35E-2</v>
      </c>
      <c r="AT79" s="50">
        <f t="shared" si="206"/>
        <v>0.31755050415231734</v>
      </c>
      <c r="AU79" s="16">
        <f t="shared" si="166"/>
        <v>4.0000000000000003E-5</v>
      </c>
      <c r="AV79" s="49">
        <f t="shared" si="167"/>
        <v>3.7499999999999996</v>
      </c>
      <c r="AW79" s="3">
        <f t="shared" si="168"/>
        <v>8.0000000000000002E-3</v>
      </c>
      <c r="AX79" s="49">
        <f t="shared" si="169"/>
        <v>9.9999999999999645E-2</v>
      </c>
      <c r="AY79" s="49">
        <f t="shared" si="170"/>
        <v>18.928720334405785</v>
      </c>
      <c r="AZ79" s="49">
        <f t="shared" si="171"/>
        <v>0.01</v>
      </c>
      <c r="BA79" s="3">
        <f t="shared" si="172"/>
        <v>0.01</v>
      </c>
      <c r="BB79" s="50">
        <f t="shared" si="207"/>
        <v>22.7787261292872</v>
      </c>
      <c r="BC79" s="3">
        <f t="shared" si="173"/>
        <v>4.6249999999999991</v>
      </c>
      <c r="BD79" s="3">
        <f t="shared" si="174"/>
        <v>8.6999999999999994E-3</v>
      </c>
      <c r="BE79" s="3">
        <f t="shared" si="208"/>
        <v>9.9999999999999645E-2</v>
      </c>
      <c r="BF79" s="3">
        <f t="shared" si="209"/>
        <v>18.928720334405785</v>
      </c>
      <c r="BG79" s="3">
        <f t="shared" si="175"/>
        <v>0.01</v>
      </c>
      <c r="BH79" s="214">
        <f t="shared" si="176"/>
        <v>1.35E-2</v>
      </c>
      <c r="BI79" s="50">
        <f t="shared" si="210"/>
        <v>23.6537279006562</v>
      </c>
      <c r="BJ79" s="16">
        <f t="shared" si="177"/>
        <v>4.0000000000000003E-5</v>
      </c>
      <c r="BK79" s="49">
        <f t="shared" si="178"/>
        <v>3.7499999999999996</v>
      </c>
      <c r="BL79" s="3">
        <f t="shared" si="179"/>
        <v>1E-3</v>
      </c>
      <c r="BM79" s="49">
        <f t="shared" si="180"/>
        <v>2.4999999999999911E-2</v>
      </c>
      <c r="BN79" s="49">
        <f t="shared" si="181"/>
        <v>0.89999999999999991</v>
      </c>
      <c r="BO79" s="49">
        <f t="shared" si="182"/>
        <v>5.6250000000000007E-3</v>
      </c>
      <c r="BP79" s="3">
        <f t="shared" si="183"/>
        <v>0.01</v>
      </c>
      <c r="BQ79" s="50">
        <f t="shared" si="211"/>
        <v>4.6750141861415768</v>
      </c>
      <c r="BR79" s="3">
        <f t="shared" si="184"/>
        <v>4.1874999999999991</v>
      </c>
      <c r="BS79" s="3">
        <f t="shared" si="185"/>
        <v>1.175E-3</v>
      </c>
      <c r="BT79" s="3">
        <f t="shared" si="212"/>
        <v>2.4999999999999911E-2</v>
      </c>
      <c r="BU79" s="3">
        <f t="shared" si="213"/>
        <v>0.89999999999999991</v>
      </c>
      <c r="BV79" s="3">
        <f t="shared" si="186"/>
        <v>5.6250000000000007E-3</v>
      </c>
      <c r="BW79" s="214">
        <f t="shared" si="187"/>
        <v>1.35E-2</v>
      </c>
      <c r="BX79" s="50">
        <f t="shared" si="214"/>
        <v>5.1125210533796333</v>
      </c>
      <c r="BY79" s="16">
        <f t="shared" si="188"/>
        <v>4.0000000000000003E-5</v>
      </c>
      <c r="BZ79" s="49">
        <f t="shared" si="189"/>
        <v>0.62499999999999989</v>
      </c>
      <c r="CA79" s="3">
        <f t="shared" si="190"/>
        <v>2E-3</v>
      </c>
      <c r="CB79" s="49">
        <f t="shared" si="191"/>
        <v>2.4999999999999911E-2</v>
      </c>
      <c r="CC79" s="49">
        <f t="shared" si="192"/>
        <v>0</v>
      </c>
      <c r="CD79" s="49">
        <f t="shared" si="193"/>
        <v>1.1250000000000001E-2</v>
      </c>
      <c r="CE79" s="3">
        <f t="shared" si="194"/>
        <v>0.01</v>
      </c>
      <c r="CF79" s="50">
        <f t="shared" si="215"/>
        <v>0.65017733157962354</v>
      </c>
      <c r="CG79" s="3">
        <f t="shared" si="195"/>
        <v>0.84374999999999989</v>
      </c>
      <c r="CH79" s="3">
        <f t="shared" si="196"/>
        <v>2.0874999999999999E-3</v>
      </c>
      <c r="CI79" s="3">
        <f t="shared" si="216"/>
        <v>2.4999999999999911E-2</v>
      </c>
      <c r="CJ79" s="3">
        <f t="shared" si="217"/>
        <v>0</v>
      </c>
      <c r="CK79" s="3">
        <f t="shared" si="197"/>
        <v>1.1250000000000001E-2</v>
      </c>
      <c r="CL79" s="214">
        <f t="shared" si="198"/>
        <v>1.35E-2</v>
      </c>
      <c r="CM79" s="50">
        <f t="shared" si="218"/>
        <v>0.8689302231228061</v>
      </c>
      <c r="CO79" s="22" t="s">
        <v>513</v>
      </c>
      <c r="CP79" s="208">
        <v>81.92</v>
      </c>
      <c r="CQ79" s="208">
        <v>-81.917500000000004</v>
      </c>
      <c r="CR79" s="24">
        <f t="shared" si="143"/>
        <v>8.19</v>
      </c>
      <c r="CS79" s="24"/>
    </row>
    <row r="80" spans="16:97">
      <c r="P80" s="116">
        <f t="shared" si="85"/>
        <v>8.5000000000000006E-3</v>
      </c>
      <c r="Q80" s="135">
        <f t="shared" si="144"/>
        <v>4.2500000000000003E-5</v>
      </c>
      <c r="R80" s="49">
        <f t="shared" si="145"/>
        <v>11.76470588235294</v>
      </c>
      <c r="S80" s="3">
        <f t="shared" si="146"/>
        <v>8.0000000000000002E-3</v>
      </c>
      <c r="T80" s="49">
        <f t="shared" si="147"/>
        <v>9.4117647058823195E-2</v>
      </c>
      <c r="U80" s="49">
        <f t="shared" si="148"/>
        <v>0</v>
      </c>
      <c r="V80" s="49">
        <f t="shared" si="149"/>
        <v>9.4117647058823539E-3</v>
      </c>
      <c r="W80" s="3">
        <f t="shared" si="150"/>
        <v>0.01</v>
      </c>
      <c r="X80" s="50">
        <f t="shared" si="199"/>
        <v>11.858834178916785</v>
      </c>
      <c r="Y80" s="3">
        <f t="shared" si="151"/>
        <v>12.588235294117647</v>
      </c>
      <c r="Z80" s="3">
        <f t="shared" si="152"/>
        <v>8.6999999999999994E-3</v>
      </c>
      <c r="AA80" s="3">
        <f t="shared" si="200"/>
        <v>9.4117647058823195E-2</v>
      </c>
      <c r="AB80" s="3">
        <f t="shared" si="201"/>
        <v>0</v>
      </c>
      <c r="AC80" s="3">
        <f t="shared" si="153"/>
        <v>9.4117647058823539E-3</v>
      </c>
      <c r="AD80" s="214">
        <f t="shared" si="154"/>
        <v>1.35E-2</v>
      </c>
      <c r="AE80" s="136">
        <f t="shared" si="202"/>
        <v>12.682366602723732</v>
      </c>
      <c r="AF80" s="16">
        <f t="shared" si="155"/>
        <v>4.2500000000000003E-5</v>
      </c>
      <c r="AG80" s="49">
        <f t="shared" si="156"/>
        <v>0.18823529411764703</v>
      </c>
      <c r="AH80" s="3">
        <f t="shared" si="157"/>
        <v>1.4999999999999999E-4</v>
      </c>
      <c r="AI80" s="49">
        <f t="shared" si="158"/>
        <v>1.1792640791229889E-3</v>
      </c>
      <c r="AJ80" s="49">
        <f t="shared" si="159"/>
        <v>2.67863519449556E-2</v>
      </c>
      <c r="AK80" s="49">
        <f t="shared" si="160"/>
        <v>5.2941176470588233E-3</v>
      </c>
      <c r="AL80" s="3">
        <f t="shared" si="161"/>
        <v>0.01</v>
      </c>
      <c r="AM80" s="50">
        <f t="shared" si="203"/>
        <v>0.21649684461389138</v>
      </c>
      <c r="AN80" s="3">
        <f t="shared" si="162"/>
        <v>0.27058823529411763</v>
      </c>
      <c r="AO80" s="3">
        <f t="shared" si="163"/>
        <v>2.1999999999999998E-4</v>
      </c>
      <c r="AP80" s="3">
        <f t="shared" si="204"/>
        <v>1.1792640791229889E-3</v>
      </c>
      <c r="AQ80" s="3">
        <f t="shared" si="205"/>
        <v>2.67863519449556E-2</v>
      </c>
      <c r="AR80" s="3">
        <f t="shared" si="164"/>
        <v>5.2941176470588233E-3</v>
      </c>
      <c r="AS80" s="214">
        <f t="shared" si="165"/>
        <v>1.35E-2</v>
      </c>
      <c r="AT80" s="50">
        <f t="shared" si="206"/>
        <v>0.2989058852190577</v>
      </c>
      <c r="AU80" s="16">
        <f t="shared" si="166"/>
        <v>4.2500000000000003E-5</v>
      </c>
      <c r="AV80" s="49">
        <f t="shared" si="167"/>
        <v>3.5294117647058818</v>
      </c>
      <c r="AW80" s="3">
        <f t="shared" si="168"/>
        <v>8.0000000000000002E-3</v>
      </c>
      <c r="AX80" s="49">
        <f t="shared" si="169"/>
        <v>9.4117647058823195E-2</v>
      </c>
      <c r="AY80" s="49">
        <f t="shared" si="170"/>
        <v>17.815266197087798</v>
      </c>
      <c r="AZ80" s="49">
        <f t="shared" si="171"/>
        <v>9.4117647058823539E-3</v>
      </c>
      <c r="BA80" s="3">
        <f t="shared" si="172"/>
        <v>0.01</v>
      </c>
      <c r="BB80" s="50">
        <f t="shared" si="207"/>
        <v>21.438801499605059</v>
      </c>
      <c r="BC80" s="3">
        <f t="shared" si="173"/>
        <v>4.3529411764705879</v>
      </c>
      <c r="BD80" s="3">
        <f t="shared" si="174"/>
        <v>8.6999999999999994E-3</v>
      </c>
      <c r="BE80" s="3">
        <f t="shared" si="208"/>
        <v>9.4117647058823195E-2</v>
      </c>
      <c r="BF80" s="3">
        <f t="shared" si="209"/>
        <v>17.815266197087798</v>
      </c>
      <c r="BG80" s="3">
        <f t="shared" si="175"/>
        <v>9.4117647058823539E-3</v>
      </c>
      <c r="BH80" s="214">
        <f t="shared" si="176"/>
        <v>1.35E-2</v>
      </c>
      <c r="BI80" s="50">
        <f t="shared" si="210"/>
        <v>22.262332803300598</v>
      </c>
      <c r="BJ80" s="16">
        <f t="shared" si="177"/>
        <v>4.2500000000000003E-5</v>
      </c>
      <c r="BK80" s="49">
        <f t="shared" si="178"/>
        <v>3.5294117647058818</v>
      </c>
      <c r="BL80" s="3">
        <f t="shared" si="179"/>
        <v>1E-3</v>
      </c>
      <c r="BM80" s="49">
        <f t="shared" si="180"/>
        <v>2.3529411764705799E-2</v>
      </c>
      <c r="BN80" s="49">
        <f t="shared" si="181"/>
        <v>0.84705882352941175</v>
      </c>
      <c r="BO80" s="49">
        <f t="shared" si="182"/>
        <v>5.2941176470588233E-3</v>
      </c>
      <c r="BP80" s="3">
        <f t="shared" si="183"/>
        <v>0.01</v>
      </c>
      <c r="BQ80" s="50">
        <f t="shared" si="211"/>
        <v>4.4000146622121221</v>
      </c>
      <c r="BR80" s="3">
        <f t="shared" si="184"/>
        <v>3.9411764705882346</v>
      </c>
      <c r="BS80" s="3">
        <f t="shared" si="185"/>
        <v>1.175E-3</v>
      </c>
      <c r="BT80" s="3">
        <f t="shared" si="212"/>
        <v>2.3529411764705799E-2</v>
      </c>
      <c r="BU80" s="3">
        <f t="shared" si="213"/>
        <v>0.84705882352941175</v>
      </c>
      <c r="BV80" s="3">
        <f t="shared" si="186"/>
        <v>5.2941176470588233E-3</v>
      </c>
      <c r="BW80" s="214">
        <f t="shared" si="187"/>
        <v>1.35E-2</v>
      </c>
      <c r="BX80" s="50">
        <f t="shared" si="214"/>
        <v>4.8117866996659089</v>
      </c>
      <c r="BY80" s="16">
        <f t="shared" si="188"/>
        <v>4.2500000000000003E-5</v>
      </c>
      <c r="BZ80" s="49">
        <f t="shared" si="189"/>
        <v>0.58823529411764697</v>
      </c>
      <c r="CA80" s="3">
        <f t="shared" si="190"/>
        <v>2E-3</v>
      </c>
      <c r="CB80" s="49">
        <f t="shared" si="191"/>
        <v>2.3529411764705799E-2</v>
      </c>
      <c r="CC80" s="49">
        <f t="shared" si="192"/>
        <v>0</v>
      </c>
      <c r="CD80" s="49">
        <f t="shared" si="193"/>
        <v>1.0588235294117647E-2</v>
      </c>
      <c r="CE80" s="3">
        <f t="shared" si="194"/>
        <v>0.01</v>
      </c>
      <c r="CF80" s="50">
        <f t="shared" si="215"/>
        <v>0.61194130935079483</v>
      </c>
      <c r="CG80" s="3">
        <f t="shared" si="195"/>
        <v>0.79411764705882337</v>
      </c>
      <c r="CH80" s="3">
        <f t="shared" si="196"/>
        <v>2.0874999999999999E-3</v>
      </c>
      <c r="CI80" s="3">
        <f t="shared" si="216"/>
        <v>2.3529411764705799E-2</v>
      </c>
      <c r="CJ80" s="3">
        <f t="shared" si="217"/>
        <v>0</v>
      </c>
      <c r="CK80" s="3">
        <f t="shared" si="197"/>
        <v>1.0588235294117647E-2</v>
      </c>
      <c r="CL80" s="214">
        <f t="shared" si="198"/>
        <v>1.35E-2</v>
      </c>
      <c r="CM80" s="50">
        <f t="shared" si="218"/>
        <v>0.81782970793782084</v>
      </c>
      <c r="CO80" s="22" t="s">
        <v>514</v>
      </c>
      <c r="CP80" s="208">
        <v>20.48</v>
      </c>
      <c r="CQ80" s="208">
        <v>-20.479399999999998</v>
      </c>
      <c r="CR80" s="24">
        <f t="shared" si="143"/>
        <v>2.0499999999999998</v>
      </c>
      <c r="CS80" s="24"/>
    </row>
    <row r="81" spans="16:97">
      <c r="P81" s="116">
        <f t="shared" si="85"/>
        <v>9.0000000000000011E-3</v>
      </c>
      <c r="Q81" s="135">
        <f t="shared" si="144"/>
        <v>4.5000000000000003E-5</v>
      </c>
      <c r="R81" s="49">
        <f t="shared" si="145"/>
        <v>11.111111111111111</v>
      </c>
      <c r="S81" s="3">
        <f t="shared" si="146"/>
        <v>8.0000000000000002E-3</v>
      </c>
      <c r="T81" s="49">
        <f t="shared" si="147"/>
        <v>8.8888888888888573E-2</v>
      </c>
      <c r="U81" s="49">
        <f t="shared" si="148"/>
        <v>0</v>
      </c>
      <c r="V81" s="49">
        <f t="shared" si="149"/>
        <v>8.8888888888888889E-3</v>
      </c>
      <c r="W81" s="3">
        <f t="shared" si="150"/>
        <v>0.01</v>
      </c>
      <c r="X81" s="50">
        <f t="shared" si="199"/>
        <v>11.200010848760177</v>
      </c>
      <c r="Y81" s="3">
        <f t="shared" si="151"/>
        <v>11.888888888888889</v>
      </c>
      <c r="Z81" s="3">
        <f t="shared" si="152"/>
        <v>8.6999999999999994E-3</v>
      </c>
      <c r="AA81" s="3">
        <f t="shared" si="200"/>
        <v>8.8888888888888573E-2</v>
      </c>
      <c r="AB81" s="3">
        <f t="shared" si="201"/>
        <v>0</v>
      </c>
      <c r="AC81" s="3">
        <f t="shared" si="153"/>
        <v>8.8888888888888889E-3</v>
      </c>
      <c r="AD81" s="214">
        <f t="shared" si="154"/>
        <v>1.35E-2</v>
      </c>
      <c r="AE81" s="136">
        <f t="shared" si="202"/>
        <v>11.977791843498233</v>
      </c>
      <c r="AF81" s="16">
        <f t="shared" si="155"/>
        <v>4.5000000000000003E-5</v>
      </c>
      <c r="AG81" s="49">
        <f t="shared" si="156"/>
        <v>0.17777777777777776</v>
      </c>
      <c r="AH81" s="3">
        <f t="shared" si="157"/>
        <v>1.4999999999999999E-4</v>
      </c>
      <c r="AI81" s="49">
        <f t="shared" si="158"/>
        <v>1.1137494080606007E-3</v>
      </c>
      <c r="AJ81" s="49">
        <f t="shared" si="159"/>
        <v>2.5298221281346955E-2</v>
      </c>
      <c r="AK81" s="49">
        <f t="shared" si="160"/>
        <v>5.0000000000000001E-3</v>
      </c>
      <c r="AL81" s="3">
        <f t="shared" si="161"/>
        <v>0.01</v>
      </c>
      <c r="AM81" s="50">
        <f t="shared" si="203"/>
        <v>0.20449566225006438</v>
      </c>
      <c r="AN81" s="3">
        <f t="shared" si="162"/>
        <v>0.25555555555555554</v>
      </c>
      <c r="AO81" s="3">
        <f t="shared" si="163"/>
        <v>2.1999999999999998E-4</v>
      </c>
      <c r="AP81" s="3">
        <f t="shared" si="204"/>
        <v>1.1137494080606007E-3</v>
      </c>
      <c r="AQ81" s="3">
        <f t="shared" si="205"/>
        <v>2.5298221281346955E-2</v>
      </c>
      <c r="AR81" s="3">
        <f t="shared" si="164"/>
        <v>5.0000000000000001E-3</v>
      </c>
      <c r="AS81" s="214">
        <f t="shared" si="165"/>
        <v>1.35E-2</v>
      </c>
      <c r="AT81" s="50">
        <f t="shared" si="206"/>
        <v>0.28233487963180165</v>
      </c>
      <c r="AU81" s="16">
        <f t="shared" si="166"/>
        <v>4.5000000000000003E-5</v>
      </c>
      <c r="AV81" s="49">
        <f t="shared" si="167"/>
        <v>3.333333333333333</v>
      </c>
      <c r="AW81" s="3">
        <f t="shared" si="168"/>
        <v>8.0000000000000002E-3</v>
      </c>
      <c r="AX81" s="49">
        <f t="shared" si="169"/>
        <v>8.8888888888888573E-2</v>
      </c>
      <c r="AY81" s="49">
        <f t="shared" si="170"/>
        <v>16.825529186138475</v>
      </c>
      <c r="AZ81" s="49">
        <f t="shared" si="171"/>
        <v>8.8888888888888889E-3</v>
      </c>
      <c r="BA81" s="3">
        <f t="shared" si="172"/>
        <v>0.01</v>
      </c>
      <c r="BB81" s="50">
        <f t="shared" si="207"/>
        <v>20.247757409330994</v>
      </c>
      <c r="BC81" s="3">
        <f t="shared" si="173"/>
        <v>4.1111111111111107</v>
      </c>
      <c r="BD81" s="3">
        <f t="shared" si="174"/>
        <v>8.6999999999999994E-3</v>
      </c>
      <c r="BE81" s="3">
        <f t="shared" si="208"/>
        <v>8.8888888888888573E-2</v>
      </c>
      <c r="BF81" s="3">
        <f t="shared" si="209"/>
        <v>16.825529186138475</v>
      </c>
      <c r="BG81" s="3">
        <f t="shared" si="175"/>
        <v>8.8888888888888889E-3</v>
      </c>
      <c r="BH81" s="214">
        <f t="shared" si="176"/>
        <v>1.35E-2</v>
      </c>
      <c r="BI81" s="50">
        <f t="shared" si="210"/>
        <v>21.025537199070719</v>
      </c>
      <c r="BJ81" s="16">
        <f t="shared" si="177"/>
        <v>4.5000000000000003E-5</v>
      </c>
      <c r="BK81" s="49">
        <f t="shared" si="178"/>
        <v>3.333333333333333</v>
      </c>
      <c r="BL81" s="3">
        <f t="shared" si="179"/>
        <v>1E-3</v>
      </c>
      <c r="BM81" s="49">
        <f t="shared" si="180"/>
        <v>2.2222222222222143E-2</v>
      </c>
      <c r="BN81" s="49">
        <f t="shared" si="181"/>
        <v>0.79999999999999993</v>
      </c>
      <c r="BO81" s="49">
        <f t="shared" si="182"/>
        <v>5.0000000000000001E-3</v>
      </c>
      <c r="BP81" s="3">
        <f t="shared" si="183"/>
        <v>0.01</v>
      </c>
      <c r="BQ81" s="50">
        <f t="shared" si="211"/>
        <v>4.155570715955708</v>
      </c>
      <c r="BR81" s="3">
        <f t="shared" si="184"/>
        <v>3.7222222222222219</v>
      </c>
      <c r="BS81" s="3">
        <f t="shared" si="185"/>
        <v>1.175E-3</v>
      </c>
      <c r="BT81" s="3">
        <f t="shared" si="212"/>
        <v>2.2222222222222143E-2</v>
      </c>
      <c r="BU81" s="3">
        <f t="shared" si="213"/>
        <v>0.79999999999999993</v>
      </c>
      <c r="BV81" s="3">
        <f t="shared" si="186"/>
        <v>5.0000000000000001E-3</v>
      </c>
      <c r="BW81" s="214">
        <f t="shared" si="187"/>
        <v>1.35E-2</v>
      </c>
      <c r="BX81" s="50">
        <f t="shared" si="214"/>
        <v>4.5444673988562156</v>
      </c>
      <c r="BY81" s="16">
        <f t="shared" si="188"/>
        <v>4.5000000000000003E-5</v>
      </c>
      <c r="BZ81" s="49">
        <f t="shared" si="189"/>
        <v>0.55555555555555547</v>
      </c>
      <c r="CA81" s="3">
        <f t="shared" si="190"/>
        <v>2E-3</v>
      </c>
      <c r="CB81" s="49">
        <f t="shared" si="191"/>
        <v>2.2222222222222143E-2</v>
      </c>
      <c r="CC81" s="49">
        <f t="shared" si="192"/>
        <v>0</v>
      </c>
      <c r="CD81" s="49">
        <f t="shared" si="193"/>
        <v>0.01</v>
      </c>
      <c r="CE81" s="3">
        <f t="shared" si="194"/>
        <v>0.01</v>
      </c>
      <c r="CF81" s="50">
        <f t="shared" si="215"/>
        <v>0.57795428927712522</v>
      </c>
      <c r="CG81" s="3">
        <f t="shared" si="195"/>
        <v>0.74999999999999989</v>
      </c>
      <c r="CH81" s="3">
        <f t="shared" si="196"/>
        <v>2.0874999999999999E-3</v>
      </c>
      <c r="CI81" s="3">
        <f t="shared" si="216"/>
        <v>2.2222222222222143E-2</v>
      </c>
      <c r="CJ81" s="3">
        <f t="shared" si="217"/>
        <v>0</v>
      </c>
      <c r="CK81" s="3">
        <f t="shared" si="197"/>
        <v>0.01</v>
      </c>
      <c r="CL81" s="214">
        <f t="shared" si="198"/>
        <v>1.35E-2</v>
      </c>
      <c r="CM81" s="50">
        <f t="shared" si="218"/>
        <v>0.77240777323255672</v>
      </c>
      <c r="CO81" s="22" t="s">
        <v>470</v>
      </c>
      <c r="CP81" s="208">
        <v>163.84</v>
      </c>
      <c r="CQ81" s="208">
        <v>-163.84</v>
      </c>
      <c r="CR81" s="24">
        <f t="shared" si="143"/>
        <v>16.38</v>
      </c>
      <c r="CS81" s="24"/>
    </row>
    <row r="82" spans="16:97">
      <c r="P82" s="116">
        <f t="shared" si="85"/>
        <v>9.5000000000000015E-3</v>
      </c>
      <c r="Q82" s="135">
        <f t="shared" si="144"/>
        <v>4.7500000000000009E-5</v>
      </c>
      <c r="R82" s="49">
        <f t="shared" si="145"/>
        <v>10.526315789473683</v>
      </c>
      <c r="S82" s="3">
        <f t="shared" si="146"/>
        <v>8.0000000000000002E-3</v>
      </c>
      <c r="T82" s="49">
        <f t="shared" si="147"/>
        <v>8.4210526315789166E-2</v>
      </c>
      <c r="U82" s="49">
        <f t="shared" si="148"/>
        <v>0</v>
      </c>
      <c r="V82" s="49">
        <f t="shared" si="149"/>
        <v>8.4210526315789472E-3</v>
      </c>
      <c r="W82" s="3">
        <f t="shared" si="150"/>
        <v>0.01</v>
      </c>
      <c r="X82" s="50">
        <f t="shared" si="199"/>
        <v>10.610537385645854</v>
      </c>
      <c r="Y82" s="3">
        <f t="shared" si="151"/>
        <v>11.263157894736841</v>
      </c>
      <c r="Z82" s="3">
        <f t="shared" si="152"/>
        <v>8.6999999999999994E-3</v>
      </c>
      <c r="AA82" s="3">
        <f t="shared" si="200"/>
        <v>8.4210526315789166E-2</v>
      </c>
      <c r="AB82" s="3">
        <f t="shared" si="201"/>
        <v>0</v>
      </c>
      <c r="AC82" s="3">
        <f t="shared" si="153"/>
        <v>8.4210526315789472E-3</v>
      </c>
      <c r="AD82" s="214">
        <f t="shared" si="154"/>
        <v>1.35E-2</v>
      </c>
      <c r="AE82" s="136">
        <f t="shared" si="202"/>
        <v>11.347382911369031</v>
      </c>
      <c r="AF82" s="16">
        <f t="shared" si="155"/>
        <v>4.7500000000000009E-5</v>
      </c>
      <c r="AG82" s="49">
        <f t="shared" si="156"/>
        <v>0.16842105263157892</v>
      </c>
      <c r="AH82" s="3">
        <f t="shared" si="157"/>
        <v>1.4999999999999999E-4</v>
      </c>
      <c r="AI82" s="49">
        <f t="shared" si="158"/>
        <v>1.0551310181626742E-3</v>
      </c>
      <c r="AJ82" s="49">
        <f t="shared" si="159"/>
        <v>2.3966735950749746E-2</v>
      </c>
      <c r="AK82" s="49">
        <f t="shared" si="160"/>
        <v>4.7368421052631574E-3</v>
      </c>
      <c r="AL82" s="3">
        <f t="shared" si="161"/>
        <v>0.01</v>
      </c>
      <c r="AM82" s="50">
        <f t="shared" si="203"/>
        <v>0.19375918898646421</v>
      </c>
      <c r="AN82" s="3">
        <f t="shared" si="162"/>
        <v>0.24210526315789468</v>
      </c>
      <c r="AO82" s="3">
        <f t="shared" si="163"/>
        <v>2.1999999999999998E-4</v>
      </c>
      <c r="AP82" s="3">
        <f t="shared" si="204"/>
        <v>1.0551310181626742E-3</v>
      </c>
      <c r="AQ82" s="3">
        <f t="shared" si="205"/>
        <v>2.3966735950749746E-2</v>
      </c>
      <c r="AR82" s="3">
        <f t="shared" si="164"/>
        <v>4.7368421052631574E-3</v>
      </c>
      <c r="AS82" s="214">
        <f t="shared" si="165"/>
        <v>1.35E-2</v>
      </c>
      <c r="AT82" s="50">
        <f t="shared" si="206"/>
        <v>0.26751007405874327</v>
      </c>
      <c r="AU82" s="16">
        <f t="shared" si="166"/>
        <v>4.7500000000000009E-5</v>
      </c>
      <c r="AV82" s="49">
        <f t="shared" si="167"/>
        <v>3.1578947368421044</v>
      </c>
      <c r="AW82" s="3">
        <f t="shared" si="168"/>
        <v>8.0000000000000002E-3</v>
      </c>
      <c r="AX82" s="49">
        <f t="shared" si="169"/>
        <v>8.4210526315789166E-2</v>
      </c>
      <c r="AY82" s="49">
        <f t="shared" si="170"/>
        <v>15.939975018446974</v>
      </c>
      <c r="AZ82" s="49">
        <f t="shared" si="171"/>
        <v>8.4210526315789472E-3</v>
      </c>
      <c r="BA82" s="3">
        <f t="shared" si="172"/>
        <v>0.01</v>
      </c>
      <c r="BB82" s="50">
        <f t="shared" si="207"/>
        <v>19.182086404874255</v>
      </c>
      <c r="BC82" s="3">
        <f t="shared" si="173"/>
        <v>3.8947368421052619</v>
      </c>
      <c r="BD82" s="3">
        <f t="shared" si="174"/>
        <v>8.6999999999999994E-3</v>
      </c>
      <c r="BE82" s="3">
        <f t="shared" si="208"/>
        <v>8.4210526315789166E-2</v>
      </c>
      <c r="BF82" s="3">
        <f t="shared" si="209"/>
        <v>15.939975018446974</v>
      </c>
      <c r="BG82" s="3">
        <f t="shared" si="175"/>
        <v>8.4210526315789472E-3</v>
      </c>
      <c r="BH82" s="214">
        <f t="shared" si="176"/>
        <v>1.35E-2</v>
      </c>
      <c r="BI82" s="50">
        <f t="shared" si="210"/>
        <v>19.918930641683545</v>
      </c>
      <c r="BJ82" s="16">
        <f t="shared" si="177"/>
        <v>4.7500000000000009E-5</v>
      </c>
      <c r="BK82" s="49">
        <f t="shared" si="178"/>
        <v>3.1578947368421044</v>
      </c>
      <c r="BL82" s="3">
        <f t="shared" si="179"/>
        <v>1E-3</v>
      </c>
      <c r="BM82" s="49">
        <f t="shared" si="180"/>
        <v>2.1052631578947292E-2</v>
      </c>
      <c r="BN82" s="49">
        <f t="shared" si="181"/>
        <v>0.75789473684210518</v>
      </c>
      <c r="BO82" s="49">
        <f t="shared" si="182"/>
        <v>4.7368421052631574E-3</v>
      </c>
      <c r="BP82" s="3">
        <f t="shared" si="183"/>
        <v>0.01</v>
      </c>
      <c r="BQ82" s="50">
        <f t="shared" si="211"/>
        <v>3.9368577824765238</v>
      </c>
      <c r="BR82" s="3">
        <f t="shared" si="184"/>
        <v>3.5263157894736832</v>
      </c>
      <c r="BS82" s="3">
        <f t="shared" si="185"/>
        <v>1.175E-3</v>
      </c>
      <c r="BT82" s="3">
        <f t="shared" si="212"/>
        <v>2.1052631578947292E-2</v>
      </c>
      <c r="BU82" s="3">
        <f t="shared" si="213"/>
        <v>0.75789473684210518</v>
      </c>
      <c r="BV82" s="3">
        <f t="shared" si="186"/>
        <v>4.7368421052631574E-3</v>
      </c>
      <c r="BW82" s="214">
        <f t="shared" si="187"/>
        <v>1.35E-2</v>
      </c>
      <c r="BX82" s="50">
        <f t="shared" si="214"/>
        <v>4.3052870899655327</v>
      </c>
      <c r="BY82" s="16">
        <f t="shared" si="188"/>
        <v>4.7500000000000009E-5</v>
      </c>
      <c r="BZ82" s="49">
        <f t="shared" si="189"/>
        <v>0.52631578947368407</v>
      </c>
      <c r="CA82" s="3">
        <f t="shared" si="190"/>
        <v>2E-3</v>
      </c>
      <c r="CB82" s="49">
        <f t="shared" si="191"/>
        <v>2.1052631578947292E-2</v>
      </c>
      <c r="CC82" s="49">
        <f t="shared" si="192"/>
        <v>0</v>
      </c>
      <c r="CD82" s="49">
        <f t="shared" si="193"/>
        <v>9.4736842105263147E-3</v>
      </c>
      <c r="CE82" s="3">
        <f t="shared" si="194"/>
        <v>0.01</v>
      </c>
      <c r="CF82" s="50">
        <f t="shared" si="215"/>
        <v>0.54754537625494704</v>
      </c>
      <c r="CG82" s="3">
        <f t="shared" si="195"/>
        <v>0.71052631578947345</v>
      </c>
      <c r="CH82" s="3">
        <f t="shared" si="196"/>
        <v>2.0874999999999999E-3</v>
      </c>
      <c r="CI82" s="3">
        <f t="shared" si="216"/>
        <v>2.1052631578947292E-2</v>
      </c>
      <c r="CJ82" s="3">
        <f t="shared" si="217"/>
        <v>0</v>
      </c>
      <c r="CK82" s="3">
        <f t="shared" si="197"/>
        <v>9.4736842105263147E-3</v>
      </c>
      <c r="CL82" s="214">
        <f t="shared" si="198"/>
        <v>1.35E-2</v>
      </c>
      <c r="CM82" s="50">
        <f t="shared" si="218"/>
        <v>0.73176780100073913</v>
      </c>
      <c r="CO82" s="22" t="s">
        <v>471</v>
      </c>
      <c r="CP82" s="208">
        <v>163.84</v>
      </c>
      <c r="CQ82" s="208">
        <v>-163.84</v>
      </c>
      <c r="CR82" s="24">
        <f t="shared" si="143"/>
        <v>16.38</v>
      </c>
      <c r="CS82" s="24"/>
    </row>
    <row r="83" spans="16:97">
      <c r="P83" s="116">
        <f t="shared" si="85"/>
        <v>0.01</v>
      </c>
      <c r="Q83" s="135">
        <f t="shared" si="144"/>
        <v>5.0000000000000002E-5</v>
      </c>
      <c r="R83" s="49">
        <f t="shared" si="145"/>
        <v>10</v>
      </c>
      <c r="S83" s="3">
        <f t="shared" si="146"/>
        <v>8.0000000000000002E-3</v>
      </c>
      <c r="T83" s="49">
        <f t="shared" si="147"/>
        <v>7.9999999999999724E-2</v>
      </c>
      <c r="U83" s="49">
        <f t="shared" si="148"/>
        <v>0</v>
      </c>
      <c r="V83" s="49">
        <f t="shared" si="149"/>
        <v>8.0000000000000002E-3</v>
      </c>
      <c r="W83" s="3">
        <f t="shared" si="150"/>
        <v>0.01</v>
      </c>
      <c r="X83" s="50">
        <f t="shared" si="199"/>
        <v>10.080011309517465</v>
      </c>
      <c r="Y83" s="3">
        <f t="shared" si="151"/>
        <v>10.7</v>
      </c>
      <c r="Z83" s="3">
        <f t="shared" si="152"/>
        <v>8.6999999999999994E-3</v>
      </c>
      <c r="AA83" s="3">
        <f t="shared" si="200"/>
        <v>7.9999999999999724E-2</v>
      </c>
      <c r="AB83" s="3">
        <f t="shared" si="201"/>
        <v>0</v>
      </c>
      <c r="AC83" s="3">
        <f t="shared" si="153"/>
        <v>8.0000000000000002E-3</v>
      </c>
      <c r="AD83" s="214">
        <f t="shared" si="154"/>
        <v>1.35E-2</v>
      </c>
      <c r="AE83" s="136">
        <f t="shared" si="202"/>
        <v>10.78001493227166</v>
      </c>
      <c r="AF83" s="16">
        <f t="shared" si="155"/>
        <v>5.0000000000000002E-5</v>
      </c>
      <c r="AG83" s="49">
        <f t="shared" si="156"/>
        <v>0.15999999999999998</v>
      </c>
      <c r="AH83" s="3">
        <f t="shared" si="157"/>
        <v>1.4999999999999999E-4</v>
      </c>
      <c r="AI83" s="49">
        <f t="shared" si="158"/>
        <v>1.0023744672545407E-3</v>
      </c>
      <c r="AJ83" s="49">
        <f t="shared" si="159"/>
        <v>2.2768399153212261E-2</v>
      </c>
      <c r="AK83" s="49">
        <f t="shared" si="160"/>
        <v>4.5000000000000005E-3</v>
      </c>
      <c r="AL83" s="3">
        <f t="shared" si="161"/>
        <v>0.01</v>
      </c>
      <c r="AM83" s="50">
        <f t="shared" si="203"/>
        <v>0.18409771790292473</v>
      </c>
      <c r="AN83" s="3">
        <f t="shared" si="162"/>
        <v>0.22999999999999998</v>
      </c>
      <c r="AO83" s="3">
        <f t="shared" si="163"/>
        <v>2.1999999999999998E-4</v>
      </c>
      <c r="AP83" s="3">
        <f t="shared" si="204"/>
        <v>1.0023744672545407E-3</v>
      </c>
      <c r="AQ83" s="3">
        <f t="shared" si="205"/>
        <v>2.2768399153212261E-2</v>
      </c>
      <c r="AR83" s="3">
        <f t="shared" si="164"/>
        <v>4.5000000000000005E-3</v>
      </c>
      <c r="AS83" s="214">
        <f t="shared" si="165"/>
        <v>1.35E-2</v>
      </c>
      <c r="AT83" s="50">
        <f t="shared" si="206"/>
        <v>0.25416953779697948</v>
      </c>
      <c r="AU83" s="16">
        <f t="shared" si="166"/>
        <v>5.0000000000000002E-5</v>
      </c>
      <c r="AV83" s="49">
        <f t="shared" si="167"/>
        <v>2.9999999999999996</v>
      </c>
      <c r="AW83" s="3">
        <f t="shared" si="168"/>
        <v>8.0000000000000002E-3</v>
      </c>
      <c r="AX83" s="49">
        <f t="shared" si="169"/>
        <v>7.9999999999999724E-2</v>
      </c>
      <c r="AY83" s="49">
        <f t="shared" si="170"/>
        <v>15.142976267524627</v>
      </c>
      <c r="AZ83" s="49">
        <f t="shared" si="171"/>
        <v>8.0000000000000002E-3</v>
      </c>
      <c r="BA83" s="3">
        <f t="shared" si="172"/>
        <v>0.01</v>
      </c>
      <c r="BB83" s="50">
        <f t="shared" si="207"/>
        <v>18.222982523362244</v>
      </c>
      <c r="BC83" s="3">
        <f t="shared" si="173"/>
        <v>3.6999999999999993</v>
      </c>
      <c r="BD83" s="3">
        <f t="shared" si="174"/>
        <v>8.6999999999999994E-3</v>
      </c>
      <c r="BE83" s="3">
        <f t="shared" si="208"/>
        <v>7.9999999999999724E-2</v>
      </c>
      <c r="BF83" s="3">
        <f t="shared" si="209"/>
        <v>15.142976267524627</v>
      </c>
      <c r="BG83" s="3">
        <f t="shared" si="175"/>
        <v>8.0000000000000002E-3</v>
      </c>
      <c r="BH83" s="214">
        <f t="shared" si="176"/>
        <v>1.35E-2</v>
      </c>
      <c r="BI83" s="50">
        <f t="shared" si="210"/>
        <v>18.922984774112678</v>
      </c>
      <c r="BJ83" s="16">
        <f t="shared" si="177"/>
        <v>5.0000000000000002E-5</v>
      </c>
      <c r="BK83" s="49">
        <f t="shared" si="178"/>
        <v>2.9999999999999996</v>
      </c>
      <c r="BL83" s="3">
        <f t="shared" si="179"/>
        <v>1E-3</v>
      </c>
      <c r="BM83" s="49">
        <f t="shared" si="180"/>
        <v>1.9999999999999931E-2</v>
      </c>
      <c r="BN83" s="49">
        <f t="shared" si="181"/>
        <v>0.72</v>
      </c>
      <c r="BO83" s="49">
        <f t="shared" si="182"/>
        <v>4.5000000000000005E-3</v>
      </c>
      <c r="BP83" s="3">
        <f t="shared" si="183"/>
        <v>0.01</v>
      </c>
      <c r="BQ83" s="50">
        <f t="shared" si="211"/>
        <v>3.7400162098579193</v>
      </c>
      <c r="BR83" s="3">
        <f t="shared" si="184"/>
        <v>3.3499999999999996</v>
      </c>
      <c r="BS83" s="3">
        <f t="shared" si="185"/>
        <v>1.175E-3</v>
      </c>
      <c r="BT83" s="3">
        <f t="shared" si="212"/>
        <v>1.9999999999999931E-2</v>
      </c>
      <c r="BU83" s="3">
        <f t="shared" si="213"/>
        <v>0.72</v>
      </c>
      <c r="BV83" s="3">
        <f t="shared" si="186"/>
        <v>4.5000000000000005E-3</v>
      </c>
      <c r="BW83" s="214">
        <f t="shared" si="187"/>
        <v>1.35E-2</v>
      </c>
      <c r="BX83" s="50">
        <f t="shared" si="214"/>
        <v>4.0900249242058413</v>
      </c>
      <c r="BY83" s="16">
        <f t="shared" si="188"/>
        <v>5.0000000000000002E-5</v>
      </c>
      <c r="BZ83" s="49">
        <f t="shared" si="189"/>
        <v>0.49999999999999994</v>
      </c>
      <c r="CA83" s="3">
        <f t="shared" si="190"/>
        <v>2E-3</v>
      </c>
      <c r="CB83" s="49">
        <f t="shared" si="191"/>
        <v>1.9999999999999931E-2</v>
      </c>
      <c r="CC83" s="49">
        <f t="shared" si="192"/>
        <v>0</v>
      </c>
      <c r="CD83" s="49">
        <f t="shared" si="193"/>
        <v>9.0000000000000011E-3</v>
      </c>
      <c r="CE83" s="3">
        <f t="shared" si="194"/>
        <v>0.01</v>
      </c>
      <c r="CF83" s="50">
        <f t="shared" si="215"/>
        <v>0.52017785419988793</v>
      </c>
      <c r="CG83" s="3">
        <f t="shared" si="195"/>
        <v>0.67499999999999993</v>
      </c>
      <c r="CH83" s="3">
        <f t="shared" si="196"/>
        <v>2.0874999999999999E-3</v>
      </c>
      <c r="CI83" s="3">
        <f t="shared" si="216"/>
        <v>1.9999999999999931E-2</v>
      </c>
      <c r="CJ83" s="3">
        <f t="shared" si="217"/>
        <v>0</v>
      </c>
      <c r="CK83" s="3">
        <f t="shared" si="197"/>
        <v>9.0000000000000011E-3</v>
      </c>
      <c r="CL83" s="214">
        <f t="shared" si="198"/>
        <v>1.35E-2</v>
      </c>
      <c r="CM83" s="50">
        <f t="shared" si="218"/>
        <v>0.69519249683540874</v>
      </c>
      <c r="CO83" s="22" t="s">
        <v>472</v>
      </c>
      <c r="CP83" s="208">
        <v>163.84</v>
      </c>
      <c r="CQ83" s="208">
        <v>-163.84</v>
      </c>
      <c r="CR83" s="24">
        <f t="shared" si="143"/>
        <v>16.38</v>
      </c>
      <c r="CS83" s="24"/>
    </row>
    <row r="84" spans="16:97">
      <c r="P84" s="116">
        <f t="shared" si="85"/>
        <v>1.4999999999999999E-2</v>
      </c>
      <c r="Q84" s="135">
        <f t="shared" si="144"/>
        <v>7.4999999999999993E-5</v>
      </c>
      <c r="R84" s="49">
        <f t="shared" si="145"/>
        <v>6.666666666666667</v>
      </c>
      <c r="S84" s="3">
        <f t="shared" si="146"/>
        <v>8.0000000000000002E-3</v>
      </c>
      <c r="T84" s="49">
        <f t="shared" si="147"/>
        <v>5.3333333333333156E-2</v>
      </c>
      <c r="U84" s="49">
        <f t="shared" si="148"/>
        <v>0</v>
      </c>
      <c r="V84" s="49">
        <f t="shared" si="149"/>
        <v>5.333333333333334E-3</v>
      </c>
      <c r="W84" s="3">
        <f t="shared" si="150"/>
        <v>0.01</v>
      </c>
      <c r="X84" s="50">
        <f t="shared" si="199"/>
        <v>6.7200143187678139</v>
      </c>
      <c r="Y84" s="3">
        <f t="shared" si="151"/>
        <v>7.1333333333333337</v>
      </c>
      <c r="Z84" s="3">
        <f t="shared" si="152"/>
        <v>8.6999999999999994E-3</v>
      </c>
      <c r="AA84" s="3">
        <f t="shared" si="200"/>
        <v>5.3333333333333156E-2</v>
      </c>
      <c r="AB84" s="3">
        <f t="shared" si="201"/>
        <v>0</v>
      </c>
      <c r="AC84" s="3">
        <f t="shared" si="153"/>
        <v>5.333333333333334E-3</v>
      </c>
      <c r="AD84" s="214">
        <f t="shared" si="154"/>
        <v>1.35E-2</v>
      </c>
      <c r="AE84" s="136">
        <f t="shared" si="202"/>
        <v>7.1866865913452926</v>
      </c>
      <c r="AF84" s="16">
        <f t="shared" si="155"/>
        <v>7.4999999999999993E-5</v>
      </c>
      <c r="AG84" s="49">
        <f t="shared" si="156"/>
        <v>0.10666666666666667</v>
      </c>
      <c r="AH84" s="3">
        <f t="shared" si="157"/>
        <v>1.4999999999999999E-4</v>
      </c>
      <c r="AI84" s="49">
        <f t="shared" si="158"/>
        <v>6.6824964483636051E-4</v>
      </c>
      <c r="AJ84" s="49">
        <f t="shared" si="159"/>
        <v>1.5178932768808176E-2</v>
      </c>
      <c r="AK84" s="49">
        <f t="shared" si="160"/>
        <v>3.0000000000000005E-3</v>
      </c>
      <c r="AL84" s="3">
        <f t="shared" si="161"/>
        <v>0.01</v>
      </c>
      <c r="AM84" s="50">
        <f t="shared" si="203"/>
        <v>0.12295798354101807</v>
      </c>
      <c r="AN84" s="3">
        <f t="shared" si="162"/>
        <v>0.15333333333333335</v>
      </c>
      <c r="AO84" s="3">
        <f t="shared" si="163"/>
        <v>2.1999999999999998E-4</v>
      </c>
      <c r="AP84" s="3">
        <f t="shared" si="204"/>
        <v>6.6824964483636051E-4</v>
      </c>
      <c r="AQ84" s="3">
        <f t="shared" si="205"/>
        <v>1.5178932768808176E-2</v>
      </c>
      <c r="AR84" s="3">
        <f t="shared" si="164"/>
        <v>3.0000000000000005E-3</v>
      </c>
      <c r="AS84" s="214">
        <f t="shared" si="165"/>
        <v>1.35E-2</v>
      </c>
      <c r="AT84" s="50">
        <f t="shared" si="206"/>
        <v>0.16974494192291395</v>
      </c>
      <c r="AU84" s="16">
        <f t="shared" si="166"/>
        <v>7.4999999999999993E-5</v>
      </c>
      <c r="AV84" s="49">
        <f t="shared" si="167"/>
        <v>2</v>
      </c>
      <c r="AW84" s="3">
        <f t="shared" si="168"/>
        <v>8.0000000000000002E-3</v>
      </c>
      <c r="AX84" s="49">
        <f t="shared" si="169"/>
        <v>5.3333333333333156E-2</v>
      </c>
      <c r="AY84" s="49">
        <f t="shared" si="170"/>
        <v>10.095317511683087</v>
      </c>
      <c r="AZ84" s="49">
        <f t="shared" si="171"/>
        <v>5.333333333333334E-3</v>
      </c>
      <c r="BA84" s="3">
        <f t="shared" si="172"/>
        <v>0.01</v>
      </c>
      <c r="BB84" s="50">
        <f t="shared" si="207"/>
        <v>12.148658765417794</v>
      </c>
      <c r="BC84" s="3">
        <f t="shared" si="173"/>
        <v>2.4666666666666668</v>
      </c>
      <c r="BD84" s="3">
        <f t="shared" si="174"/>
        <v>8.6999999999999994E-3</v>
      </c>
      <c r="BE84" s="3">
        <f t="shared" si="208"/>
        <v>5.3333333333333156E-2</v>
      </c>
      <c r="BF84" s="3">
        <f t="shared" si="209"/>
        <v>10.095317511683087</v>
      </c>
      <c r="BG84" s="3">
        <f t="shared" si="175"/>
        <v>5.333333333333334E-3</v>
      </c>
      <c r="BH84" s="214">
        <f t="shared" si="176"/>
        <v>1.35E-2</v>
      </c>
      <c r="BI84" s="50">
        <f t="shared" si="210"/>
        <v>12.615328862341336</v>
      </c>
      <c r="BJ84" s="16">
        <f t="shared" si="177"/>
        <v>7.4999999999999993E-5</v>
      </c>
      <c r="BK84" s="49">
        <f t="shared" si="178"/>
        <v>2</v>
      </c>
      <c r="BL84" s="3">
        <f t="shared" si="179"/>
        <v>1E-3</v>
      </c>
      <c r="BM84" s="49">
        <f t="shared" si="180"/>
        <v>1.3333333333333289E-2</v>
      </c>
      <c r="BN84" s="49">
        <f t="shared" si="181"/>
        <v>0.48000000000000004</v>
      </c>
      <c r="BO84" s="49">
        <f t="shared" si="182"/>
        <v>3.0000000000000005E-3</v>
      </c>
      <c r="BP84" s="3">
        <f t="shared" si="183"/>
        <v>0.01</v>
      </c>
      <c r="BQ84" s="50">
        <f t="shared" si="211"/>
        <v>2.4933553920592848</v>
      </c>
      <c r="BR84" s="3">
        <f t="shared" si="184"/>
        <v>2.2333333333333334</v>
      </c>
      <c r="BS84" s="3">
        <f t="shared" si="185"/>
        <v>1.175E-3</v>
      </c>
      <c r="BT84" s="3">
        <f t="shared" si="212"/>
        <v>1.3333333333333289E-2</v>
      </c>
      <c r="BU84" s="3">
        <f t="shared" si="213"/>
        <v>0.48000000000000004</v>
      </c>
      <c r="BV84" s="3">
        <f t="shared" si="186"/>
        <v>3.0000000000000005E-3</v>
      </c>
      <c r="BW84" s="214">
        <f t="shared" si="187"/>
        <v>1.35E-2</v>
      </c>
      <c r="BX84" s="50">
        <f t="shared" si="214"/>
        <v>2.7267019899021072</v>
      </c>
      <c r="BY84" s="16">
        <f t="shared" si="188"/>
        <v>7.4999999999999993E-5</v>
      </c>
      <c r="BZ84" s="49">
        <f t="shared" si="189"/>
        <v>0.33333333333333331</v>
      </c>
      <c r="CA84" s="3">
        <f t="shared" si="190"/>
        <v>2E-3</v>
      </c>
      <c r="CB84" s="49">
        <f t="shared" si="191"/>
        <v>1.3333333333333289E-2</v>
      </c>
      <c r="CC84" s="49">
        <f t="shared" si="192"/>
        <v>0</v>
      </c>
      <c r="CD84" s="49">
        <f t="shared" si="193"/>
        <v>6.000000000000001E-3</v>
      </c>
      <c r="CE84" s="3">
        <f t="shared" si="194"/>
        <v>0.01</v>
      </c>
      <c r="CF84" s="50">
        <f t="shared" si="215"/>
        <v>0.34686853097070908</v>
      </c>
      <c r="CG84" s="3">
        <f t="shared" si="195"/>
        <v>0.44999999999999996</v>
      </c>
      <c r="CH84" s="3">
        <f t="shared" si="196"/>
        <v>2.0874999999999999E-3</v>
      </c>
      <c r="CI84" s="3">
        <f t="shared" si="216"/>
        <v>1.3333333333333289E-2</v>
      </c>
      <c r="CJ84" s="3">
        <f t="shared" si="217"/>
        <v>0</v>
      </c>
      <c r="CK84" s="3">
        <f t="shared" si="197"/>
        <v>6.000000000000001E-3</v>
      </c>
      <c r="CL84" s="214">
        <f t="shared" si="198"/>
        <v>1.35E-2</v>
      </c>
      <c r="CM84" s="50">
        <f t="shared" si="218"/>
        <v>0.46357349518067548</v>
      </c>
      <c r="CO84" s="22" t="s">
        <v>84</v>
      </c>
      <c r="CP84" s="208">
        <v>163.80000000000001</v>
      </c>
      <c r="CQ84" s="208">
        <v>-163.84</v>
      </c>
      <c r="CR84" s="24">
        <f t="shared" si="143"/>
        <v>16.38</v>
      </c>
      <c r="CS84" s="24"/>
    </row>
    <row r="85" spans="16:97">
      <c r="P85" s="116">
        <f t="shared" si="85"/>
        <v>0.02</v>
      </c>
      <c r="Q85" s="135">
        <f t="shared" si="144"/>
        <v>1E-4</v>
      </c>
      <c r="R85" s="49">
        <f t="shared" si="145"/>
        <v>5</v>
      </c>
      <c r="S85" s="3">
        <f t="shared" si="146"/>
        <v>8.0000000000000002E-3</v>
      </c>
      <c r="T85" s="49">
        <f t="shared" si="147"/>
        <v>3.9999999999999862E-2</v>
      </c>
      <c r="U85" s="49">
        <f t="shared" si="148"/>
        <v>0</v>
      </c>
      <c r="V85" s="49">
        <f t="shared" si="149"/>
        <v>4.0000000000000001E-3</v>
      </c>
      <c r="W85" s="3">
        <f t="shared" si="150"/>
        <v>0.01</v>
      </c>
      <c r="X85" s="50">
        <f t="shared" si="199"/>
        <v>5.0400178571112226</v>
      </c>
      <c r="Y85" s="3">
        <f t="shared" si="151"/>
        <v>5.35</v>
      </c>
      <c r="Z85" s="3">
        <f t="shared" si="152"/>
        <v>8.6999999999999994E-3</v>
      </c>
      <c r="AA85" s="3">
        <f t="shared" si="200"/>
        <v>3.9999999999999862E-2</v>
      </c>
      <c r="AB85" s="3">
        <f t="shared" si="201"/>
        <v>0</v>
      </c>
      <c r="AC85" s="3">
        <f t="shared" si="153"/>
        <v>4.0000000000000001E-3</v>
      </c>
      <c r="AD85" s="214">
        <f t="shared" si="154"/>
        <v>1.35E-2</v>
      </c>
      <c r="AE85" s="136">
        <f t="shared" si="202"/>
        <v>5.3900254118139364</v>
      </c>
      <c r="AF85" s="16">
        <f t="shared" si="155"/>
        <v>1E-4</v>
      </c>
      <c r="AG85" s="49">
        <f t="shared" si="156"/>
        <v>7.9999999999999988E-2</v>
      </c>
      <c r="AH85" s="3">
        <f t="shared" si="157"/>
        <v>1.4999999999999999E-4</v>
      </c>
      <c r="AI85" s="49">
        <f t="shared" si="158"/>
        <v>5.0118723362727036E-4</v>
      </c>
      <c r="AJ85" s="49">
        <f t="shared" si="159"/>
        <v>1.138419957660613E-2</v>
      </c>
      <c r="AK85" s="49">
        <f t="shared" si="160"/>
        <v>2.2500000000000003E-3</v>
      </c>
      <c r="AL85" s="3">
        <f t="shared" si="161"/>
        <v>0.01</v>
      </c>
      <c r="AM85" s="50">
        <f t="shared" si="203"/>
        <v>9.2455444995231145E-2</v>
      </c>
      <c r="AN85" s="3">
        <f t="shared" si="162"/>
        <v>0.11499999999999999</v>
      </c>
      <c r="AO85" s="3">
        <f t="shared" si="163"/>
        <v>2.1999999999999998E-4</v>
      </c>
      <c r="AP85" s="3">
        <f t="shared" si="204"/>
        <v>5.0118723362727036E-4</v>
      </c>
      <c r="AQ85" s="3">
        <f t="shared" si="205"/>
        <v>1.138419957660613E-2</v>
      </c>
      <c r="AR85" s="3">
        <f t="shared" si="164"/>
        <v>2.2500000000000003E-3</v>
      </c>
      <c r="AS85" s="214">
        <f t="shared" si="165"/>
        <v>1.35E-2</v>
      </c>
      <c r="AT85" s="50">
        <f t="shared" si="206"/>
        <v>0.12762155886049406</v>
      </c>
      <c r="AU85" s="16">
        <f t="shared" si="166"/>
        <v>1E-4</v>
      </c>
      <c r="AV85" s="49">
        <f t="shared" si="167"/>
        <v>1.4999999999999998</v>
      </c>
      <c r="AW85" s="3">
        <f t="shared" si="168"/>
        <v>8.0000000000000002E-3</v>
      </c>
      <c r="AX85" s="49">
        <f t="shared" si="169"/>
        <v>3.9999999999999862E-2</v>
      </c>
      <c r="AY85" s="49">
        <f t="shared" si="170"/>
        <v>7.5714881337623137</v>
      </c>
      <c r="AZ85" s="49">
        <f t="shared" si="171"/>
        <v>4.0000000000000001E-3</v>
      </c>
      <c r="BA85" s="3">
        <f t="shared" si="172"/>
        <v>0.01</v>
      </c>
      <c r="BB85" s="50">
        <f t="shared" si="207"/>
        <v>9.1114980113969981</v>
      </c>
      <c r="BC85" s="3">
        <f t="shared" si="173"/>
        <v>1.8499999999999996</v>
      </c>
      <c r="BD85" s="3">
        <f t="shared" si="174"/>
        <v>8.6999999999999994E-3</v>
      </c>
      <c r="BE85" s="3">
        <f t="shared" si="208"/>
        <v>3.9999999999999862E-2</v>
      </c>
      <c r="BF85" s="3">
        <f t="shared" si="209"/>
        <v>7.5714881337623137</v>
      </c>
      <c r="BG85" s="3">
        <f t="shared" si="175"/>
        <v>4.0000000000000001E-3</v>
      </c>
      <c r="BH85" s="214">
        <f t="shared" si="176"/>
        <v>1.35E-2</v>
      </c>
      <c r="BI85" s="50">
        <f t="shared" si="210"/>
        <v>9.4615026103323068</v>
      </c>
      <c r="BJ85" s="16">
        <f t="shared" si="177"/>
        <v>1E-4</v>
      </c>
      <c r="BK85" s="49">
        <f t="shared" si="178"/>
        <v>1.4999999999999998</v>
      </c>
      <c r="BL85" s="3">
        <f t="shared" si="179"/>
        <v>1E-3</v>
      </c>
      <c r="BM85" s="49">
        <f t="shared" si="180"/>
        <v>9.9999999999999655E-3</v>
      </c>
      <c r="BN85" s="49">
        <f t="shared" si="181"/>
        <v>0.36</v>
      </c>
      <c r="BO85" s="49">
        <f t="shared" si="182"/>
        <v>2.2500000000000003E-3</v>
      </c>
      <c r="BP85" s="3">
        <f t="shared" si="183"/>
        <v>0.01</v>
      </c>
      <c r="BQ85" s="50">
        <f t="shared" si="211"/>
        <v>1.8700283587421875</v>
      </c>
      <c r="BR85" s="3">
        <f t="shared" si="184"/>
        <v>1.6749999999999998</v>
      </c>
      <c r="BS85" s="3">
        <f t="shared" si="185"/>
        <v>1.175E-3</v>
      </c>
      <c r="BT85" s="3">
        <f t="shared" si="212"/>
        <v>9.9999999999999655E-3</v>
      </c>
      <c r="BU85" s="3">
        <f t="shared" si="213"/>
        <v>0.36</v>
      </c>
      <c r="BV85" s="3">
        <f t="shared" si="186"/>
        <v>2.2500000000000003E-3</v>
      </c>
      <c r="BW85" s="214">
        <f t="shared" si="187"/>
        <v>1.35E-2</v>
      </c>
      <c r="BX85" s="50">
        <f t="shared" si="214"/>
        <v>2.045046134717992</v>
      </c>
      <c r="BY85" s="16">
        <f t="shared" si="188"/>
        <v>1E-4</v>
      </c>
      <c r="BZ85" s="49">
        <f t="shared" si="189"/>
        <v>0.24999999999999997</v>
      </c>
      <c r="CA85" s="3">
        <f t="shared" si="190"/>
        <v>2E-3</v>
      </c>
      <c r="CB85" s="49">
        <f t="shared" si="191"/>
        <v>9.9999999999999655E-3</v>
      </c>
      <c r="CC85" s="49">
        <f t="shared" si="192"/>
        <v>0</v>
      </c>
      <c r="CD85" s="49">
        <f t="shared" si="193"/>
        <v>4.5000000000000005E-3</v>
      </c>
      <c r="CE85" s="3">
        <f t="shared" si="194"/>
        <v>0.01</v>
      </c>
      <c r="CF85" s="50">
        <f t="shared" si="215"/>
        <v>0.26023883261342834</v>
      </c>
      <c r="CG85" s="3">
        <f t="shared" si="195"/>
        <v>0.33749999999999997</v>
      </c>
      <c r="CH85" s="3">
        <f t="shared" si="196"/>
        <v>2.0874999999999999E-3</v>
      </c>
      <c r="CI85" s="3">
        <f t="shared" si="216"/>
        <v>9.9999999999999655E-3</v>
      </c>
      <c r="CJ85" s="3">
        <f t="shared" si="217"/>
        <v>0</v>
      </c>
      <c r="CK85" s="3">
        <f t="shared" si="197"/>
        <v>4.5000000000000005E-3</v>
      </c>
      <c r="CL85" s="214">
        <f t="shared" si="198"/>
        <v>1.35E-2</v>
      </c>
      <c r="CM85" s="50">
        <f t="shared" si="218"/>
        <v>0.34779750956016048</v>
      </c>
      <c r="CO85" s="22"/>
      <c r="CP85" s="24"/>
      <c r="CQ85" s="24"/>
      <c r="CR85" s="24"/>
      <c r="CS85" s="24"/>
    </row>
    <row r="86" spans="16:97">
      <c r="P86" s="116">
        <f t="shared" si="85"/>
        <v>2.5000000000000001E-2</v>
      </c>
      <c r="Q86" s="135">
        <f t="shared" si="144"/>
        <v>1.25E-4</v>
      </c>
      <c r="R86" s="49">
        <f t="shared" si="145"/>
        <v>4</v>
      </c>
      <c r="S86" s="3">
        <f t="shared" si="146"/>
        <v>8.0000000000000002E-3</v>
      </c>
      <c r="T86" s="49">
        <f t="shared" si="147"/>
        <v>3.199999999999989E-2</v>
      </c>
      <c r="U86" s="49">
        <f t="shared" si="148"/>
        <v>0</v>
      </c>
      <c r="V86" s="49">
        <f t="shared" si="149"/>
        <v>3.2000000000000002E-3</v>
      </c>
      <c r="W86" s="3">
        <f t="shared" si="150"/>
        <v>0.01</v>
      </c>
      <c r="X86" s="50">
        <f t="shared" si="199"/>
        <v>4.0320216070849622</v>
      </c>
      <c r="Y86" s="3">
        <f t="shared" si="151"/>
        <v>4.28</v>
      </c>
      <c r="Z86" s="3">
        <f t="shared" si="152"/>
        <v>8.6999999999999994E-3</v>
      </c>
      <c r="AA86" s="3">
        <f t="shared" si="200"/>
        <v>3.199999999999989E-2</v>
      </c>
      <c r="AB86" s="3">
        <f t="shared" si="201"/>
        <v>0</v>
      </c>
      <c r="AC86" s="3">
        <f t="shared" si="153"/>
        <v>3.2000000000000002E-3</v>
      </c>
      <c r="AD86" s="214">
        <f t="shared" si="154"/>
        <v>1.35E-2</v>
      </c>
      <c r="AE86" s="136">
        <f t="shared" si="202"/>
        <v>4.3120310968266455</v>
      </c>
      <c r="AF86" s="16">
        <f t="shared" si="155"/>
        <v>1.25E-4</v>
      </c>
      <c r="AG86" s="49">
        <f t="shared" si="156"/>
        <v>6.4000000000000001E-2</v>
      </c>
      <c r="AH86" s="3">
        <f t="shared" si="157"/>
        <v>1.4999999999999999E-4</v>
      </c>
      <c r="AI86" s="49">
        <f t="shared" si="158"/>
        <v>4.0094978690181628E-4</v>
      </c>
      <c r="AJ86" s="49">
        <f t="shared" si="159"/>
        <v>9.1073596612849042E-3</v>
      </c>
      <c r="AK86" s="49">
        <f t="shared" si="160"/>
        <v>1.8E-3</v>
      </c>
      <c r="AL86" s="3">
        <f t="shared" si="161"/>
        <v>0.01</v>
      </c>
      <c r="AM86" s="50">
        <f t="shared" si="203"/>
        <v>7.4207371991806714E-2</v>
      </c>
      <c r="AN86" s="3">
        <f t="shared" si="162"/>
        <v>9.1999999999999998E-2</v>
      </c>
      <c r="AO86" s="3">
        <f t="shared" si="163"/>
        <v>2.1999999999999998E-4</v>
      </c>
      <c r="AP86" s="3">
        <f t="shared" si="204"/>
        <v>4.0094978690181628E-4</v>
      </c>
      <c r="AQ86" s="3">
        <f t="shared" si="205"/>
        <v>9.1073596612849042E-3</v>
      </c>
      <c r="AR86" s="3">
        <f t="shared" si="164"/>
        <v>1.8E-3</v>
      </c>
      <c r="AS86" s="214">
        <f t="shared" si="165"/>
        <v>1.35E-2</v>
      </c>
      <c r="AT86" s="50">
        <f t="shared" si="206"/>
        <v>0.10241813944330777</v>
      </c>
      <c r="AU86" s="16">
        <f t="shared" si="166"/>
        <v>1.25E-4</v>
      </c>
      <c r="AV86" s="49">
        <f t="shared" si="167"/>
        <v>1.2</v>
      </c>
      <c r="AW86" s="3">
        <f t="shared" si="168"/>
        <v>8.0000000000000002E-3</v>
      </c>
      <c r="AX86" s="49">
        <f t="shared" si="169"/>
        <v>3.199999999999989E-2</v>
      </c>
      <c r="AY86" s="49">
        <f t="shared" si="170"/>
        <v>6.0571905070098513</v>
      </c>
      <c r="AZ86" s="49">
        <f t="shared" si="171"/>
        <v>3.2000000000000002E-3</v>
      </c>
      <c r="BA86" s="3">
        <f t="shared" si="172"/>
        <v>0.01</v>
      </c>
      <c r="BB86" s="50">
        <f t="shared" si="207"/>
        <v>7.2892024589444988</v>
      </c>
      <c r="BC86" s="3">
        <f t="shared" si="173"/>
        <v>1.48</v>
      </c>
      <c r="BD86" s="3">
        <f t="shared" si="174"/>
        <v>8.6999999999999994E-3</v>
      </c>
      <c r="BE86" s="3">
        <f t="shared" si="208"/>
        <v>3.199999999999989E-2</v>
      </c>
      <c r="BF86" s="3">
        <f t="shared" si="209"/>
        <v>6.0571905070098513</v>
      </c>
      <c r="BG86" s="3">
        <f t="shared" si="175"/>
        <v>3.2000000000000002E-3</v>
      </c>
      <c r="BH86" s="214">
        <f t="shared" si="176"/>
        <v>1.35E-2</v>
      </c>
      <c r="BI86" s="50">
        <f t="shared" si="210"/>
        <v>7.5692082222256278</v>
      </c>
      <c r="BJ86" s="16">
        <f t="shared" si="177"/>
        <v>1.25E-4</v>
      </c>
      <c r="BK86" s="49">
        <f t="shared" si="178"/>
        <v>1.2</v>
      </c>
      <c r="BL86" s="3">
        <f t="shared" si="179"/>
        <v>1E-3</v>
      </c>
      <c r="BM86" s="49">
        <f t="shared" si="180"/>
        <v>7.9999999999999724E-3</v>
      </c>
      <c r="BN86" s="49">
        <f t="shared" si="181"/>
        <v>0.28799999999999998</v>
      </c>
      <c r="BO86" s="49">
        <f t="shared" si="182"/>
        <v>1.8E-3</v>
      </c>
      <c r="BP86" s="3">
        <f t="shared" si="183"/>
        <v>0.01</v>
      </c>
      <c r="BQ86" s="50">
        <f t="shared" si="211"/>
        <v>1.4960348391665217</v>
      </c>
      <c r="BR86" s="3">
        <f t="shared" si="184"/>
        <v>1.3399999999999999</v>
      </c>
      <c r="BS86" s="3">
        <f t="shared" si="185"/>
        <v>1.175E-3</v>
      </c>
      <c r="BT86" s="3">
        <f t="shared" si="212"/>
        <v>7.9999999999999724E-3</v>
      </c>
      <c r="BU86" s="3">
        <f t="shared" si="213"/>
        <v>0.28799999999999998</v>
      </c>
      <c r="BV86" s="3">
        <f t="shared" si="186"/>
        <v>1.8E-3</v>
      </c>
      <c r="BW86" s="214">
        <f t="shared" si="187"/>
        <v>1.35E-2</v>
      </c>
      <c r="BX86" s="50">
        <f t="shared" si="214"/>
        <v>1.6360571110523616</v>
      </c>
      <c r="BY86" s="16">
        <f t="shared" si="188"/>
        <v>1.25E-4</v>
      </c>
      <c r="BZ86" s="49">
        <f t="shared" si="189"/>
        <v>0.19999999999999998</v>
      </c>
      <c r="CA86" s="3">
        <f t="shared" si="190"/>
        <v>2E-3</v>
      </c>
      <c r="CB86" s="49">
        <f t="shared" si="191"/>
        <v>7.9999999999999724E-3</v>
      </c>
      <c r="CC86" s="49">
        <f t="shared" si="192"/>
        <v>0</v>
      </c>
      <c r="CD86" s="49">
        <f t="shared" si="193"/>
        <v>3.5999999999999999E-3</v>
      </c>
      <c r="CE86" s="3">
        <f t="shared" si="194"/>
        <v>0.01</v>
      </c>
      <c r="CF86" s="50">
        <f t="shared" si="215"/>
        <v>0.20828096408457492</v>
      </c>
      <c r="CG86" s="3">
        <f t="shared" si="195"/>
        <v>0.26999999999999996</v>
      </c>
      <c r="CH86" s="3">
        <f t="shared" si="196"/>
        <v>2.0874999999999999E-3</v>
      </c>
      <c r="CI86" s="3">
        <f t="shared" si="216"/>
        <v>7.9999999999999724E-3</v>
      </c>
      <c r="CJ86" s="3">
        <f t="shared" si="217"/>
        <v>0</v>
      </c>
      <c r="CK86" s="3">
        <f t="shared" si="197"/>
        <v>3.5999999999999999E-3</v>
      </c>
      <c r="CL86" s="214">
        <f t="shared" si="198"/>
        <v>1.35E-2</v>
      </c>
      <c r="CM86" s="50">
        <f t="shared" si="218"/>
        <v>0.27835870321628159</v>
      </c>
      <c r="CO86" s="22"/>
      <c r="CP86" s="24"/>
      <c r="CQ86" s="24"/>
      <c r="CR86" s="24"/>
      <c r="CS86" s="24"/>
    </row>
    <row r="87" spans="16:97">
      <c r="P87" s="116">
        <f t="shared" si="85"/>
        <v>0.03</v>
      </c>
      <c r="Q87" s="135">
        <f t="shared" si="144"/>
        <v>1.4999999999999999E-4</v>
      </c>
      <c r="R87" s="49">
        <f t="shared" si="145"/>
        <v>3.3333333333333335</v>
      </c>
      <c r="S87" s="3">
        <f t="shared" si="146"/>
        <v>8.0000000000000002E-3</v>
      </c>
      <c r="T87" s="49">
        <f t="shared" si="147"/>
        <v>2.6666666666666578E-2</v>
      </c>
      <c r="U87" s="49">
        <f t="shared" si="148"/>
        <v>0</v>
      </c>
      <c r="V87" s="49">
        <f t="shared" si="149"/>
        <v>2.666666666666667E-3</v>
      </c>
      <c r="W87" s="3">
        <f t="shared" si="150"/>
        <v>0.01</v>
      </c>
      <c r="X87" s="50">
        <f t="shared" si="199"/>
        <v>3.360025462866481</v>
      </c>
      <c r="Y87" s="3">
        <f t="shared" si="151"/>
        <v>3.5666666666666669</v>
      </c>
      <c r="Z87" s="3">
        <f t="shared" si="152"/>
        <v>8.6999999999999994E-3</v>
      </c>
      <c r="AA87" s="3">
        <f t="shared" si="200"/>
        <v>2.6666666666666578E-2</v>
      </c>
      <c r="AB87" s="3">
        <f t="shared" si="201"/>
        <v>0</v>
      </c>
      <c r="AC87" s="3">
        <f t="shared" si="153"/>
        <v>2.666666666666667E-3</v>
      </c>
      <c r="AD87" s="214">
        <f t="shared" si="154"/>
        <v>1.35E-2</v>
      </c>
      <c r="AE87" s="136">
        <f t="shared" si="202"/>
        <v>3.5933702140964483</v>
      </c>
      <c r="AF87" s="16">
        <f t="shared" si="155"/>
        <v>1.4999999999999999E-4</v>
      </c>
      <c r="AG87" s="49">
        <f t="shared" si="156"/>
        <v>5.3333333333333337E-2</v>
      </c>
      <c r="AH87" s="3">
        <f t="shared" si="157"/>
        <v>1.4999999999999999E-4</v>
      </c>
      <c r="AI87" s="49">
        <f t="shared" si="158"/>
        <v>3.3412482241818026E-4</v>
      </c>
      <c r="AJ87" s="49">
        <f t="shared" si="159"/>
        <v>7.589466384404088E-3</v>
      </c>
      <c r="AK87" s="49">
        <f t="shared" si="160"/>
        <v>1.5000000000000002E-3</v>
      </c>
      <c r="AL87" s="3">
        <f t="shared" si="161"/>
        <v>0.01</v>
      </c>
      <c r="AM87" s="50">
        <f t="shared" si="203"/>
        <v>6.208609590011533E-2</v>
      </c>
      <c r="AN87" s="3">
        <f t="shared" si="162"/>
        <v>7.6666666666666675E-2</v>
      </c>
      <c r="AO87" s="3">
        <f t="shared" si="163"/>
        <v>2.1999999999999998E-4</v>
      </c>
      <c r="AP87" s="3">
        <f t="shared" si="204"/>
        <v>3.3412482241818026E-4</v>
      </c>
      <c r="AQ87" s="3">
        <f t="shared" si="205"/>
        <v>7.589466384404088E-3</v>
      </c>
      <c r="AR87" s="3">
        <f t="shared" si="164"/>
        <v>1.5000000000000002E-3</v>
      </c>
      <c r="AS87" s="214">
        <f t="shared" si="165"/>
        <v>1.35E-2</v>
      </c>
      <c r="AT87" s="50">
        <f t="shared" si="206"/>
        <v>8.5674150868878529E-2</v>
      </c>
      <c r="AU87" s="16">
        <f t="shared" si="166"/>
        <v>1.4999999999999999E-4</v>
      </c>
      <c r="AV87" s="49">
        <f t="shared" si="167"/>
        <v>1</v>
      </c>
      <c r="AW87" s="3">
        <f t="shared" si="168"/>
        <v>8.0000000000000002E-3</v>
      </c>
      <c r="AX87" s="49">
        <f t="shared" si="169"/>
        <v>2.6666666666666578E-2</v>
      </c>
      <c r="AY87" s="49">
        <f t="shared" si="170"/>
        <v>5.0476587558415433</v>
      </c>
      <c r="AZ87" s="49">
        <f t="shared" si="171"/>
        <v>2.666666666666667E-3</v>
      </c>
      <c r="BA87" s="3">
        <f t="shared" si="172"/>
        <v>0.01</v>
      </c>
      <c r="BB87" s="50">
        <f t="shared" si="207"/>
        <v>6.0743395072748987</v>
      </c>
      <c r="BC87" s="3">
        <f t="shared" si="173"/>
        <v>1.2333333333333334</v>
      </c>
      <c r="BD87" s="3">
        <f t="shared" si="174"/>
        <v>8.6999999999999994E-3</v>
      </c>
      <c r="BE87" s="3">
        <f t="shared" si="208"/>
        <v>2.6666666666666578E-2</v>
      </c>
      <c r="BF87" s="3">
        <f t="shared" si="209"/>
        <v>5.0476587558415433</v>
      </c>
      <c r="BG87" s="3">
        <f t="shared" si="175"/>
        <v>2.666666666666667E-3</v>
      </c>
      <c r="BH87" s="214">
        <f t="shared" si="176"/>
        <v>1.35E-2</v>
      </c>
      <c r="BI87" s="50">
        <f t="shared" si="210"/>
        <v>6.3076797660673609</v>
      </c>
      <c r="BJ87" s="16">
        <f t="shared" si="177"/>
        <v>1.4999999999999999E-4</v>
      </c>
      <c r="BK87" s="49">
        <f t="shared" si="178"/>
        <v>1</v>
      </c>
      <c r="BL87" s="3">
        <f t="shared" si="179"/>
        <v>1E-3</v>
      </c>
      <c r="BM87" s="49">
        <f t="shared" si="180"/>
        <v>6.6666666666666445E-3</v>
      </c>
      <c r="BN87" s="49">
        <f t="shared" si="181"/>
        <v>0.24000000000000002</v>
      </c>
      <c r="BO87" s="49">
        <f t="shared" si="182"/>
        <v>1.5000000000000002E-3</v>
      </c>
      <c r="BP87" s="3">
        <f t="shared" si="183"/>
        <v>0.01</v>
      </c>
      <c r="BQ87" s="50">
        <f t="shared" si="211"/>
        <v>1.2467080764067335</v>
      </c>
      <c r="BR87" s="3">
        <f t="shared" si="184"/>
        <v>1.1166666666666667</v>
      </c>
      <c r="BS87" s="3">
        <f t="shared" si="185"/>
        <v>1.175E-3</v>
      </c>
      <c r="BT87" s="3">
        <f t="shared" si="212"/>
        <v>6.6666666666666445E-3</v>
      </c>
      <c r="BU87" s="3">
        <f t="shared" si="213"/>
        <v>0.24000000000000002</v>
      </c>
      <c r="BV87" s="3">
        <f t="shared" si="186"/>
        <v>1.5000000000000002E-3</v>
      </c>
      <c r="BW87" s="214">
        <f t="shared" si="187"/>
        <v>1.35E-2</v>
      </c>
      <c r="BX87" s="50">
        <f t="shared" si="214"/>
        <v>1.3634015030073781</v>
      </c>
      <c r="BY87" s="16">
        <f t="shared" si="188"/>
        <v>1.4999999999999999E-4</v>
      </c>
      <c r="BZ87" s="49">
        <f t="shared" si="189"/>
        <v>0.16666666666666666</v>
      </c>
      <c r="CA87" s="3">
        <f t="shared" si="190"/>
        <v>2E-3</v>
      </c>
      <c r="CB87" s="49">
        <f t="shared" si="191"/>
        <v>6.6666666666666445E-3</v>
      </c>
      <c r="CC87" s="49">
        <f t="shared" si="192"/>
        <v>0</v>
      </c>
      <c r="CD87" s="49">
        <f t="shared" si="193"/>
        <v>3.0000000000000005E-3</v>
      </c>
      <c r="CE87" s="3">
        <f t="shared" si="194"/>
        <v>0.01</v>
      </c>
      <c r="CF87" s="50">
        <f t="shared" si="215"/>
        <v>0.17365898895376661</v>
      </c>
      <c r="CG87" s="3">
        <f t="shared" si="195"/>
        <v>0.22499999999999998</v>
      </c>
      <c r="CH87" s="3">
        <f t="shared" si="196"/>
        <v>2.0874999999999999E-3</v>
      </c>
      <c r="CI87" s="3">
        <f t="shared" si="216"/>
        <v>6.6666666666666445E-3</v>
      </c>
      <c r="CJ87" s="3">
        <f t="shared" si="217"/>
        <v>0</v>
      </c>
      <c r="CK87" s="3">
        <f t="shared" si="197"/>
        <v>3.0000000000000005E-3</v>
      </c>
      <c r="CL87" s="214">
        <f t="shared" si="198"/>
        <v>1.35E-2</v>
      </c>
      <c r="CM87" s="50">
        <f t="shared" si="218"/>
        <v>0.23208845749130746</v>
      </c>
      <c r="CO87" s="22"/>
      <c r="CP87" s="24"/>
      <c r="CQ87" s="24"/>
      <c r="CR87" s="24"/>
      <c r="CS87" s="24"/>
    </row>
    <row r="88" spans="16:97">
      <c r="P88" s="116">
        <f t="shared" si="85"/>
        <v>3.4999999999999996E-2</v>
      </c>
      <c r="Q88" s="135">
        <f t="shared" si="144"/>
        <v>1.75E-4</v>
      </c>
      <c r="R88" s="49">
        <f t="shared" si="145"/>
        <v>2.8571428571428572</v>
      </c>
      <c r="S88" s="3">
        <f t="shared" si="146"/>
        <v>8.0000000000000002E-3</v>
      </c>
      <c r="T88" s="49">
        <f t="shared" si="147"/>
        <v>2.2857142857142777E-2</v>
      </c>
      <c r="U88" s="49">
        <f t="shared" si="148"/>
        <v>0</v>
      </c>
      <c r="V88" s="49">
        <f t="shared" si="149"/>
        <v>2.2857142857142863E-3</v>
      </c>
      <c r="W88" s="3">
        <f t="shared" si="150"/>
        <v>0.01</v>
      </c>
      <c r="X88" s="50">
        <f t="shared" si="199"/>
        <v>2.8800293791018512</v>
      </c>
      <c r="Y88" s="3">
        <f t="shared" si="151"/>
        <v>3.0571428571428574</v>
      </c>
      <c r="Z88" s="3">
        <f t="shared" si="152"/>
        <v>8.6999999999999994E-3</v>
      </c>
      <c r="AA88" s="3">
        <f t="shared" si="200"/>
        <v>2.2857142857142777E-2</v>
      </c>
      <c r="AB88" s="3">
        <f t="shared" si="201"/>
        <v>0</v>
      </c>
      <c r="AC88" s="3">
        <f t="shared" si="153"/>
        <v>2.2857142857142863E-3</v>
      </c>
      <c r="AD88" s="214">
        <f t="shared" si="154"/>
        <v>1.35E-2</v>
      </c>
      <c r="AE88" s="136">
        <f t="shared" si="202"/>
        <v>3.0800427212118007</v>
      </c>
      <c r="AF88" s="16">
        <f t="shared" si="155"/>
        <v>1.75E-4</v>
      </c>
      <c r="AG88" s="49">
        <f t="shared" si="156"/>
        <v>4.5714285714285714E-2</v>
      </c>
      <c r="AH88" s="3">
        <f t="shared" si="157"/>
        <v>1.4999999999999999E-4</v>
      </c>
      <c r="AI88" s="49">
        <f t="shared" si="158"/>
        <v>2.8639270492986877E-4</v>
      </c>
      <c r="AJ88" s="49">
        <f t="shared" si="159"/>
        <v>6.5052569009177892E-3</v>
      </c>
      <c r="AK88" s="49">
        <f t="shared" si="160"/>
        <v>1.2857142857142859E-3</v>
      </c>
      <c r="AL88" s="3">
        <f t="shared" si="161"/>
        <v>0.01</v>
      </c>
      <c r="AM88" s="50">
        <f t="shared" si="203"/>
        <v>5.3465398203571983E-2</v>
      </c>
      <c r="AN88" s="3">
        <f t="shared" si="162"/>
        <v>6.5714285714285711E-2</v>
      </c>
      <c r="AO88" s="3">
        <f t="shared" si="163"/>
        <v>2.1999999999999998E-4</v>
      </c>
      <c r="AP88" s="3">
        <f t="shared" si="204"/>
        <v>2.8639270492986877E-4</v>
      </c>
      <c r="AQ88" s="3">
        <f t="shared" si="205"/>
        <v>6.5052569009177892E-3</v>
      </c>
      <c r="AR88" s="3">
        <f t="shared" si="164"/>
        <v>1.2857142857142859E-3</v>
      </c>
      <c r="AS88" s="214">
        <f t="shared" si="165"/>
        <v>1.35E-2</v>
      </c>
      <c r="AT88" s="50">
        <f t="shared" si="206"/>
        <v>7.3763555485563834E-2</v>
      </c>
      <c r="AU88" s="16">
        <f t="shared" si="166"/>
        <v>1.75E-4</v>
      </c>
      <c r="AV88" s="49">
        <f t="shared" si="167"/>
        <v>0.8571428571428571</v>
      </c>
      <c r="AW88" s="3">
        <f t="shared" si="168"/>
        <v>8.0000000000000002E-3</v>
      </c>
      <c r="AX88" s="49">
        <f t="shared" si="169"/>
        <v>2.2857142857142777E-2</v>
      </c>
      <c r="AY88" s="49">
        <f t="shared" si="170"/>
        <v>4.3265646478641795</v>
      </c>
      <c r="AZ88" s="49">
        <f t="shared" si="171"/>
        <v>2.2857142857142863E-3</v>
      </c>
      <c r="BA88" s="3">
        <f t="shared" si="172"/>
        <v>0.01</v>
      </c>
      <c r="BB88" s="50">
        <f t="shared" si="207"/>
        <v>5.2065808989084994</v>
      </c>
      <c r="BC88" s="3">
        <f t="shared" si="173"/>
        <v>1.0571428571428572</v>
      </c>
      <c r="BD88" s="3">
        <f t="shared" si="174"/>
        <v>8.6999999999999994E-3</v>
      </c>
      <c r="BE88" s="3">
        <f t="shared" si="208"/>
        <v>2.2857142857142777E-2</v>
      </c>
      <c r="BF88" s="3">
        <f t="shared" si="209"/>
        <v>4.3265646478641795</v>
      </c>
      <c r="BG88" s="3">
        <f t="shared" si="175"/>
        <v>2.2857142857142863E-3</v>
      </c>
      <c r="BH88" s="214">
        <f t="shared" si="176"/>
        <v>1.35E-2</v>
      </c>
      <c r="BI88" s="50">
        <f t="shared" si="210"/>
        <v>5.4065889853052926</v>
      </c>
      <c r="BJ88" s="16">
        <f t="shared" si="177"/>
        <v>1.75E-4</v>
      </c>
      <c r="BK88" s="49">
        <f t="shared" si="178"/>
        <v>0.8571428571428571</v>
      </c>
      <c r="BL88" s="3">
        <f t="shared" si="179"/>
        <v>1E-3</v>
      </c>
      <c r="BM88" s="49">
        <f t="shared" si="180"/>
        <v>5.7142857142856943E-3</v>
      </c>
      <c r="BN88" s="49">
        <f t="shared" si="181"/>
        <v>0.20571428571428571</v>
      </c>
      <c r="BO88" s="49">
        <f t="shared" si="182"/>
        <v>1.2857142857142859E-3</v>
      </c>
      <c r="BP88" s="3">
        <f t="shared" si="183"/>
        <v>0.01</v>
      </c>
      <c r="BQ88" s="50">
        <f t="shared" si="211"/>
        <v>1.0686194603414294</v>
      </c>
      <c r="BR88" s="3">
        <f t="shared" si="184"/>
        <v>0.95714285714285707</v>
      </c>
      <c r="BS88" s="3">
        <f t="shared" si="185"/>
        <v>1.175E-3</v>
      </c>
      <c r="BT88" s="3">
        <f t="shared" si="212"/>
        <v>5.7142857142856943E-3</v>
      </c>
      <c r="BU88" s="3">
        <f t="shared" si="213"/>
        <v>0.20571428571428571</v>
      </c>
      <c r="BV88" s="3">
        <f t="shared" si="186"/>
        <v>1.2857142857142859E-3</v>
      </c>
      <c r="BW88" s="214">
        <f t="shared" si="187"/>
        <v>1.35E-2</v>
      </c>
      <c r="BX88" s="50">
        <f t="shared" si="214"/>
        <v>1.1686507037432927</v>
      </c>
      <c r="BY88" s="16">
        <f t="shared" si="188"/>
        <v>1.75E-4</v>
      </c>
      <c r="BZ88" s="49">
        <f t="shared" si="189"/>
        <v>0.14285714285714285</v>
      </c>
      <c r="CA88" s="3">
        <f t="shared" si="190"/>
        <v>2E-3</v>
      </c>
      <c r="CB88" s="49">
        <f t="shared" si="191"/>
        <v>5.7142857142856943E-3</v>
      </c>
      <c r="CC88" s="49">
        <f t="shared" si="192"/>
        <v>0</v>
      </c>
      <c r="CD88" s="49">
        <f t="shared" si="193"/>
        <v>2.5714285714285717E-3</v>
      </c>
      <c r="CE88" s="3">
        <f t="shared" si="194"/>
        <v>0.01</v>
      </c>
      <c r="CF88" s="50">
        <f t="shared" si="215"/>
        <v>0.14894321613505279</v>
      </c>
      <c r="CG88" s="3">
        <f t="shared" si="195"/>
        <v>0.19285714285714284</v>
      </c>
      <c r="CH88" s="3">
        <f t="shared" si="196"/>
        <v>2.0874999999999999E-3</v>
      </c>
      <c r="CI88" s="3">
        <f t="shared" si="216"/>
        <v>5.7142857142856943E-3</v>
      </c>
      <c r="CJ88" s="3">
        <f t="shared" si="217"/>
        <v>0</v>
      </c>
      <c r="CK88" s="3">
        <f t="shared" si="197"/>
        <v>2.5714285714285717E-3</v>
      </c>
      <c r="CL88" s="214">
        <f t="shared" si="198"/>
        <v>1.35E-2</v>
      </c>
      <c r="CM88" s="50">
        <f t="shared" si="218"/>
        <v>0.19905735893466966</v>
      </c>
      <c r="CO88" s="22"/>
      <c r="CP88" s="24"/>
      <c r="CQ88" s="24"/>
      <c r="CR88" s="24"/>
      <c r="CS88" s="24"/>
    </row>
    <row r="89" spans="16:97">
      <c r="P89" s="116">
        <f t="shared" si="85"/>
        <v>0.04</v>
      </c>
      <c r="Q89" s="135">
        <f t="shared" si="144"/>
        <v>2.0000000000000001E-4</v>
      </c>
      <c r="R89" s="49">
        <f t="shared" si="145"/>
        <v>2.5</v>
      </c>
      <c r="S89" s="3">
        <f t="shared" si="146"/>
        <v>8.0000000000000002E-3</v>
      </c>
      <c r="T89" s="49">
        <f t="shared" si="147"/>
        <v>1.9999999999999931E-2</v>
      </c>
      <c r="U89" s="49">
        <f t="shared" si="148"/>
        <v>0</v>
      </c>
      <c r="V89" s="49">
        <f t="shared" si="149"/>
        <v>2E-3</v>
      </c>
      <c r="W89" s="3">
        <f t="shared" si="150"/>
        <v>0.01</v>
      </c>
      <c r="X89" s="50">
        <f t="shared" si="199"/>
        <v>2.5200333331128775</v>
      </c>
      <c r="Y89" s="3">
        <f t="shared" si="151"/>
        <v>2.6749999999999998</v>
      </c>
      <c r="Z89" s="3">
        <f t="shared" si="152"/>
        <v>8.6999999999999994E-3</v>
      </c>
      <c r="AA89" s="3">
        <f t="shared" si="200"/>
        <v>1.9999999999999931E-2</v>
      </c>
      <c r="AB89" s="3">
        <f t="shared" si="201"/>
        <v>0</v>
      </c>
      <c r="AC89" s="3">
        <f t="shared" si="153"/>
        <v>2E-3</v>
      </c>
      <c r="AD89" s="214">
        <f t="shared" si="154"/>
        <v>1.35E-2</v>
      </c>
      <c r="AE89" s="136">
        <f t="shared" si="202"/>
        <v>2.6950485969644404</v>
      </c>
      <c r="AF89" s="16">
        <f t="shared" si="155"/>
        <v>2.0000000000000001E-4</v>
      </c>
      <c r="AG89" s="49">
        <f t="shared" si="156"/>
        <v>3.9999999999999994E-2</v>
      </c>
      <c r="AH89" s="3">
        <f t="shared" si="157"/>
        <v>1.4999999999999999E-4</v>
      </c>
      <c r="AI89" s="49">
        <f t="shared" si="158"/>
        <v>2.5059361681363518E-4</v>
      </c>
      <c r="AJ89" s="49">
        <f t="shared" si="159"/>
        <v>5.6920997883030651E-3</v>
      </c>
      <c r="AK89" s="49">
        <f t="shared" si="160"/>
        <v>1.1250000000000001E-3</v>
      </c>
      <c r="AL89" s="3">
        <f t="shared" si="161"/>
        <v>0.01</v>
      </c>
      <c r="AM89" s="50">
        <f t="shared" si="203"/>
        <v>4.7032108206166483E-2</v>
      </c>
      <c r="AN89" s="3">
        <f t="shared" si="162"/>
        <v>5.7499999999999996E-2</v>
      </c>
      <c r="AO89" s="3">
        <f t="shared" si="163"/>
        <v>2.1999999999999998E-4</v>
      </c>
      <c r="AP89" s="3">
        <f t="shared" si="204"/>
        <v>2.5059361681363518E-4</v>
      </c>
      <c r="AQ89" s="3">
        <f t="shared" si="205"/>
        <v>5.6920997883030651E-3</v>
      </c>
      <c r="AR89" s="3">
        <f t="shared" si="164"/>
        <v>1.1250000000000001E-3</v>
      </c>
      <c r="AS89" s="214">
        <f t="shared" si="165"/>
        <v>1.35E-2</v>
      </c>
      <c r="AT89" s="50">
        <f t="shared" si="206"/>
        <v>6.4873256211597993E-2</v>
      </c>
      <c r="AU89" s="16">
        <f t="shared" si="166"/>
        <v>2.0000000000000001E-4</v>
      </c>
      <c r="AV89" s="49">
        <f t="shared" si="167"/>
        <v>0.74999999999999989</v>
      </c>
      <c r="AW89" s="3">
        <f t="shared" si="168"/>
        <v>8.0000000000000002E-3</v>
      </c>
      <c r="AX89" s="49">
        <f t="shared" si="169"/>
        <v>1.9999999999999931E-2</v>
      </c>
      <c r="AY89" s="49">
        <f t="shared" si="170"/>
        <v>3.7857440668811568</v>
      </c>
      <c r="AZ89" s="49">
        <f t="shared" si="171"/>
        <v>2E-3</v>
      </c>
      <c r="BA89" s="3">
        <f t="shared" si="172"/>
        <v>0.01</v>
      </c>
      <c r="BB89" s="50">
        <f t="shared" si="207"/>
        <v>4.5557625051052497</v>
      </c>
      <c r="BC89" s="3">
        <f t="shared" si="173"/>
        <v>0.92499999999999982</v>
      </c>
      <c r="BD89" s="3">
        <f t="shared" si="174"/>
        <v>8.6999999999999994E-3</v>
      </c>
      <c r="BE89" s="3">
        <f t="shared" si="208"/>
        <v>1.9999999999999931E-2</v>
      </c>
      <c r="BF89" s="3">
        <f t="shared" si="209"/>
        <v>3.7857440668811568</v>
      </c>
      <c r="BG89" s="3">
        <f t="shared" si="175"/>
        <v>2E-3</v>
      </c>
      <c r="BH89" s="214">
        <f t="shared" si="176"/>
        <v>1.35E-2</v>
      </c>
      <c r="BI89" s="50">
        <f t="shared" si="210"/>
        <v>4.730771751662858</v>
      </c>
      <c r="BJ89" s="16">
        <f t="shared" si="177"/>
        <v>2.0000000000000001E-4</v>
      </c>
      <c r="BK89" s="49">
        <f t="shared" si="178"/>
        <v>0.74999999999999989</v>
      </c>
      <c r="BL89" s="3">
        <f t="shared" si="179"/>
        <v>1E-3</v>
      </c>
      <c r="BM89" s="49">
        <f t="shared" si="180"/>
        <v>4.9999999999999828E-3</v>
      </c>
      <c r="BN89" s="49">
        <f t="shared" si="181"/>
        <v>0.18</v>
      </c>
      <c r="BO89" s="49">
        <f t="shared" si="182"/>
        <v>1.1250000000000001E-3</v>
      </c>
      <c r="BP89" s="3">
        <f t="shared" si="183"/>
        <v>0.01</v>
      </c>
      <c r="BQ89" s="50">
        <f t="shared" si="211"/>
        <v>0.93505468590077645</v>
      </c>
      <c r="BR89" s="3">
        <f t="shared" si="184"/>
        <v>0.83749999999999991</v>
      </c>
      <c r="BS89" s="3">
        <f t="shared" si="185"/>
        <v>1.175E-3</v>
      </c>
      <c r="BT89" s="3">
        <f t="shared" si="212"/>
        <v>4.9999999999999828E-3</v>
      </c>
      <c r="BU89" s="3">
        <f t="shared" si="213"/>
        <v>0.18</v>
      </c>
      <c r="BV89" s="3">
        <f t="shared" si="186"/>
        <v>1.1250000000000001E-3</v>
      </c>
      <c r="BW89" s="214">
        <f t="shared" si="187"/>
        <v>1.35E-2</v>
      </c>
      <c r="BX89" s="50">
        <f t="shared" si="214"/>
        <v>1.0225904098171466</v>
      </c>
      <c r="BY89" s="16">
        <f t="shared" si="188"/>
        <v>2.0000000000000001E-4</v>
      </c>
      <c r="BZ89" s="49">
        <f t="shared" si="189"/>
        <v>0.12499999999999999</v>
      </c>
      <c r="CA89" s="3">
        <f t="shared" si="190"/>
        <v>2E-3</v>
      </c>
      <c r="CB89" s="49">
        <f t="shared" si="191"/>
        <v>4.9999999999999828E-3</v>
      </c>
      <c r="CC89" s="49">
        <f t="shared" si="192"/>
        <v>0</v>
      </c>
      <c r="CD89" s="49">
        <f t="shared" si="193"/>
        <v>2.2500000000000003E-3</v>
      </c>
      <c r="CE89" s="3">
        <f t="shared" si="194"/>
        <v>0.01</v>
      </c>
      <c r="CF89" s="50">
        <f t="shared" si="215"/>
        <v>0.13041879657472688</v>
      </c>
      <c r="CG89" s="3">
        <f t="shared" si="195"/>
        <v>0.16874999999999998</v>
      </c>
      <c r="CH89" s="3">
        <f t="shared" si="196"/>
        <v>2.0874999999999999E-3</v>
      </c>
      <c r="CI89" s="3">
        <f t="shared" si="216"/>
        <v>4.9999999999999828E-3</v>
      </c>
      <c r="CJ89" s="3">
        <f t="shared" si="217"/>
        <v>0</v>
      </c>
      <c r="CK89" s="3">
        <f t="shared" si="197"/>
        <v>2.2500000000000003E-3</v>
      </c>
      <c r="CL89" s="214">
        <f t="shared" si="198"/>
        <v>1.35E-2</v>
      </c>
      <c r="CM89" s="50">
        <f t="shared" si="218"/>
        <v>0.17430069608653312</v>
      </c>
      <c r="CO89" s="22"/>
      <c r="CP89" s="24"/>
      <c r="CQ89" s="24"/>
      <c r="CR89" s="24"/>
      <c r="CS89" s="24"/>
    </row>
    <row r="90" spans="16:97" ht="11.25" customHeight="1">
      <c r="P90" s="116">
        <f t="shared" si="85"/>
        <v>4.5000000000000005E-2</v>
      </c>
      <c r="Q90" s="135">
        <f t="shared" si="144"/>
        <v>2.2500000000000002E-4</v>
      </c>
      <c r="R90" s="49">
        <f t="shared" si="145"/>
        <v>2.2222222222222219</v>
      </c>
      <c r="S90" s="3">
        <f t="shared" si="146"/>
        <v>8.0000000000000002E-3</v>
      </c>
      <c r="T90" s="49">
        <f t="shared" si="147"/>
        <v>1.7777777777777715E-2</v>
      </c>
      <c r="U90" s="49">
        <f t="shared" si="148"/>
        <v>0</v>
      </c>
      <c r="V90" s="49">
        <f t="shared" si="149"/>
        <v>1.7777777777777776E-3</v>
      </c>
      <c r="W90" s="3">
        <f t="shared" si="150"/>
        <v>0.01</v>
      </c>
      <c r="X90" s="50">
        <f t="shared" si="199"/>
        <v>2.2400373122994686</v>
      </c>
      <c r="Y90" s="3">
        <f t="shared" si="151"/>
        <v>2.3777777777777773</v>
      </c>
      <c r="Z90" s="3">
        <f t="shared" si="152"/>
        <v>8.6999999999999994E-3</v>
      </c>
      <c r="AA90" s="3">
        <f t="shared" si="200"/>
        <v>1.7777777777777715E-2</v>
      </c>
      <c r="AB90" s="3">
        <f t="shared" si="201"/>
        <v>0</v>
      </c>
      <c r="AC90" s="3">
        <f t="shared" si="153"/>
        <v>1.7777777777777776E-3</v>
      </c>
      <c r="AD90" s="214">
        <f t="shared" si="154"/>
        <v>1.35E-2</v>
      </c>
      <c r="AE90" s="136">
        <f t="shared" si="202"/>
        <v>2.3956100517920089</v>
      </c>
      <c r="AF90" s="16">
        <f t="shared" si="155"/>
        <v>2.2500000000000002E-4</v>
      </c>
      <c r="AG90" s="49">
        <f t="shared" si="156"/>
        <v>3.5555555555555549E-2</v>
      </c>
      <c r="AH90" s="3">
        <f t="shared" si="157"/>
        <v>1.4999999999999999E-4</v>
      </c>
      <c r="AI90" s="49">
        <f t="shared" si="158"/>
        <v>2.2274988161212014E-4</v>
      </c>
      <c r="AJ90" s="49">
        <f t="shared" si="159"/>
        <v>5.0596442562693914E-3</v>
      </c>
      <c r="AK90" s="49">
        <f t="shared" si="160"/>
        <v>1E-3</v>
      </c>
      <c r="AL90" s="3">
        <f t="shared" si="161"/>
        <v>0.01</v>
      </c>
      <c r="AM90" s="50">
        <f t="shared" si="203"/>
        <v>4.205663604193393E-2</v>
      </c>
      <c r="AN90" s="3">
        <f t="shared" si="162"/>
        <v>5.11111111111111E-2</v>
      </c>
      <c r="AO90" s="3">
        <f t="shared" si="163"/>
        <v>2.1999999999999998E-4</v>
      </c>
      <c r="AP90" s="3">
        <f t="shared" si="204"/>
        <v>2.2274988161212014E-4</v>
      </c>
      <c r="AQ90" s="3">
        <f t="shared" si="205"/>
        <v>5.0596442562693914E-3</v>
      </c>
      <c r="AR90" s="3">
        <f t="shared" si="164"/>
        <v>1E-3</v>
      </c>
      <c r="AS90" s="214">
        <f t="shared" si="165"/>
        <v>1.35E-2</v>
      </c>
      <c r="AT90" s="50">
        <f t="shared" si="206"/>
        <v>5.7995912220329439E-2</v>
      </c>
      <c r="AU90" s="16">
        <f t="shared" si="166"/>
        <v>2.2500000000000002E-4</v>
      </c>
      <c r="AV90" s="49">
        <f t="shared" si="167"/>
        <v>0.66666666666666652</v>
      </c>
      <c r="AW90" s="3">
        <f t="shared" si="168"/>
        <v>8.0000000000000002E-3</v>
      </c>
      <c r="AX90" s="49">
        <f t="shared" si="169"/>
        <v>1.7777777777777715E-2</v>
      </c>
      <c r="AY90" s="49">
        <f t="shared" si="170"/>
        <v>3.365105837227695</v>
      </c>
      <c r="AZ90" s="49">
        <f t="shared" si="171"/>
        <v>1.7777777777777776E-3</v>
      </c>
      <c r="BA90" s="3">
        <f t="shared" si="172"/>
        <v>0.01</v>
      </c>
      <c r="BB90" s="50">
        <f t="shared" si="207"/>
        <v>4.0495709210093755</v>
      </c>
      <c r="BC90" s="3">
        <f t="shared" si="173"/>
        <v>0.82222222222222208</v>
      </c>
      <c r="BD90" s="3">
        <f t="shared" si="174"/>
        <v>8.6999999999999994E-3</v>
      </c>
      <c r="BE90" s="3">
        <f t="shared" si="208"/>
        <v>1.7777777777777715E-2</v>
      </c>
      <c r="BF90" s="3">
        <f t="shared" si="209"/>
        <v>3.365105837227695</v>
      </c>
      <c r="BG90" s="3">
        <f t="shared" si="175"/>
        <v>1.7777777777777776E-3</v>
      </c>
      <c r="BH90" s="214">
        <f t="shared" si="176"/>
        <v>1.35E-2</v>
      </c>
      <c r="BI90" s="50">
        <f t="shared" si="210"/>
        <v>4.2051368827637772</v>
      </c>
      <c r="BJ90" s="16">
        <f t="shared" si="177"/>
        <v>2.2500000000000002E-4</v>
      </c>
      <c r="BK90" s="49">
        <f t="shared" si="178"/>
        <v>0.66666666666666652</v>
      </c>
      <c r="BL90" s="3">
        <f t="shared" si="179"/>
        <v>1E-3</v>
      </c>
      <c r="BM90" s="49">
        <f t="shared" si="180"/>
        <v>4.4444444444444288E-3</v>
      </c>
      <c r="BN90" s="49">
        <f t="shared" si="181"/>
        <v>0.15999999999999998</v>
      </c>
      <c r="BO90" s="49">
        <f t="shared" si="182"/>
        <v>1E-3</v>
      </c>
      <c r="BP90" s="3">
        <f t="shared" si="183"/>
        <v>0.01</v>
      </c>
      <c r="BQ90" s="50">
        <f t="shared" si="211"/>
        <v>0.83117247248230341</v>
      </c>
      <c r="BR90" s="3">
        <f t="shared" si="184"/>
        <v>0.74444444444444424</v>
      </c>
      <c r="BS90" s="3">
        <f t="shared" si="185"/>
        <v>1.175E-3</v>
      </c>
      <c r="BT90" s="3">
        <f t="shared" si="212"/>
        <v>4.4444444444444288E-3</v>
      </c>
      <c r="BU90" s="3">
        <f t="shared" si="213"/>
        <v>0.15999999999999998</v>
      </c>
      <c r="BV90" s="3">
        <f t="shared" si="186"/>
        <v>1E-3</v>
      </c>
      <c r="BW90" s="214">
        <f t="shared" si="187"/>
        <v>1.35E-2</v>
      </c>
      <c r="BX90" s="50">
        <f t="shared" si="214"/>
        <v>0.90899045262900235</v>
      </c>
      <c r="BY90" s="16">
        <f t="shared" si="188"/>
        <v>2.2500000000000002E-4</v>
      </c>
      <c r="BZ90" s="49">
        <f t="shared" si="189"/>
        <v>0.11111111111111109</v>
      </c>
      <c r="CA90" s="3">
        <f t="shared" si="190"/>
        <v>2E-3</v>
      </c>
      <c r="CB90" s="49">
        <f t="shared" si="191"/>
        <v>4.4444444444444288E-3</v>
      </c>
      <c r="CC90" s="49">
        <f t="shared" si="192"/>
        <v>0</v>
      </c>
      <c r="CD90" s="49">
        <f t="shared" si="193"/>
        <v>2E-3</v>
      </c>
      <c r="CE90" s="3">
        <f t="shared" si="194"/>
        <v>0.01</v>
      </c>
      <c r="CF90" s="50">
        <f t="shared" si="215"/>
        <v>0.11602192215160495</v>
      </c>
      <c r="CG90" s="3">
        <f t="shared" si="195"/>
        <v>0.14999999999999997</v>
      </c>
      <c r="CH90" s="3">
        <f t="shared" si="196"/>
        <v>2.0874999999999999E-3</v>
      </c>
      <c r="CI90" s="3">
        <f t="shared" si="216"/>
        <v>4.4444444444444288E-3</v>
      </c>
      <c r="CJ90" s="3">
        <f t="shared" si="217"/>
        <v>0</v>
      </c>
      <c r="CK90" s="3">
        <f t="shared" si="197"/>
        <v>2E-3</v>
      </c>
      <c r="CL90" s="214">
        <f t="shared" si="198"/>
        <v>1.35E-2</v>
      </c>
      <c r="CM90" s="50">
        <f t="shared" si="218"/>
        <v>0.15506029174486635</v>
      </c>
      <c r="CS90" s="24"/>
    </row>
    <row r="91" spans="16:97" ht="11.25" customHeight="1">
      <c r="P91" s="116">
        <f t="shared" si="85"/>
        <v>0.05</v>
      </c>
      <c r="Q91" s="135">
        <f t="shared" si="144"/>
        <v>2.5000000000000001E-4</v>
      </c>
      <c r="R91" s="49">
        <f t="shared" si="145"/>
        <v>2</v>
      </c>
      <c r="S91" s="3">
        <f t="shared" si="146"/>
        <v>8.0000000000000002E-3</v>
      </c>
      <c r="T91" s="49">
        <f t="shared" si="147"/>
        <v>1.5999999999999945E-2</v>
      </c>
      <c r="U91" s="49">
        <f t="shared" si="148"/>
        <v>0</v>
      </c>
      <c r="V91" s="49">
        <f t="shared" si="149"/>
        <v>1.6000000000000001E-3</v>
      </c>
      <c r="W91" s="3">
        <f t="shared" si="150"/>
        <v>0.01</v>
      </c>
      <c r="X91" s="50">
        <f t="shared" si="199"/>
        <v>2.0160413091005851</v>
      </c>
      <c r="Y91" s="3">
        <f t="shared" si="151"/>
        <v>2.14</v>
      </c>
      <c r="Z91" s="3">
        <f t="shared" si="152"/>
        <v>8.6999999999999994E-3</v>
      </c>
      <c r="AA91" s="3">
        <f t="shared" si="200"/>
        <v>1.5999999999999945E-2</v>
      </c>
      <c r="AB91" s="3">
        <f t="shared" si="201"/>
        <v>0</v>
      </c>
      <c r="AC91" s="3">
        <f t="shared" si="153"/>
        <v>1.6000000000000001E-3</v>
      </c>
      <c r="AD91" s="214">
        <f t="shared" si="154"/>
        <v>1.35E-2</v>
      </c>
      <c r="AE91" s="136">
        <f t="shared" si="202"/>
        <v>2.1560604119551012</v>
      </c>
      <c r="AF91" s="16">
        <f t="shared" si="155"/>
        <v>2.5000000000000001E-4</v>
      </c>
      <c r="AG91" s="49">
        <f t="shared" si="156"/>
        <v>3.2000000000000001E-2</v>
      </c>
      <c r="AH91" s="3">
        <f t="shared" si="157"/>
        <v>1.4999999999999999E-4</v>
      </c>
      <c r="AI91" s="49">
        <f t="shared" si="158"/>
        <v>2.0047489345090814E-4</v>
      </c>
      <c r="AJ91" s="49">
        <f t="shared" si="159"/>
        <v>4.5536798306424521E-3</v>
      </c>
      <c r="AK91" s="49">
        <f t="shared" si="160"/>
        <v>8.9999999999999998E-4</v>
      </c>
      <c r="AL91" s="3">
        <f t="shared" si="161"/>
        <v>0.01</v>
      </c>
      <c r="AM91" s="50">
        <f t="shared" si="203"/>
        <v>3.8101186195217004E-2</v>
      </c>
      <c r="AN91" s="3">
        <f t="shared" si="162"/>
        <v>4.5999999999999999E-2</v>
      </c>
      <c r="AO91" s="3">
        <f t="shared" si="163"/>
        <v>2.1999999999999998E-4</v>
      </c>
      <c r="AP91" s="3">
        <f t="shared" si="204"/>
        <v>2.0047489345090814E-4</v>
      </c>
      <c r="AQ91" s="3">
        <f t="shared" si="205"/>
        <v>4.5536798306424521E-3</v>
      </c>
      <c r="AR91" s="3">
        <f t="shared" si="164"/>
        <v>8.9999999999999998E-4</v>
      </c>
      <c r="AS91" s="214">
        <f t="shared" si="165"/>
        <v>1.35E-2</v>
      </c>
      <c r="AT91" s="50">
        <f t="shared" si="206"/>
        <v>5.2527065611522684E-2</v>
      </c>
      <c r="AU91" s="16">
        <f t="shared" si="166"/>
        <v>2.5000000000000001E-4</v>
      </c>
      <c r="AV91" s="49">
        <f t="shared" si="167"/>
        <v>0.6</v>
      </c>
      <c r="AW91" s="3">
        <f t="shared" si="168"/>
        <v>8.0000000000000002E-3</v>
      </c>
      <c r="AX91" s="49">
        <f t="shared" si="169"/>
        <v>1.5999999999999945E-2</v>
      </c>
      <c r="AY91" s="49">
        <f t="shared" si="170"/>
        <v>3.0285952535049256</v>
      </c>
      <c r="AZ91" s="49">
        <f t="shared" si="171"/>
        <v>1.6000000000000001E-3</v>
      </c>
      <c r="BA91" s="3">
        <f t="shared" si="172"/>
        <v>0.01</v>
      </c>
      <c r="BB91" s="50">
        <f t="shared" si="207"/>
        <v>3.6446181037072503</v>
      </c>
      <c r="BC91" s="3">
        <f t="shared" si="173"/>
        <v>0.74</v>
      </c>
      <c r="BD91" s="3">
        <f t="shared" si="174"/>
        <v>8.6999999999999994E-3</v>
      </c>
      <c r="BE91" s="3">
        <f t="shared" si="208"/>
        <v>1.5999999999999945E-2</v>
      </c>
      <c r="BF91" s="3">
        <f t="shared" si="209"/>
        <v>3.0285952535049256</v>
      </c>
      <c r="BG91" s="3">
        <f t="shared" si="175"/>
        <v>1.6000000000000001E-3</v>
      </c>
      <c r="BH91" s="214">
        <f t="shared" si="176"/>
        <v>1.35E-2</v>
      </c>
      <c r="BI91" s="50">
        <f t="shared" si="210"/>
        <v>3.784629669181915</v>
      </c>
      <c r="BJ91" s="16">
        <f t="shared" si="177"/>
        <v>2.5000000000000001E-4</v>
      </c>
      <c r="BK91" s="49">
        <f t="shared" si="178"/>
        <v>0.6</v>
      </c>
      <c r="BL91" s="3">
        <f t="shared" si="179"/>
        <v>1E-3</v>
      </c>
      <c r="BM91" s="49">
        <f t="shared" si="180"/>
        <v>3.9999999999999862E-3</v>
      </c>
      <c r="BN91" s="49">
        <f t="shared" si="181"/>
        <v>0.14399999999999999</v>
      </c>
      <c r="BO91" s="49">
        <f t="shared" si="182"/>
        <v>8.9999999999999998E-4</v>
      </c>
      <c r="BP91" s="3">
        <f t="shared" si="183"/>
        <v>0.01</v>
      </c>
      <c r="BQ91" s="50">
        <f t="shared" si="211"/>
        <v>0.74806805171722179</v>
      </c>
      <c r="BR91" s="3">
        <f t="shared" si="184"/>
        <v>0.66999999999999993</v>
      </c>
      <c r="BS91" s="3">
        <f t="shared" si="185"/>
        <v>1.175E-3</v>
      </c>
      <c r="BT91" s="3">
        <f t="shared" si="212"/>
        <v>3.9999999999999862E-3</v>
      </c>
      <c r="BU91" s="3">
        <f t="shared" si="213"/>
        <v>0.14399999999999999</v>
      </c>
      <c r="BV91" s="3">
        <f t="shared" si="186"/>
        <v>8.9999999999999998E-4</v>
      </c>
      <c r="BW91" s="214">
        <f t="shared" si="187"/>
        <v>1.35E-2</v>
      </c>
      <c r="BX91" s="50">
        <f t="shared" si="214"/>
        <v>0.81811273100044102</v>
      </c>
      <c r="BY91" s="16">
        <f t="shared" si="188"/>
        <v>2.5000000000000001E-4</v>
      </c>
      <c r="BZ91" s="49">
        <f t="shared" si="189"/>
        <v>9.9999999999999992E-2</v>
      </c>
      <c r="CA91" s="3">
        <f t="shared" si="190"/>
        <v>2E-3</v>
      </c>
      <c r="CB91" s="49">
        <f t="shared" si="191"/>
        <v>3.9999999999999862E-3</v>
      </c>
      <c r="CC91" s="49">
        <f t="shared" si="192"/>
        <v>0</v>
      </c>
      <c r="CD91" s="49">
        <f t="shared" si="193"/>
        <v>1.8E-3</v>
      </c>
      <c r="CE91" s="3">
        <f t="shared" si="194"/>
        <v>0.01</v>
      </c>
      <c r="CF91" s="50">
        <f t="shared" si="215"/>
        <v>0.10451430524095731</v>
      </c>
      <c r="CG91" s="3">
        <f t="shared" si="195"/>
        <v>0.13499999999999998</v>
      </c>
      <c r="CH91" s="3">
        <f t="shared" si="196"/>
        <v>2.0874999999999999E-3</v>
      </c>
      <c r="CI91" s="3">
        <f t="shared" si="216"/>
        <v>3.9999999999999862E-3</v>
      </c>
      <c r="CJ91" s="3">
        <f t="shared" si="217"/>
        <v>0</v>
      </c>
      <c r="CK91" s="3">
        <f t="shared" si="197"/>
        <v>1.8E-3</v>
      </c>
      <c r="CL91" s="214">
        <f t="shared" si="198"/>
        <v>1.35E-2</v>
      </c>
      <c r="CM91" s="50">
        <f t="shared" si="218"/>
        <v>0.13968123587744341</v>
      </c>
      <c r="CS91" s="24"/>
    </row>
    <row r="92" spans="16:97" ht="11.25" customHeight="1">
      <c r="P92" s="116">
        <f t="shared" si="85"/>
        <v>5.4999999999999993E-2</v>
      </c>
      <c r="Q92" s="135">
        <f t="shared" si="144"/>
        <v>2.7499999999999996E-4</v>
      </c>
      <c r="R92" s="49">
        <f t="shared" si="145"/>
        <v>1.8181818181818186</v>
      </c>
      <c r="S92" s="3">
        <f t="shared" si="146"/>
        <v>8.0000000000000002E-3</v>
      </c>
      <c r="T92" s="49">
        <f t="shared" si="147"/>
        <v>1.4545454545454497E-2</v>
      </c>
      <c r="U92" s="49">
        <f t="shared" si="148"/>
        <v>0</v>
      </c>
      <c r="V92" s="49">
        <f t="shared" si="149"/>
        <v>1.4545454545454549E-3</v>
      </c>
      <c r="W92" s="3">
        <f t="shared" si="150"/>
        <v>0.01</v>
      </c>
      <c r="X92" s="50">
        <f t="shared" si="199"/>
        <v>1.832772591431034</v>
      </c>
      <c r="Y92" s="3">
        <f t="shared" si="151"/>
        <v>1.9454545454545458</v>
      </c>
      <c r="Z92" s="3">
        <f t="shared" si="152"/>
        <v>8.6999999999999994E-3</v>
      </c>
      <c r="AA92" s="3">
        <f t="shared" si="200"/>
        <v>1.4545454545454497E-2</v>
      </c>
      <c r="AB92" s="3">
        <f t="shared" si="201"/>
        <v>0</v>
      </c>
      <c r="AC92" s="3">
        <f t="shared" si="153"/>
        <v>1.4545454545454549E-3</v>
      </c>
      <c r="AD92" s="214">
        <f t="shared" si="154"/>
        <v>1.35E-2</v>
      </c>
      <c r="AE92" s="136">
        <f t="shared" si="202"/>
        <v>1.9600663396177385</v>
      </c>
      <c r="AF92" s="16">
        <f t="shared" si="155"/>
        <v>2.7499999999999996E-4</v>
      </c>
      <c r="AG92" s="49">
        <f t="shared" si="156"/>
        <v>2.9090909090909094E-2</v>
      </c>
      <c r="AH92" s="3">
        <f t="shared" si="157"/>
        <v>1.4999999999999999E-4</v>
      </c>
      <c r="AI92" s="49">
        <f t="shared" si="158"/>
        <v>1.8224990313718924E-4</v>
      </c>
      <c r="AJ92" s="49">
        <f t="shared" si="159"/>
        <v>4.139708936947685E-3</v>
      </c>
      <c r="AK92" s="49">
        <f t="shared" si="160"/>
        <v>8.1818181818181838E-4</v>
      </c>
      <c r="AL92" s="3">
        <f t="shared" si="161"/>
        <v>0.01</v>
      </c>
      <c r="AM92" s="50">
        <f t="shared" si="203"/>
        <v>3.4887127495132765E-2</v>
      </c>
      <c r="AN92" s="3">
        <f t="shared" si="162"/>
        <v>4.1818181818181824E-2</v>
      </c>
      <c r="AO92" s="3">
        <f t="shared" si="163"/>
        <v>2.1999999999999998E-4</v>
      </c>
      <c r="AP92" s="3">
        <f t="shared" si="204"/>
        <v>1.8224990313718924E-4</v>
      </c>
      <c r="AQ92" s="3">
        <f t="shared" si="205"/>
        <v>4.139708936947685E-3</v>
      </c>
      <c r="AR92" s="3">
        <f t="shared" si="164"/>
        <v>8.1818181818181838E-4</v>
      </c>
      <c r="AS92" s="214">
        <f t="shared" si="165"/>
        <v>1.35E-2</v>
      </c>
      <c r="AT92" s="50">
        <f t="shared" si="206"/>
        <v>4.808201744365808E-2</v>
      </c>
      <c r="AU92" s="16">
        <f t="shared" si="166"/>
        <v>2.7499999999999996E-4</v>
      </c>
      <c r="AV92" s="49">
        <f t="shared" si="167"/>
        <v>0.54545454545454553</v>
      </c>
      <c r="AW92" s="3">
        <f t="shared" si="168"/>
        <v>8.0000000000000002E-3</v>
      </c>
      <c r="AX92" s="49">
        <f t="shared" si="169"/>
        <v>1.4545454545454497E-2</v>
      </c>
      <c r="AY92" s="49">
        <f t="shared" si="170"/>
        <v>2.7532684122772055</v>
      </c>
      <c r="AZ92" s="49">
        <f t="shared" si="171"/>
        <v>1.4545454545454549E-3</v>
      </c>
      <c r="BA92" s="3">
        <f t="shared" si="172"/>
        <v>0.01</v>
      </c>
      <c r="BB92" s="50">
        <f t="shared" si="207"/>
        <v>3.3132934804355005</v>
      </c>
      <c r="BC92" s="3">
        <f t="shared" si="173"/>
        <v>0.67272727272727284</v>
      </c>
      <c r="BD92" s="3">
        <f t="shared" si="174"/>
        <v>8.6999999999999994E-3</v>
      </c>
      <c r="BE92" s="3">
        <f t="shared" si="208"/>
        <v>1.4545454545454497E-2</v>
      </c>
      <c r="BF92" s="3">
        <f t="shared" si="209"/>
        <v>2.7532684122772055</v>
      </c>
      <c r="BG92" s="3">
        <f t="shared" si="175"/>
        <v>1.4545454545454549E-3</v>
      </c>
      <c r="BH92" s="214">
        <f t="shared" si="176"/>
        <v>1.35E-2</v>
      </c>
      <c r="BI92" s="50">
        <f t="shared" si="210"/>
        <v>3.4405789321912135</v>
      </c>
      <c r="BJ92" s="16">
        <f t="shared" si="177"/>
        <v>2.7499999999999996E-4</v>
      </c>
      <c r="BK92" s="49">
        <f t="shared" si="178"/>
        <v>0.54545454545454553</v>
      </c>
      <c r="BL92" s="3">
        <f t="shared" si="179"/>
        <v>1E-3</v>
      </c>
      <c r="BM92" s="49">
        <f t="shared" si="180"/>
        <v>3.6363636363636242E-3</v>
      </c>
      <c r="BN92" s="49">
        <f t="shared" si="181"/>
        <v>0.13090909090909092</v>
      </c>
      <c r="BO92" s="49">
        <f t="shared" si="182"/>
        <v>8.1818181818181838E-4</v>
      </c>
      <c r="BP92" s="3">
        <f t="shared" si="183"/>
        <v>0.01</v>
      </c>
      <c r="BQ92" s="50">
        <f t="shared" si="211"/>
        <v>0.68007475281875285</v>
      </c>
      <c r="BR92" s="3">
        <f t="shared" si="184"/>
        <v>0.60909090909090913</v>
      </c>
      <c r="BS92" s="3">
        <f t="shared" si="185"/>
        <v>1.175E-3</v>
      </c>
      <c r="BT92" s="3">
        <f t="shared" si="212"/>
        <v>3.6363636363636242E-3</v>
      </c>
      <c r="BU92" s="3">
        <f t="shared" si="213"/>
        <v>0.13090909090909092</v>
      </c>
      <c r="BV92" s="3">
        <f t="shared" si="186"/>
        <v>8.1818181818181838E-4</v>
      </c>
      <c r="BW92" s="214">
        <f t="shared" si="187"/>
        <v>1.35E-2</v>
      </c>
      <c r="BX92" s="50">
        <f t="shared" si="214"/>
        <v>0.74376027143751211</v>
      </c>
      <c r="BY92" s="16">
        <f t="shared" si="188"/>
        <v>2.7499999999999996E-4</v>
      </c>
      <c r="BZ92" s="49">
        <f t="shared" si="189"/>
        <v>9.0909090909090912E-2</v>
      </c>
      <c r="CA92" s="3">
        <f t="shared" si="190"/>
        <v>2E-3</v>
      </c>
      <c r="CB92" s="49">
        <f t="shared" si="191"/>
        <v>3.6363636363636242E-3</v>
      </c>
      <c r="CC92" s="49">
        <f t="shared" si="192"/>
        <v>0</v>
      </c>
      <c r="CD92" s="49">
        <f t="shared" si="193"/>
        <v>1.6363636363636368E-3</v>
      </c>
      <c r="CE92" s="3">
        <f t="shared" si="194"/>
        <v>0.01</v>
      </c>
      <c r="CF92" s="50">
        <f t="shared" si="215"/>
        <v>9.5107942156041958E-2</v>
      </c>
      <c r="CG92" s="3">
        <f t="shared" si="195"/>
        <v>0.12272727272727274</v>
      </c>
      <c r="CH92" s="3">
        <f t="shared" si="196"/>
        <v>2.0874999999999999E-3</v>
      </c>
      <c r="CI92" s="3">
        <f t="shared" si="216"/>
        <v>3.6363636363636242E-3</v>
      </c>
      <c r="CJ92" s="3">
        <f t="shared" si="217"/>
        <v>0</v>
      </c>
      <c r="CK92" s="3">
        <f t="shared" si="197"/>
        <v>1.6363636363636368E-3</v>
      </c>
      <c r="CL92" s="214">
        <f t="shared" si="198"/>
        <v>1.35E-2</v>
      </c>
      <c r="CM92" s="50">
        <f t="shared" si="218"/>
        <v>0.1271104005864262</v>
      </c>
      <c r="CS92" s="24"/>
    </row>
    <row r="93" spans="16:97" ht="11.25" customHeight="1">
      <c r="P93" s="116">
        <f t="shared" si="85"/>
        <v>0.06</v>
      </c>
      <c r="Q93" s="135">
        <f t="shared" si="144"/>
        <v>2.9999999999999997E-4</v>
      </c>
      <c r="R93" s="49">
        <f t="shared" si="145"/>
        <v>1.6666666666666667</v>
      </c>
      <c r="S93" s="3">
        <f t="shared" si="146"/>
        <v>8.0000000000000002E-3</v>
      </c>
      <c r="T93" s="49">
        <f t="shared" si="147"/>
        <v>1.3333333333333289E-2</v>
      </c>
      <c r="U93" s="49">
        <f t="shared" si="148"/>
        <v>0</v>
      </c>
      <c r="V93" s="49">
        <f t="shared" si="149"/>
        <v>1.3333333333333335E-3</v>
      </c>
      <c r="W93" s="3">
        <f t="shared" si="150"/>
        <v>0.01</v>
      </c>
      <c r="X93" s="50">
        <f t="shared" si="199"/>
        <v>1.680049337899866</v>
      </c>
      <c r="Y93" s="3">
        <f t="shared" si="151"/>
        <v>1.7833333333333334</v>
      </c>
      <c r="Z93" s="3">
        <f t="shared" si="152"/>
        <v>8.6999999999999994E-3</v>
      </c>
      <c r="AA93" s="3">
        <f t="shared" si="200"/>
        <v>1.3333333333333289E-2</v>
      </c>
      <c r="AB93" s="3">
        <f t="shared" si="201"/>
        <v>0</v>
      </c>
      <c r="AC93" s="3">
        <f t="shared" si="153"/>
        <v>1.3333333333333335E-3</v>
      </c>
      <c r="AD93" s="214">
        <f t="shared" si="154"/>
        <v>1.35E-2</v>
      </c>
      <c r="AE93" s="136">
        <f t="shared" si="202"/>
        <v>1.7967389428876108</v>
      </c>
      <c r="AF93" s="16">
        <f t="shared" si="155"/>
        <v>2.9999999999999997E-4</v>
      </c>
      <c r="AG93" s="49">
        <f t="shared" si="156"/>
        <v>2.6666666666666668E-2</v>
      </c>
      <c r="AH93" s="3">
        <f t="shared" si="157"/>
        <v>1.4999999999999999E-4</v>
      </c>
      <c r="AI93" s="49">
        <f t="shared" si="158"/>
        <v>1.6706241120909013E-4</v>
      </c>
      <c r="AJ93" s="49">
        <f t="shared" si="159"/>
        <v>3.794733192202044E-3</v>
      </c>
      <c r="AK93" s="49">
        <f t="shared" si="160"/>
        <v>7.5000000000000012E-4</v>
      </c>
      <c r="AL93" s="3">
        <f t="shared" si="161"/>
        <v>0.01</v>
      </c>
      <c r="AM93" s="50">
        <f t="shared" si="203"/>
        <v>3.2228678238947053E-2</v>
      </c>
      <c r="AN93" s="3">
        <f t="shared" si="162"/>
        <v>3.8333333333333337E-2</v>
      </c>
      <c r="AO93" s="3">
        <f t="shared" si="163"/>
        <v>2.1999999999999998E-4</v>
      </c>
      <c r="AP93" s="3">
        <f t="shared" si="204"/>
        <v>1.6706241120909013E-4</v>
      </c>
      <c r="AQ93" s="3">
        <f t="shared" si="205"/>
        <v>3.794733192202044E-3</v>
      </c>
      <c r="AR93" s="3">
        <f t="shared" si="164"/>
        <v>7.5000000000000012E-4</v>
      </c>
      <c r="AS93" s="214">
        <f t="shared" si="165"/>
        <v>1.35E-2</v>
      </c>
      <c r="AT93" s="50">
        <f t="shared" si="206"/>
        <v>4.4404265918668667E-2</v>
      </c>
      <c r="AU93" s="16">
        <f t="shared" si="166"/>
        <v>2.9999999999999997E-4</v>
      </c>
      <c r="AV93" s="49">
        <f t="shared" si="167"/>
        <v>0.5</v>
      </c>
      <c r="AW93" s="3">
        <f t="shared" si="168"/>
        <v>8.0000000000000002E-3</v>
      </c>
      <c r="AX93" s="49">
        <f t="shared" si="169"/>
        <v>1.3333333333333289E-2</v>
      </c>
      <c r="AY93" s="49">
        <f t="shared" si="170"/>
        <v>2.5238293779207717</v>
      </c>
      <c r="AZ93" s="49">
        <f t="shared" si="171"/>
        <v>1.3333333333333335E-3</v>
      </c>
      <c r="BA93" s="3">
        <f t="shared" si="172"/>
        <v>0.01</v>
      </c>
      <c r="BB93" s="50">
        <f t="shared" si="207"/>
        <v>3.0371900026850747</v>
      </c>
      <c r="BC93" s="3">
        <f t="shared" si="173"/>
        <v>0.6166666666666667</v>
      </c>
      <c r="BD93" s="3">
        <f t="shared" si="174"/>
        <v>8.6999999999999994E-3</v>
      </c>
      <c r="BE93" s="3">
        <f t="shared" si="208"/>
        <v>1.3333333333333289E-2</v>
      </c>
      <c r="BF93" s="3">
        <f t="shared" si="209"/>
        <v>2.5238293779207717</v>
      </c>
      <c r="BG93" s="3">
        <f t="shared" si="175"/>
        <v>1.3333333333333335E-3</v>
      </c>
      <c r="BH93" s="214">
        <f t="shared" si="176"/>
        <v>1.35E-2</v>
      </c>
      <c r="BI93" s="50">
        <f t="shared" si="210"/>
        <v>3.1538705526406594</v>
      </c>
      <c r="BJ93" s="16">
        <f t="shared" si="177"/>
        <v>2.9999999999999997E-4</v>
      </c>
      <c r="BK93" s="49">
        <f t="shared" si="178"/>
        <v>0.5</v>
      </c>
      <c r="BL93" s="3">
        <f t="shared" si="179"/>
        <v>1E-3</v>
      </c>
      <c r="BM93" s="49">
        <f t="shared" si="180"/>
        <v>3.3333333333333223E-3</v>
      </c>
      <c r="BN93" s="49">
        <f t="shared" si="181"/>
        <v>0.12000000000000001</v>
      </c>
      <c r="BO93" s="49">
        <f t="shared" si="182"/>
        <v>7.5000000000000012E-4</v>
      </c>
      <c r="BP93" s="3">
        <f t="shared" si="183"/>
        <v>0.01</v>
      </c>
      <c r="BQ93" s="50">
        <f t="shared" si="211"/>
        <v>0.62341479525629195</v>
      </c>
      <c r="BR93" s="3">
        <f t="shared" si="184"/>
        <v>0.55833333333333335</v>
      </c>
      <c r="BS93" s="3">
        <f t="shared" si="185"/>
        <v>1.175E-3</v>
      </c>
      <c r="BT93" s="3">
        <f t="shared" si="212"/>
        <v>3.3333333333333223E-3</v>
      </c>
      <c r="BU93" s="3">
        <f t="shared" si="213"/>
        <v>0.12000000000000001</v>
      </c>
      <c r="BV93" s="3">
        <f t="shared" si="186"/>
        <v>7.5000000000000012E-4</v>
      </c>
      <c r="BW93" s="214">
        <f t="shared" si="187"/>
        <v>1.35E-2</v>
      </c>
      <c r="BX93" s="50">
        <f t="shared" si="214"/>
        <v>0.68180175826221245</v>
      </c>
      <c r="BY93" s="16">
        <f t="shared" si="188"/>
        <v>2.9999999999999997E-4</v>
      </c>
      <c r="BZ93" s="49">
        <f t="shared" si="189"/>
        <v>8.3333333333333329E-2</v>
      </c>
      <c r="CA93" s="3">
        <f t="shared" si="190"/>
        <v>2E-3</v>
      </c>
      <c r="CB93" s="49">
        <f t="shared" si="191"/>
        <v>3.3333333333333223E-3</v>
      </c>
      <c r="CC93" s="49">
        <f t="shared" si="192"/>
        <v>0</v>
      </c>
      <c r="CD93" s="49">
        <f t="shared" si="193"/>
        <v>1.5000000000000002E-3</v>
      </c>
      <c r="CE93" s="3">
        <f t="shared" si="194"/>
        <v>0.01</v>
      </c>
      <c r="CF93" s="50">
        <f t="shared" si="215"/>
        <v>8.7277494871880398E-2</v>
      </c>
      <c r="CG93" s="3">
        <f t="shared" si="195"/>
        <v>0.11249999999999999</v>
      </c>
      <c r="CH93" s="3">
        <f t="shared" si="196"/>
        <v>2.0874999999999999E-3</v>
      </c>
      <c r="CI93" s="3">
        <f t="shared" si="216"/>
        <v>3.3333333333333223E-3</v>
      </c>
      <c r="CJ93" s="3">
        <f t="shared" si="217"/>
        <v>0</v>
      </c>
      <c r="CK93" s="3">
        <f t="shared" si="197"/>
        <v>1.5000000000000002E-3</v>
      </c>
      <c r="CL93" s="214">
        <f t="shared" si="198"/>
        <v>1.35E-2</v>
      </c>
      <c r="CM93" s="50">
        <f t="shared" si="218"/>
        <v>0.11664569759472961</v>
      </c>
      <c r="CS93" s="24"/>
    </row>
    <row r="94" spans="16:97" ht="11.25" customHeight="1">
      <c r="P94" s="116">
        <f t="shared" ref="P94:P157" si="219">10*P76</f>
        <v>6.5000000000000002E-2</v>
      </c>
      <c r="Q94" s="135">
        <f t="shared" si="144"/>
        <v>3.2499999999999999E-4</v>
      </c>
      <c r="R94" s="49">
        <f t="shared" si="145"/>
        <v>1.5384615384615385</v>
      </c>
      <c r="S94" s="3">
        <f t="shared" si="146"/>
        <v>8.0000000000000002E-3</v>
      </c>
      <c r="T94" s="49">
        <f t="shared" si="147"/>
        <v>1.2307692307692266E-2</v>
      </c>
      <c r="U94" s="49">
        <f t="shared" si="148"/>
        <v>0</v>
      </c>
      <c r="V94" s="49">
        <f t="shared" si="149"/>
        <v>1.2307692307692308E-3</v>
      </c>
      <c r="W94" s="3">
        <f t="shared" si="150"/>
        <v>0.01</v>
      </c>
      <c r="X94" s="50">
        <f t="shared" si="199"/>
        <v>1.5508225952356678</v>
      </c>
      <c r="Y94" s="3">
        <f t="shared" si="151"/>
        <v>1.6461538461538463</v>
      </c>
      <c r="Z94" s="3">
        <f t="shared" si="152"/>
        <v>8.6999999999999994E-3</v>
      </c>
      <c r="AA94" s="3">
        <f t="shared" si="200"/>
        <v>1.2307692307692266E-2</v>
      </c>
      <c r="AB94" s="3">
        <f t="shared" si="201"/>
        <v>0</v>
      </c>
      <c r="AC94" s="3">
        <f t="shared" si="153"/>
        <v>1.2307692307692308E-3</v>
      </c>
      <c r="AD94" s="214">
        <f t="shared" si="154"/>
        <v>1.35E-2</v>
      </c>
      <c r="AE94" s="136">
        <f t="shared" si="202"/>
        <v>1.6585397581454335</v>
      </c>
      <c r="AF94" s="16">
        <f t="shared" si="155"/>
        <v>3.2499999999999999E-4</v>
      </c>
      <c r="AG94" s="49">
        <f t="shared" si="156"/>
        <v>2.4615384615384615E-2</v>
      </c>
      <c r="AH94" s="3">
        <f t="shared" si="157"/>
        <v>1.4999999999999999E-4</v>
      </c>
      <c r="AI94" s="49">
        <f t="shared" si="158"/>
        <v>1.5421145650069859E-4</v>
      </c>
      <c r="AJ94" s="49">
        <f t="shared" si="159"/>
        <v>3.5028306389557327E-3</v>
      </c>
      <c r="AK94" s="49">
        <f t="shared" si="160"/>
        <v>6.9230769230769237E-4</v>
      </c>
      <c r="AL94" s="3">
        <f t="shared" si="161"/>
        <v>0.01</v>
      </c>
      <c r="AM94" s="50">
        <f t="shared" si="203"/>
        <v>2.9997198236847166E-2</v>
      </c>
      <c r="AN94" s="3">
        <f t="shared" si="162"/>
        <v>3.5384615384615382E-2</v>
      </c>
      <c r="AO94" s="3">
        <f t="shared" si="163"/>
        <v>2.1999999999999998E-4</v>
      </c>
      <c r="AP94" s="3">
        <f t="shared" si="204"/>
        <v>1.5421145650069859E-4</v>
      </c>
      <c r="AQ94" s="3">
        <f t="shared" si="205"/>
        <v>3.5028306389557327E-3</v>
      </c>
      <c r="AR94" s="3">
        <f t="shared" si="164"/>
        <v>6.9230769230769237E-4</v>
      </c>
      <c r="AS94" s="214">
        <f t="shared" si="165"/>
        <v>1.35E-2</v>
      </c>
      <c r="AT94" s="50">
        <f t="shared" si="206"/>
        <v>4.1316203948718183E-2</v>
      </c>
      <c r="AU94" s="16">
        <f t="shared" si="166"/>
        <v>3.2499999999999999E-4</v>
      </c>
      <c r="AV94" s="49">
        <f t="shared" si="167"/>
        <v>0.46153846153846151</v>
      </c>
      <c r="AW94" s="3">
        <f t="shared" si="168"/>
        <v>8.0000000000000002E-3</v>
      </c>
      <c r="AX94" s="49">
        <f t="shared" si="169"/>
        <v>1.2307692307692266E-2</v>
      </c>
      <c r="AY94" s="49">
        <f t="shared" si="170"/>
        <v>2.3296886565422508</v>
      </c>
      <c r="AZ94" s="49">
        <f t="shared" si="171"/>
        <v>1.2307692307692308E-3</v>
      </c>
      <c r="BA94" s="3">
        <f t="shared" si="172"/>
        <v>0.01</v>
      </c>
      <c r="BB94" s="50">
        <f t="shared" si="207"/>
        <v>2.8035643291803463</v>
      </c>
      <c r="BC94" s="3">
        <f t="shared" si="173"/>
        <v>0.56923076923076921</v>
      </c>
      <c r="BD94" s="3">
        <f t="shared" si="174"/>
        <v>8.6999999999999994E-3</v>
      </c>
      <c r="BE94" s="3">
        <f t="shared" si="208"/>
        <v>1.2307692307692266E-2</v>
      </c>
      <c r="BF94" s="3">
        <f t="shared" si="209"/>
        <v>2.3296886565422508</v>
      </c>
      <c r="BG94" s="3">
        <f t="shared" si="175"/>
        <v>1.2307692307692308E-3</v>
      </c>
      <c r="BH94" s="214">
        <f t="shared" si="176"/>
        <v>1.35E-2</v>
      </c>
      <c r="BI94" s="50">
        <f t="shared" si="210"/>
        <v>2.9112716788100395</v>
      </c>
      <c r="BJ94" s="16">
        <f t="shared" si="177"/>
        <v>3.2499999999999999E-4</v>
      </c>
      <c r="BK94" s="49">
        <f t="shared" si="178"/>
        <v>0.46153846153846151</v>
      </c>
      <c r="BL94" s="3">
        <f t="shared" si="179"/>
        <v>1E-3</v>
      </c>
      <c r="BM94" s="49">
        <f t="shared" si="180"/>
        <v>3.0769230769230665E-3</v>
      </c>
      <c r="BN94" s="49">
        <f t="shared" si="181"/>
        <v>0.11076923076923077</v>
      </c>
      <c r="BO94" s="49">
        <f t="shared" si="182"/>
        <v>6.9230769230769237E-4</v>
      </c>
      <c r="BP94" s="3">
        <f t="shared" si="183"/>
        <v>0.01</v>
      </c>
      <c r="BQ94" s="50">
        <f t="shared" si="211"/>
        <v>0.57547279250303629</v>
      </c>
      <c r="BR94" s="3">
        <f t="shared" si="184"/>
        <v>0.51538461538461533</v>
      </c>
      <c r="BS94" s="3">
        <f t="shared" si="185"/>
        <v>1.175E-3</v>
      </c>
      <c r="BT94" s="3">
        <f t="shared" si="212"/>
        <v>3.0769230769230665E-3</v>
      </c>
      <c r="BU94" s="3">
        <f t="shared" si="213"/>
        <v>0.11076923076923077</v>
      </c>
      <c r="BV94" s="3">
        <f t="shared" si="186"/>
        <v>6.9230769230769237E-4</v>
      </c>
      <c r="BW94" s="214">
        <f t="shared" si="187"/>
        <v>1.35E-2</v>
      </c>
      <c r="BX94" s="50">
        <f t="shared" si="214"/>
        <v>0.62937704983712772</v>
      </c>
      <c r="BY94" s="16">
        <f t="shared" si="188"/>
        <v>3.2499999999999999E-4</v>
      </c>
      <c r="BZ94" s="49">
        <f t="shared" si="189"/>
        <v>7.6923076923076913E-2</v>
      </c>
      <c r="CA94" s="3">
        <f t="shared" si="190"/>
        <v>2E-3</v>
      </c>
      <c r="CB94" s="49">
        <f t="shared" si="191"/>
        <v>3.0769230769230665E-3</v>
      </c>
      <c r="CC94" s="49">
        <f t="shared" si="192"/>
        <v>0</v>
      </c>
      <c r="CD94" s="49">
        <f t="shared" si="193"/>
        <v>1.3846153846153847E-3</v>
      </c>
      <c r="CE94" s="3">
        <f t="shared" si="194"/>
        <v>0.01</v>
      </c>
      <c r="CF94" s="50">
        <f t="shared" si="215"/>
        <v>8.0659265802282817E-2</v>
      </c>
      <c r="CG94" s="3">
        <f t="shared" si="195"/>
        <v>0.10384615384615384</v>
      </c>
      <c r="CH94" s="3">
        <f t="shared" si="196"/>
        <v>2.0874999999999999E-3</v>
      </c>
      <c r="CI94" s="3">
        <f t="shared" si="216"/>
        <v>3.0769230769230665E-3</v>
      </c>
      <c r="CJ94" s="3">
        <f t="shared" si="217"/>
        <v>0</v>
      </c>
      <c r="CK94" s="3">
        <f t="shared" si="197"/>
        <v>1.3846153846153847E-3</v>
      </c>
      <c r="CL94" s="214">
        <f t="shared" si="198"/>
        <v>1.35E-2</v>
      </c>
      <c r="CM94" s="50">
        <f t="shared" si="218"/>
        <v>0.10780106305000677</v>
      </c>
      <c r="CS94" s="24"/>
    </row>
    <row r="95" spans="16:97" ht="11.25" customHeight="1">
      <c r="P95" s="116">
        <f t="shared" si="219"/>
        <v>6.9999999999999993E-2</v>
      </c>
      <c r="Q95" s="135">
        <f t="shared" si="144"/>
        <v>3.5E-4</v>
      </c>
      <c r="R95" s="49">
        <f t="shared" si="145"/>
        <v>1.4285714285714286</v>
      </c>
      <c r="S95" s="3">
        <f t="shared" si="146"/>
        <v>8.0000000000000002E-3</v>
      </c>
      <c r="T95" s="49">
        <f t="shared" si="147"/>
        <v>1.1428571428571389E-2</v>
      </c>
      <c r="U95" s="49">
        <f t="shared" si="148"/>
        <v>0</v>
      </c>
      <c r="V95" s="49">
        <f t="shared" si="149"/>
        <v>1.1428571428571432E-3</v>
      </c>
      <c r="W95" s="3">
        <f t="shared" si="150"/>
        <v>0.01</v>
      </c>
      <c r="X95" s="50">
        <f t="shared" si="199"/>
        <v>1.4400573968152968</v>
      </c>
      <c r="Y95" s="3">
        <f t="shared" si="151"/>
        <v>1.5285714285714287</v>
      </c>
      <c r="Z95" s="3">
        <f t="shared" si="152"/>
        <v>8.6999999999999994E-3</v>
      </c>
      <c r="AA95" s="3">
        <f t="shared" si="200"/>
        <v>1.1428571428571389E-2</v>
      </c>
      <c r="AB95" s="3">
        <f t="shared" si="201"/>
        <v>0</v>
      </c>
      <c r="AC95" s="3">
        <f t="shared" si="153"/>
        <v>1.1428571428571432E-3</v>
      </c>
      <c r="AD95" s="214">
        <f t="shared" si="154"/>
        <v>1.35E-2</v>
      </c>
      <c r="AE95" s="136">
        <f t="shared" si="202"/>
        <v>1.5400841685188666</v>
      </c>
      <c r="AF95" s="16">
        <f t="shared" si="155"/>
        <v>3.5E-4</v>
      </c>
      <c r="AG95" s="49">
        <f t="shared" si="156"/>
        <v>2.2857142857142857E-2</v>
      </c>
      <c r="AH95" s="3">
        <f t="shared" si="157"/>
        <v>1.4999999999999999E-4</v>
      </c>
      <c r="AI95" s="49">
        <f t="shared" si="158"/>
        <v>1.4319635246493438E-4</v>
      </c>
      <c r="AJ95" s="49">
        <f t="shared" si="159"/>
        <v>3.2526284504588946E-3</v>
      </c>
      <c r="AK95" s="49">
        <f t="shared" si="160"/>
        <v>6.4285714285714293E-4</v>
      </c>
      <c r="AL95" s="3">
        <f t="shared" si="161"/>
        <v>0.01</v>
      </c>
      <c r="AM95" s="50">
        <f t="shared" si="203"/>
        <v>2.8100784264262619E-2</v>
      </c>
      <c r="AN95" s="3">
        <f t="shared" si="162"/>
        <v>3.2857142857142856E-2</v>
      </c>
      <c r="AO95" s="3">
        <f t="shared" si="163"/>
        <v>2.1999999999999998E-4</v>
      </c>
      <c r="AP95" s="3">
        <f t="shared" si="204"/>
        <v>1.4319635246493438E-4</v>
      </c>
      <c r="AQ95" s="3">
        <f t="shared" si="205"/>
        <v>3.2526284504588946E-3</v>
      </c>
      <c r="AR95" s="3">
        <f t="shared" si="164"/>
        <v>6.4285714285714293E-4</v>
      </c>
      <c r="AS95" s="214">
        <f t="shared" si="165"/>
        <v>1.35E-2</v>
      </c>
      <c r="AT95" s="50">
        <f t="shared" si="206"/>
        <v>3.8690946350121283E-2</v>
      </c>
      <c r="AU95" s="16">
        <f t="shared" si="166"/>
        <v>3.5E-4</v>
      </c>
      <c r="AV95" s="49">
        <f t="shared" si="167"/>
        <v>0.42857142857142855</v>
      </c>
      <c r="AW95" s="3">
        <f t="shared" si="168"/>
        <v>8.0000000000000002E-3</v>
      </c>
      <c r="AX95" s="49">
        <f t="shared" si="169"/>
        <v>1.1428571428571389E-2</v>
      </c>
      <c r="AY95" s="49">
        <f t="shared" si="170"/>
        <v>2.1632823239320897</v>
      </c>
      <c r="AZ95" s="49">
        <f t="shared" si="171"/>
        <v>1.1428571428571432E-3</v>
      </c>
      <c r="BA95" s="3">
        <f t="shared" si="172"/>
        <v>0.01</v>
      </c>
      <c r="BB95" s="50">
        <f t="shared" si="207"/>
        <v>2.60331407329575</v>
      </c>
      <c r="BC95" s="3">
        <f t="shared" si="173"/>
        <v>0.52857142857142858</v>
      </c>
      <c r="BD95" s="3">
        <f t="shared" si="174"/>
        <v>8.6999999999999994E-3</v>
      </c>
      <c r="BE95" s="3">
        <f t="shared" si="208"/>
        <v>1.1428571428571389E-2</v>
      </c>
      <c r="BF95" s="3">
        <f t="shared" si="209"/>
        <v>2.1632823239320897</v>
      </c>
      <c r="BG95" s="3">
        <f t="shared" si="175"/>
        <v>1.1428571428571432E-3</v>
      </c>
      <c r="BH95" s="214">
        <f t="shared" si="176"/>
        <v>1.35E-2</v>
      </c>
      <c r="BI95" s="50">
        <f t="shared" si="210"/>
        <v>2.7033302737560811</v>
      </c>
      <c r="BJ95" s="16">
        <f t="shared" si="177"/>
        <v>3.5E-4</v>
      </c>
      <c r="BK95" s="49">
        <f t="shared" si="178"/>
        <v>0.42857142857142855</v>
      </c>
      <c r="BL95" s="3">
        <f t="shared" si="179"/>
        <v>1E-3</v>
      </c>
      <c r="BM95" s="49">
        <f t="shared" si="180"/>
        <v>2.8571428571428472E-3</v>
      </c>
      <c r="BN95" s="49">
        <f t="shared" si="181"/>
        <v>0.10285714285714286</v>
      </c>
      <c r="BO95" s="49">
        <f t="shared" si="182"/>
        <v>6.4285714285714293E-4</v>
      </c>
      <c r="BP95" s="3">
        <f t="shared" si="183"/>
        <v>0.01</v>
      </c>
      <c r="BQ95" s="50">
        <f t="shared" si="211"/>
        <v>0.53438061132034154</v>
      </c>
      <c r="BR95" s="3">
        <f t="shared" si="184"/>
        <v>0.47857142857142854</v>
      </c>
      <c r="BS95" s="3">
        <f t="shared" si="185"/>
        <v>1.175E-3</v>
      </c>
      <c r="BT95" s="3">
        <f t="shared" si="212"/>
        <v>2.8571428571428472E-3</v>
      </c>
      <c r="BU95" s="3">
        <f t="shared" si="213"/>
        <v>0.10285714285714286</v>
      </c>
      <c r="BV95" s="3">
        <f t="shared" si="186"/>
        <v>6.4285714285714293E-4</v>
      </c>
      <c r="BW95" s="214">
        <f t="shared" si="187"/>
        <v>1.35E-2</v>
      </c>
      <c r="BX95" s="50">
        <f t="shared" si="214"/>
        <v>0.5844431878366565</v>
      </c>
      <c r="BY95" s="16">
        <f t="shared" si="188"/>
        <v>3.5E-4</v>
      </c>
      <c r="BZ95" s="49">
        <f t="shared" si="189"/>
        <v>7.1428571428571425E-2</v>
      </c>
      <c r="CA95" s="3">
        <f t="shared" si="190"/>
        <v>2E-3</v>
      </c>
      <c r="CB95" s="49">
        <f t="shared" si="191"/>
        <v>2.8571428571428472E-3</v>
      </c>
      <c r="CC95" s="49">
        <f t="shared" si="192"/>
        <v>0</v>
      </c>
      <c r="CD95" s="49">
        <f t="shared" si="193"/>
        <v>1.2857142857142859E-3</v>
      </c>
      <c r="CE95" s="3">
        <f t="shared" si="194"/>
        <v>0.01</v>
      </c>
      <c r="CF95" s="50">
        <f t="shared" si="215"/>
        <v>7.4993469103404348E-2</v>
      </c>
      <c r="CG95" s="3">
        <f t="shared" si="195"/>
        <v>9.6428571428571419E-2</v>
      </c>
      <c r="CH95" s="3">
        <f t="shared" si="196"/>
        <v>2.0874999999999999E-3</v>
      </c>
      <c r="CI95" s="3">
        <f t="shared" si="216"/>
        <v>2.8571428571428472E-3</v>
      </c>
      <c r="CJ95" s="3">
        <f t="shared" si="217"/>
        <v>0</v>
      </c>
      <c r="CK95" s="3">
        <f t="shared" si="197"/>
        <v>1.2857142857142859E-3</v>
      </c>
      <c r="CL95" s="214">
        <f t="shared" si="198"/>
        <v>1.35E-2</v>
      </c>
      <c r="CM95" s="50">
        <f t="shared" si="218"/>
        <v>0.10022930598731579</v>
      </c>
      <c r="CS95" s="24"/>
    </row>
    <row r="96" spans="16:97" ht="11.25" customHeight="1">
      <c r="P96" s="116">
        <f t="shared" si="219"/>
        <v>7.4999999999999997E-2</v>
      </c>
      <c r="Q96" s="135">
        <f t="shared" si="144"/>
        <v>3.7500000000000001E-4</v>
      </c>
      <c r="R96" s="49">
        <f t="shared" si="145"/>
        <v>1.3333333333333333</v>
      </c>
      <c r="S96" s="3">
        <f t="shared" si="146"/>
        <v>8.0000000000000002E-3</v>
      </c>
      <c r="T96" s="49">
        <f t="shared" si="147"/>
        <v>1.066666666666663E-2</v>
      </c>
      <c r="U96" s="49">
        <f t="shared" si="148"/>
        <v>0</v>
      </c>
      <c r="V96" s="49">
        <f t="shared" si="149"/>
        <v>1.0666666666666667E-3</v>
      </c>
      <c r="W96" s="3">
        <f t="shared" si="150"/>
        <v>0.01</v>
      </c>
      <c r="X96" s="50">
        <f t="shared" si="199"/>
        <v>1.3440614337811265</v>
      </c>
      <c r="Y96" s="3">
        <f t="shared" si="151"/>
        <v>1.4266666666666665</v>
      </c>
      <c r="Z96" s="3">
        <f t="shared" si="152"/>
        <v>8.6999999999999994E-3</v>
      </c>
      <c r="AA96" s="3">
        <f t="shared" si="200"/>
        <v>1.066666666666663E-2</v>
      </c>
      <c r="AB96" s="3">
        <f t="shared" si="201"/>
        <v>0</v>
      </c>
      <c r="AC96" s="3">
        <f t="shared" si="153"/>
        <v>1.0666666666666667E-3</v>
      </c>
      <c r="AD96" s="214">
        <f t="shared" si="154"/>
        <v>1.35E-2</v>
      </c>
      <c r="AE96" s="136">
        <f t="shared" si="202"/>
        <v>1.4374234549668683</v>
      </c>
      <c r="AF96" s="16">
        <f t="shared" si="155"/>
        <v>3.7500000000000001E-4</v>
      </c>
      <c r="AG96" s="49">
        <f t="shared" si="156"/>
        <v>2.1333333333333333E-2</v>
      </c>
      <c r="AH96" s="3">
        <f t="shared" si="157"/>
        <v>1.4999999999999999E-4</v>
      </c>
      <c r="AI96" s="49">
        <f t="shared" si="158"/>
        <v>1.3364992896727209E-4</v>
      </c>
      <c r="AJ96" s="49">
        <f t="shared" si="159"/>
        <v>3.035786553761635E-3</v>
      </c>
      <c r="AK96" s="49">
        <f t="shared" si="160"/>
        <v>6.0000000000000006E-4</v>
      </c>
      <c r="AL96" s="3">
        <f t="shared" si="161"/>
        <v>0.01</v>
      </c>
      <c r="AM96" s="50">
        <f t="shared" si="203"/>
        <v>2.6472027286532682E-2</v>
      </c>
      <c r="AN96" s="3">
        <f t="shared" si="162"/>
        <v>3.0666666666666665E-2</v>
      </c>
      <c r="AO96" s="3">
        <f t="shared" si="163"/>
        <v>2.1999999999999998E-4</v>
      </c>
      <c r="AP96" s="3">
        <f t="shared" si="204"/>
        <v>1.3364992896727209E-4</v>
      </c>
      <c r="AQ96" s="3">
        <f t="shared" si="205"/>
        <v>3.035786553761635E-3</v>
      </c>
      <c r="AR96" s="3">
        <f t="shared" si="164"/>
        <v>6.0000000000000006E-4</v>
      </c>
      <c r="AS96" s="214">
        <f t="shared" si="165"/>
        <v>1.35E-2</v>
      </c>
      <c r="AT96" s="50">
        <f t="shared" si="206"/>
        <v>3.6435426117125858E-2</v>
      </c>
      <c r="AU96" s="16">
        <f t="shared" si="166"/>
        <v>3.7500000000000001E-4</v>
      </c>
      <c r="AV96" s="49">
        <f t="shared" si="167"/>
        <v>0.39999999999999997</v>
      </c>
      <c r="AW96" s="3">
        <f t="shared" si="168"/>
        <v>8.0000000000000002E-3</v>
      </c>
      <c r="AX96" s="49">
        <f t="shared" si="169"/>
        <v>1.066666666666663E-2</v>
      </c>
      <c r="AY96" s="49">
        <f t="shared" si="170"/>
        <v>2.0190635023366172</v>
      </c>
      <c r="AZ96" s="49">
        <f t="shared" si="171"/>
        <v>1.0666666666666667E-3</v>
      </c>
      <c r="BA96" s="3">
        <f t="shared" si="172"/>
        <v>0.01</v>
      </c>
      <c r="BB96" s="50">
        <f t="shared" si="207"/>
        <v>2.4297641515057595</v>
      </c>
      <c r="BC96" s="3">
        <f t="shared" si="173"/>
        <v>0.49333333333333329</v>
      </c>
      <c r="BD96" s="3">
        <f t="shared" si="174"/>
        <v>8.6999999999999994E-3</v>
      </c>
      <c r="BE96" s="3">
        <f t="shared" si="208"/>
        <v>1.066666666666663E-2</v>
      </c>
      <c r="BF96" s="3">
        <f t="shared" si="209"/>
        <v>2.0190635023366172</v>
      </c>
      <c r="BG96" s="3">
        <f t="shared" si="175"/>
        <v>1.0666666666666667E-3</v>
      </c>
      <c r="BH96" s="214">
        <f t="shared" si="176"/>
        <v>1.35E-2</v>
      </c>
      <c r="BI96" s="50">
        <f t="shared" si="210"/>
        <v>2.5231148437201378</v>
      </c>
      <c r="BJ96" s="16">
        <f t="shared" si="177"/>
        <v>3.7500000000000001E-4</v>
      </c>
      <c r="BK96" s="49">
        <f t="shared" si="178"/>
        <v>0.39999999999999997</v>
      </c>
      <c r="BL96" s="3">
        <f t="shared" si="179"/>
        <v>1E-3</v>
      </c>
      <c r="BM96" s="49">
        <f t="shared" si="180"/>
        <v>2.6666666666666575E-3</v>
      </c>
      <c r="BN96" s="49">
        <f t="shared" si="181"/>
        <v>9.6000000000000002E-2</v>
      </c>
      <c r="BO96" s="49">
        <f t="shared" si="182"/>
        <v>6.0000000000000006E-4</v>
      </c>
      <c r="BP96" s="3">
        <f t="shared" si="183"/>
        <v>0.01</v>
      </c>
      <c r="BQ96" s="50">
        <f t="shared" si="211"/>
        <v>0.49876828732833883</v>
      </c>
      <c r="BR96" s="3">
        <f t="shared" si="184"/>
        <v>0.44666666666666666</v>
      </c>
      <c r="BS96" s="3">
        <f t="shared" si="185"/>
        <v>1.175E-3</v>
      </c>
      <c r="BT96" s="3">
        <f t="shared" si="212"/>
        <v>2.6666666666666575E-3</v>
      </c>
      <c r="BU96" s="3">
        <f t="shared" si="213"/>
        <v>9.6000000000000002E-2</v>
      </c>
      <c r="BV96" s="3">
        <f t="shared" si="186"/>
        <v>6.0000000000000006E-4</v>
      </c>
      <c r="BW96" s="214">
        <f t="shared" si="187"/>
        <v>1.35E-2</v>
      </c>
      <c r="BX96" s="50">
        <f t="shared" si="214"/>
        <v>0.54550200280974626</v>
      </c>
      <c r="BY96" s="16">
        <f t="shared" si="188"/>
        <v>3.7500000000000001E-4</v>
      </c>
      <c r="BZ96" s="49">
        <f t="shared" si="189"/>
        <v>6.6666666666666666E-2</v>
      </c>
      <c r="CA96" s="3">
        <f t="shared" si="190"/>
        <v>2E-3</v>
      </c>
      <c r="CB96" s="49">
        <f t="shared" si="191"/>
        <v>2.6666666666666575E-3</v>
      </c>
      <c r="CC96" s="49">
        <f t="shared" si="192"/>
        <v>0</v>
      </c>
      <c r="CD96" s="49">
        <f t="shared" si="193"/>
        <v>1.2000000000000001E-3</v>
      </c>
      <c r="CE96" s="3">
        <f t="shared" si="194"/>
        <v>0.01</v>
      </c>
      <c r="CF96" s="50">
        <f t="shared" si="215"/>
        <v>7.0089593458024221E-2</v>
      </c>
      <c r="CG96" s="3">
        <f t="shared" si="195"/>
        <v>0.09</v>
      </c>
      <c r="CH96" s="3">
        <f t="shared" si="196"/>
        <v>2.0874999999999999E-3</v>
      </c>
      <c r="CI96" s="3">
        <f t="shared" si="216"/>
        <v>2.6666666666666575E-3</v>
      </c>
      <c r="CJ96" s="3">
        <f t="shared" si="217"/>
        <v>0</v>
      </c>
      <c r="CK96" s="3">
        <f t="shared" si="197"/>
        <v>1.2000000000000001E-3</v>
      </c>
      <c r="CL96" s="214">
        <f t="shared" si="198"/>
        <v>1.35E-2</v>
      </c>
      <c r="CM96" s="50">
        <f t="shared" si="218"/>
        <v>9.3675817409623427E-2</v>
      </c>
      <c r="CS96" s="24"/>
    </row>
    <row r="97" spans="16:97" ht="11.25" customHeight="1">
      <c r="P97" s="116">
        <f t="shared" si="219"/>
        <v>0.08</v>
      </c>
      <c r="Q97" s="135">
        <f t="shared" si="144"/>
        <v>4.0000000000000002E-4</v>
      </c>
      <c r="R97" s="49">
        <f t="shared" si="145"/>
        <v>1.25</v>
      </c>
      <c r="S97" s="3">
        <f t="shared" si="146"/>
        <v>8.0000000000000002E-3</v>
      </c>
      <c r="T97" s="49">
        <f t="shared" si="147"/>
        <v>9.9999999999999655E-3</v>
      </c>
      <c r="U97" s="49">
        <f t="shared" si="148"/>
        <v>0</v>
      </c>
      <c r="V97" s="49">
        <f t="shared" si="149"/>
        <v>1E-3</v>
      </c>
      <c r="W97" s="3">
        <f t="shared" si="150"/>
        <v>0.01</v>
      </c>
      <c r="X97" s="50">
        <f t="shared" si="199"/>
        <v>1.260065474489322</v>
      </c>
      <c r="Y97" s="3">
        <f t="shared" si="151"/>
        <v>1.3374999999999999</v>
      </c>
      <c r="Z97" s="3">
        <f t="shared" si="152"/>
        <v>8.6999999999999994E-3</v>
      </c>
      <c r="AA97" s="3">
        <f t="shared" si="200"/>
        <v>9.9999999999999655E-3</v>
      </c>
      <c r="AB97" s="3">
        <f t="shared" si="201"/>
        <v>0</v>
      </c>
      <c r="AC97" s="3">
        <f t="shared" si="153"/>
        <v>1E-3</v>
      </c>
      <c r="AD97" s="214">
        <f t="shared" si="154"/>
        <v>1.35E-2</v>
      </c>
      <c r="AE97" s="136">
        <f t="shared" si="202"/>
        <v>1.3475960782074128</v>
      </c>
      <c r="AF97" s="16">
        <f t="shared" si="155"/>
        <v>4.0000000000000002E-4</v>
      </c>
      <c r="AG97" s="49">
        <f t="shared" si="156"/>
        <v>1.9999999999999997E-2</v>
      </c>
      <c r="AH97" s="3">
        <f t="shared" si="157"/>
        <v>1.4999999999999999E-4</v>
      </c>
      <c r="AI97" s="49">
        <f t="shared" si="158"/>
        <v>1.2529680840681759E-4</v>
      </c>
      <c r="AJ97" s="49">
        <f t="shared" si="159"/>
        <v>2.8460498941515326E-3</v>
      </c>
      <c r="AK97" s="49">
        <f t="shared" si="160"/>
        <v>5.6250000000000007E-4</v>
      </c>
      <c r="AL97" s="3">
        <f t="shared" si="161"/>
        <v>0.01</v>
      </c>
      <c r="AM97" s="50">
        <f t="shared" si="203"/>
        <v>2.5060360643437241E-2</v>
      </c>
      <c r="AN97" s="3">
        <f t="shared" si="162"/>
        <v>2.8749999999999998E-2</v>
      </c>
      <c r="AO97" s="3">
        <f t="shared" si="163"/>
        <v>2.1999999999999998E-4</v>
      </c>
      <c r="AP97" s="3">
        <f t="shared" si="204"/>
        <v>1.2529680840681759E-4</v>
      </c>
      <c r="AQ97" s="3">
        <f t="shared" si="205"/>
        <v>2.8460498941515326E-3</v>
      </c>
      <c r="AR97" s="3">
        <f t="shared" si="164"/>
        <v>5.6250000000000007E-4</v>
      </c>
      <c r="AS97" s="214">
        <f t="shared" si="165"/>
        <v>1.35E-2</v>
      </c>
      <c r="AT97" s="50">
        <f t="shared" si="206"/>
        <v>3.4479829507610811E-2</v>
      </c>
      <c r="AU97" s="16">
        <f t="shared" si="166"/>
        <v>4.0000000000000002E-4</v>
      </c>
      <c r="AV97" s="49">
        <f t="shared" si="167"/>
        <v>0.37499999999999994</v>
      </c>
      <c r="AW97" s="3">
        <f t="shared" si="168"/>
        <v>8.0000000000000002E-3</v>
      </c>
      <c r="AX97" s="49">
        <f t="shared" si="169"/>
        <v>9.9999999999999655E-3</v>
      </c>
      <c r="AY97" s="49">
        <f t="shared" si="170"/>
        <v>1.8928720334405784</v>
      </c>
      <c r="AZ97" s="49">
        <f t="shared" si="171"/>
        <v>1E-3</v>
      </c>
      <c r="BA97" s="3">
        <f t="shared" si="172"/>
        <v>0.01</v>
      </c>
      <c r="BB97" s="50">
        <f t="shared" si="207"/>
        <v>2.2779082511661253</v>
      </c>
      <c r="BC97" s="3">
        <f t="shared" si="173"/>
        <v>0.46249999999999991</v>
      </c>
      <c r="BD97" s="3">
        <f t="shared" si="174"/>
        <v>8.6999999999999994E-3</v>
      </c>
      <c r="BE97" s="3">
        <f t="shared" si="208"/>
        <v>9.9999999999999655E-3</v>
      </c>
      <c r="BF97" s="3">
        <f t="shared" si="209"/>
        <v>1.8928720334405784</v>
      </c>
      <c r="BG97" s="3">
        <f t="shared" si="175"/>
        <v>1E-3</v>
      </c>
      <c r="BH97" s="214">
        <f t="shared" si="176"/>
        <v>1.35E-2</v>
      </c>
      <c r="BI97" s="50">
        <f t="shared" si="210"/>
        <v>2.3654267683829944</v>
      </c>
      <c r="BJ97" s="16">
        <f t="shared" si="177"/>
        <v>4.0000000000000002E-4</v>
      </c>
      <c r="BK97" s="49">
        <f t="shared" si="178"/>
        <v>0.37499999999999994</v>
      </c>
      <c r="BL97" s="3">
        <f t="shared" si="179"/>
        <v>1E-3</v>
      </c>
      <c r="BM97" s="49">
        <f t="shared" si="180"/>
        <v>2.4999999999999914E-3</v>
      </c>
      <c r="BN97" s="49">
        <f t="shared" si="181"/>
        <v>0.09</v>
      </c>
      <c r="BO97" s="49">
        <f t="shared" si="182"/>
        <v>5.6250000000000007E-4</v>
      </c>
      <c r="BP97" s="3">
        <f t="shared" si="183"/>
        <v>0.01</v>
      </c>
      <c r="BQ97" s="50">
        <f t="shared" si="211"/>
        <v>0.46760834723756795</v>
      </c>
      <c r="BR97" s="3">
        <f t="shared" si="184"/>
        <v>0.41874999999999996</v>
      </c>
      <c r="BS97" s="3">
        <f t="shared" si="185"/>
        <v>1.175E-3</v>
      </c>
      <c r="BT97" s="3">
        <f t="shared" si="212"/>
        <v>2.4999999999999914E-3</v>
      </c>
      <c r="BU97" s="3">
        <f t="shared" si="213"/>
        <v>0.09</v>
      </c>
      <c r="BV97" s="3">
        <f t="shared" si="186"/>
        <v>5.6250000000000007E-4</v>
      </c>
      <c r="BW97" s="214">
        <f t="shared" si="187"/>
        <v>1.35E-2</v>
      </c>
      <c r="BX97" s="50">
        <f t="shared" si="214"/>
        <v>0.51142986765660248</v>
      </c>
      <c r="BY97" s="16">
        <f t="shared" si="188"/>
        <v>4.0000000000000002E-4</v>
      </c>
      <c r="BZ97" s="49">
        <f t="shared" si="189"/>
        <v>6.2499999999999993E-2</v>
      </c>
      <c r="CA97" s="3">
        <f t="shared" si="190"/>
        <v>2E-3</v>
      </c>
      <c r="CB97" s="49">
        <f t="shared" si="191"/>
        <v>2.4999999999999914E-3</v>
      </c>
      <c r="CC97" s="49">
        <f t="shared" si="192"/>
        <v>0</v>
      </c>
      <c r="CD97" s="49">
        <f t="shared" si="193"/>
        <v>1.1250000000000001E-3</v>
      </c>
      <c r="CE97" s="3">
        <f t="shared" si="194"/>
        <v>0.01</v>
      </c>
      <c r="CF97" s="50">
        <f t="shared" si="215"/>
        <v>6.5804753817638423E-2</v>
      </c>
      <c r="CG97" s="3">
        <f t="shared" si="195"/>
        <v>8.4374999999999992E-2</v>
      </c>
      <c r="CH97" s="3">
        <f t="shared" si="196"/>
        <v>2.0874999999999999E-3</v>
      </c>
      <c r="CI97" s="3">
        <f t="shared" si="216"/>
        <v>2.4999999999999914E-3</v>
      </c>
      <c r="CJ97" s="3">
        <f t="shared" si="217"/>
        <v>0</v>
      </c>
      <c r="CK97" s="3">
        <f t="shared" si="197"/>
        <v>1.1250000000000001E-3</v>
      </c>
      <c r="CL97" s="214">
        <f t="shared" si="198"/>
        <v>1.35E-2</v>
      </c>
      <c r="CM97" s="50">
        <f t="shared" si="218"/>
        <v>8.7949638465715116E-2</v>
      </c>
      <c r="CS97" s="24"/>
    </row>
    <row r="98" spans="16:97" ht="11.25" customHeight="1">
      <c r="P98" s="116">
        <f t="shared" si="219"/>
        <v>8.5000000000000006E-2</v>
      </c>
      <c r="Q98" s="135">
        <f t="shared" si="144"/>
        <v>4.2500000000000003E-4</v>
      </c>
      <c r="R98" s="49">
        <f t="shared" si="145"/>
        <v>1.1764705882352942</v>
      </c>
      <c r="S98" s="3">
        <f t="shared" si="146"/>
        <v>8.0000000000000002E-3</v>
      </c>
      <c r="T98" s="49">
        <f t="shared" si="147"/>
        <v>9.4117647058823192E-3</v>
      </c>
      <c r="U98" s="49">
        <f t="shared" si="148"/>
        <v>0</v>
      </c>
      <c r="V98" s="49">
        <f t="shared" si="149"/>
        <v>9.4117647058823532E-4</v>
      </c>
      <c r="W98" s="3">
        <f t="shared" si="150"/>
        <v>0.01</v>
      </c>
      <c r="X98" s="50">
        <f t="shared" si="199"/>
        <v>1.185951871211665</v>
      </c>
      <c r="Y98" s="3">
        <f t="shared" si="151"/>
        <v>1.2588235294117647</v>
      </c>
      <c r="Z98" s="3">
        <f t="shared" si="152"/>
        <v>8.6999999999999994E-3</v>
      </c>
      <c r="AA98" s="3">
        <f t="shared" si="200"/>
        <v>9.4117647058823192E-3</v>
      </c>
      <c r="AB98" s="3">
        <f t="shared" si="201"/>
        <v>0</v>
      </c>
      <c r="AC98" s="3">
        <f t="shared" si="153"/>
        <v>9.4117647058823532E-4</v>
      </c>
      <c r="AD98" s="214">
        <f t="shared" si="154"/>
        <v>1.35E-2</v>
      </c>
      <c r="AE98" s="136">
        <f t="shared" si="202"/>
        <v>1.2683373317295457</v>
      </c>
      <c r="AF98" s="16">
        <f t="shared" si="155"/>
        <v>4.2500000000000003E-4</v>
      </c>
      <c r="AG98" s="49">
        <f t="shared" si="156"/>
        <v>1.8823529411764704E-2</v>
      </c>
      <c r="AH98" s="3">
        <f t="shared" si="157"/>
        <v>1.4999999999999999E-4</v>
      </c>
      <c r="AI98" s="49">
        <f t="shared" si="158"/>
        <v>1.179264079122989E-4</v>
      </c>
      <c r="AJ98" s="49">
        <f t="shared" si="159"/>
        <v>2.6786351944955602E-3</v>
      </c>
      <c r="AK98" s="49">
        <f t="shared" si="160"/>
        <v>5.2941176470588231E-4</v>
      </c>
      <c r="AL98" s="3">
        <f t="shared" si="161"/>
        <v>0.01</v>
      </c>
      <c r="AM98" s="50">
        <f t="shared" si="203"/>
        <v>2.3827108768747295E-2</v>
      </c>
      <c r="AN98" s="3">
        <f t="shared" si="162"/>
        <v>2.705882352941176E-2</v>
      </c>
      <c r="AO98" s="3">
        <f t="shared" si="163"/>
        <v>2.1999999999999998E-4</v>
      </c>
      <c r="AP98" s="3">
        <f t="shared" si="204"/>
        <v>1.179264079122989E-4</v>
      </c>
      <c r="AQ98" s="3">
        <f t="shared" si="205"/>
        <v>2.6786351944955602E-3</v>
      </c>
      <c r="AR98" s="3">
        <f t="shared" si="164"/>
        <v>5.2941176470588231E-4</v>
      </c>
      <c r="AS98" s="214">
        <f t="shared" si="165"/>
        <v>1.35E-2</v>
      </c>
      <c r="AT98" s="50">
        <f t="shared" si="206"/>
        <v>3.2770759804830359E-2</v>
      </c>
      <c r="AU98" s="16">
        <f t="shared" si="166"/>
        <v>4.2500000000000003E-4</v>
      </c>
      <c r="AV98" s="49">
        <f t="shared" si="167"/>
        <v>0.3529411764705882</v>
      </c>
      <c r="AW98" s="3">
        <f t="shared" si="168"/>
        <v>8.0000000000000002E-3</v>
      </c>
      <c r="AX98" s="49">
        <f t="shared" si="169"/>
        <v>9.4117647058823192E-3</v>
      </c>
      <c r="AY98" s="49">
        <f t="shared" si="170"/>
        <v>1.7815266197087796</v>
      </c>
      <c r="AZ98" s="49">
        <f t="shared" si="171"/>
        <v>9.4117647058823532E-4</v>
      </c>
      <c r="BA98" s="3">
        <f t="shared" si="172"/>
        <v>0.01</v>
      </c>
      <c r="BB98" s="50">
        <f t="shared" si="207"/>
        <v>2.1439180155487949</v>
      </c>
      <c r="BC98" s="3">
        <f t="shared" si="173"/>
        <v>0.43529411764705878</v>
      </c>
      <c r="BD98" s="3">
        <f t="shared" si="174"/>
        <v>8.6999999999999994E-3</v>
      </c>
      <c r="BE98" s="3">
        <f t="shared" si="208"/>
        <v>9.4117647058823192E-3</v>
      </c>
      <c r="BF98" s="3">
        <f t="shared" si="209"/>
        <v>1.7815266197087796</v>
      </c>
      <c r="BG98" s="3">
        <f t="shared" si="175"/>
        <v>9.4117647058823532E-4</v>
      </c>
      <c r="BH98" s="214">
        <f t="shared" si="176"/>
        <v>1.35E-2</v>
      </c>
      <c r="BI98" s="50">
        <f t="shared" si="210"/>
        <v>2.2262906322062128</v>
      </c>
      <c r="BJ98" s="16">
        <f t="shared" si="177"/>
        <v>4.2500000000000003E-4</v>
      </c>
      <c r="BK98" s="49">
        <f t="shared" si="178"/>
        <v>0.3529411764705882</v>
      </c>
      <c r="BL98" s="3">
        <f t="shared" si="179"/>
        <v>1E-3</v>
      </c>
      <c r="BM98" s="49">
        <f t="shared" si="180"/>
        <v>2.3529411764705798E-3</v>
      </c>
      <c r="BN98" s="49">
        <f t="shared" si="181"/>
        <v>8.4705882352941173E-2</v>
      </c>
      <c r="BO98" s="49">
        <f t="shared" si="182"/>
        <v>5.2941176470588231E-4</v>
      </c>
      <c r="BP98" s="3">
        <f t="shared" si="183"/>
        <v>0.01</v>
      </c>
      <c r="BQ98" s="50">
        <f t="shared" si="211"/>
        <v>0.44011507617533008</v>
      </c>
      <c r="BR98" s="3">
        <f t="shared" si="184"/>
        <v>0.39411764705882346</v>
      </c>
      <c r="BS98" s="3">
        <f t="shared" si="185"/>
        <v>1.175E-3</v>
      </c>
      <c r="BT98" s="3">
        <f t="shared" si="212"/>
        <v>2.3529411764705798E-3</v>
      </c>
      <c r="BU98" s="3">
        <f t="shared" si="213"/>
        <v>8.4705882352941173E-2</v>
      </c>
      <c r="BV98" s="3">
        <f t="shared" si="186"/>
        <v>5.2941176470588231E-4</v>
      </c>
      <c r="BW98" s="214">
        <f t="shared" si="187"/>
        <v>1.35E-2</v>
      </c>
      <c r="BX98" s="50">
        <f t="shared" si="214"/>
        <v>0.48136753811361999</v>
      </c>
      <c r="BY98" s="16">
        <f t="shared" si="188"/>
        <v>4.2500000000000003E-4</v>
      </c>
      <c r="BZ98" s="49">
        <f t="shared" si="189"/>
        <v>5.8823529411764698E-2</v>
      </c>
      <c r="CA98" s="3">
        <f t="shared" si="190"/>
        <v>2E-3</v>
      </c>
      <c r="CB98" s="49">
        <f t="shared" si="191"/>
        <v>2.3529411764705798E-3</v>
      </c>
      <c r="CC98" s="49">
        <f t="shared" si="192"/>
        <v>0</v>
      </c>
      <c r="CD98" s="49">
        <f t="shared" si="193"/>
        <v>1.0588235294117646E-3</v>
      </c>
      <c r="CE98" s="3">
        <f t="shared" si="194"/>
        <v>0.01</v>
      </c>
      <c r="CF98" s="50">
        <f t="shared" si="215"/>
        <v>6.2029683707880146E-2</v>
      </c>
      <c r="CG98" s="3">
        <f t="shared" si="195"/>
        <v>7.9411764705882348E-2</v>
      </c>
      <c r="CH98" s="3">
        <f t="shared" si="196"/>
        <v>2.0874999999999999E-3</v>
      </c>
      <c r="CI98" s="3">
        <f t="shared" si="216"/>
        <v>2.3529411764705798E-3</v>
      </c>
      <c r="CJ98" s="3">
        <f t="shared" si="217"/>
        <v>0</v>
      </c>
      <c r="CK98" s="3">
        <f t="shared" si="197"/>
        <v>1.0588235294117646E-3</v>
      </c>
      <c r="CL98" s="214">
        <f t="shared" si="198"/>
        <v>1.35E-2</v>
      </c>
      <c r="CM98" s="50">
        <f t="shared" si="218"/>
        <v>8.2904739861748053E-2</v>
      </c>
      <c r="CS98" s="24"/>
    </row>
    <row r="99" spans="16:97" ht="11.25" customHeight="1">
      <c r="P99" s="116">
        <f t="shared" si="219"/>
        <v>9.0000000000000011E-2</v>
      </c>
      <c r="Q99" s="135">
        <f t="shared" si="144"/>
        <v>4.5000000000000004E-4</v>
      </c>
      <c r="R99" s="49">
        <f t="shared" si="145"/>
        <v>1.1111111111111109</v>
      </c>
      <c r="S99" s="3">
        <f t="shared" si="146"/>
        <v>8.0000000000000002E-3</v>
      </c>
      <c r="T99" s="49">
        <f t="shared" si="147"/>
        <v>8.8888888888888577E-3</v>
      </c>
      <c r="U99" s="49">
        <f t="shared" si="148"/>
        <v>0</v>
      </c>
      <c r="V99" s="49">
        <f t="shared" si="149"/>
        <v>8.8888888888888882E-4</v>
      </c>
      <c r="W99" s="3">
        <f t="shared" si="150"/>
        <v>0.01</v>
      </c>
      <c r="X99" s="50">
        <f t="shared" si="199"/>
        <v>1.1200735646034401</v>
      </c>
      <c r="Y99" s="3">
        <f t="shared" si="151"/>
        <v>1.1888888888888887</v>
      </c>
      <c r="Z99" s="3">
        <f t="shared" si="152"/>
        <v>8.6999999999999994E-3</v>
      </c>
      <c r="AA99" s="3">
        <f t="shared" si="200"/>
        <v>8.8888888888888577E-3</v>
      </c>
      <c r="AB99" s="3">
        <f t="shared" si="201"/>
        <v>0</v>
      </c>
      <c r="AC99" s="3">
        <f t="shared" si="153"/>
        <v>8.8888888888888882E-4</v>
      </c>
      <c r="AD99" s="214">
        <f t="shared" si="154"/>
        <v>1.35E-2</v>
      </c>
      <c r="AE99" s="136">
        <f t="shared" si="202"/>
        <v>1.1978857771347518</v>
      </c>
      <c r="AF99" s="16">
        <f t="shared" si="155"/>
        <v>4.5000000000000004E-4</v>
      </c>
      <c r="AG99" s="49">
        <f t="shared" si="156"/>
        <v>1.7777777777777774E-2</v>
      </c>
      <c r="AH99" s="3">
        <f t="shared" si="157"/>
        <v>1.4999999999999999E-4</v>
      </c>
      <c r="AI99" s="49">
        <f t="shared" si="158"/>
        <v>1.1137494080606007E-4</v>
      </c>
      <c r="AJ99" s="49">
        <f t="shared" si="159"/>
        <v>2.5298221281346957E-3</v>
      </c>
      <c r="AK99" s="49">
        <f t="shared" si="160"/>
        <v>5.0000000000000001E-4</v>
      </c>
      <c r="AL99" s="3">
        <f t="shared" si="161"/>
        <v>0.01</v>
      </c>
      <c r="AM99" s="50">
        <f t="shared" si="203"/>
        <v>2.2742186213970811E-2</v>
      </c>
      <c r="AN99" s="3">
        <f t="shared" si="162"/>
        <v>2.555555555555555E-2</v>
      </c>
      <c r="AO99" s="3">
        <f t="shared" si="163"/>
        <v>2.1999999999999998E-4</v>
      </c>
      <c r="AP99" s="3">
        <f t="shared" si="204"/>
        <v>1.1137494080606007E-4</v>
      </c>
      <c r="AQ99" s="3">
        <f t="shared" si="205"/>
        <v>2.5298221281346957E-3</v>
      </c>
      <c r="AR99" s="3">
        <f t="shared" si="164"/>
        <v>5.0000000000000001E-4</v>
      </c>
      <c r="AS99" s="214">
        <f t="shared" si="165"/>
        <v>1.35E-2</v>
      </c>
      <c r="AT99" s="50">
        <f t="shared" si="206"/>
        <v>3.1266679685681996E-2</v>
      </c>
      <c r="AU99" s="16">
        <f t="shared" si="166"/>
        <v>4.5000000000000004E-4</v>
      </c>
      <c r="AV99" s="49">
        <f t="shared" si="167"/>
        <v>0.33333333333333326</v>
      </c>
      <c r="AW99" s="3">
        <f t="shared" si="168"/>
        <v>8.0000000000000002E-3</v>
      </c>
      <c r="AX99" s="49">
        <f t="shared" si="169"/>
        <v>8.8888888888888577E-3</v>
      </c>
      <c r="AY99" s="49">
        <f t="shared" si="170"/>
        <v>1.6825529186138475</v>
      </c>
      <c r="AZ99" s="49">
        <f t="shared" si="171"/>
        <v>8.8888888888888882E-4</v>
      </c>
      <c r="BA99" s="3">
        <f t="shared" si="172"/>
        <v>0.01</v>
      </c>
      <c r="BB99" s="50">
        <f t="shared" si="207"/>
        <v>2.0248158338651892</v>
      </c>
      <c r="BC99" s="3">
        <f t="shared" si="173"/>
        <v>0.41111111111111104</v>
      </c>
      <c r="BD99" s="3">
        <f t="shared" si="174"/>
        <v>8.6999999999999994E-3</v>
      </c>
      <c r="BE99" s="3">
        <f t="shared" si="208"/>
        <v>8.8888888888888577E-3</v>
      </c>
      <c r="BF99" s="3">
        <f t="shared" si="209"/>
        <v>1.6825529186138475</v>
      </c>
      <c r="BG99" s="3">
        <f t="shared" si="175"/>
        <v>8.8888888888888882E-4</v>
      </c>
      <c r="BH99" s="214">
        <f t="shared" si="176"/>
        <v>1.35E-2</v>
      </c>
      <c r="BI99" s="50">
        <f t="shared" si="210"/>
        <v>2.1026144453263571</v>
      </c>
      <c r="BJ99" s="16">
        <f t="shared" si="177"/>
        <v>4.5000000000000004E-4</v>
      </c>
      <c r="BK99" s="49">
        <f t="shared" si="178"/>
        <v>0.33333333333333326</v>
      </c>
      <c r="BL99" s="3">
        <f t="shared" si="179"/>
        <v>1E-3</v>
      </c>
      <c r="BM99" s="49">
        <f t="shared" si="180"/>
        <v>2.2222222222222144E-3</v>
      </c>
      <c r="BN99" s="49">
        <f t="shared" si="181"/>
        <v>7.9999999999999988E-2</v>
      </c>
      <c r="BO99" s="49">
        <f t="shared" si="182"/>
        <v>5.0000000000000001E-4</v>
      </c>
      <c r="BP99" s="3">
        <f t="shared" si="183"/>
        <v>0.01</v>
      </c>
      <c r="BQ99" s="50">
        <f t="shared" si="211"/>
        <v>0.41567736256992194</v>
      </c>
      <c r="BR99" s="3">
        <f t="shared" si="184"/>
        <v>0.37222222222222212</v>
      </c>
      <c r="BS99" s="3">
        <f t="shared" si="185"/>
        <v>1.175E-3</v>
      </c>
      <c r="BT99" s="3">
        <f t="shared" si="212"/>
        <v>2.2222222222222144E-3</v>
      </c>
      <c r="BU99" s="3">
        <f t="shared" si="213"/>
        <v>7.9999999999999988E-2</v>
      </c>
      <c r="BV99" s="3">
        <f t="shared" si="186"/>
        <v>5.0000000000000001E-4</v>
      </c>
      <c r="BW99" s="214">
        <f t="shared" si="187"/>
        <v>1.35E-2</v>
      </c>
      <c r="BX99" s="50">
        <f t="shared" si="214"/>
        <v>0.45464671307666971</v>
      </c>
      <c r="BY99" s="16">
        <f t="shared" si="188"/>
        <v>4.5000000000000004E-4</v>
      </c>
      <c r="BZ99" s="49">
        <f t="shared" si="189"/>
        <v>5.5555555555555546E-2</v>
      </c>
      <c r="CA99" s="3">
        <f t="shared" si="190"/>
        <v>2E-3</v>
      </c>
      <c r="CB99" s="49">
        <f t="shared" si="191"/>
        <v>2.2222222222222144E-3</v>
      </c>
      <c r="CC99" s="49">
        <f t="shared" si="192"/>
        <v>0</v>
      </c>
      <c r="CD99" s="49">
        <f t="shared" si="193"/>
        <v>1E-3</v>
      </c>
      <c r="CE99" s="3">
        <f t="shared" si="194"/>
        <v>0.01</v>
      </c>
      <c r="CF99" s="50">
        <f t="shared" si="215"/>
        <v>5.8679396766993693E-2</v>
      </c>
      <c r="CG99" s="3">
        <f t="shared" si="195"/>
        <v>7.4999999999999983E-2</v>
      </c>
      <c r="CH99" s="3">
        <f t="shared" si="196"/>
        <v>2.0874999999999999E-3</v>
      </c>
      <c r="CI99" s="3">
        <f t="shared" si="216"/>
        <v>2.2222222222222144E-3</v>
      </c>
      <c r="CJ99" s="3">
        <f t="shared" si="217"/>
        <v>0</v>
      </c>
      <c r="CK99" s="3">
        <f t="shared" si="197"/>
        <v>1E-3</v>
      </c>
      <c r="CL99" s="214">
        <f t="shared" si="198"/>
        <v>1.35E-2</v>
      </c>
      <c r="CM99" s="50">
        <f t="shared" si="218"/>
        <v>7.8427541471018117E-2</v>
      </c>
      <c r="CS99" s="24"/>
    </row>
    <row r="100" spans="16:97" ht="11.25" customHeight="1">
      <c r="P100" s="116">
        <f t="shared" si="219"/>
        <v>9.5000000000000015E-2</v>
      </c>
      <c r="Q100" s="135">
        <f t="shared" si="144"/>
        <v>4.7500000000000011E-4</v>
      </c>
      <c r="R100" s="49">
        <f t="shared" si="145"/>
        <v>1.0526315789473681</v>
      </c>
      <c r="S100" s="3">
        <f t="shared" si="146"/>
        <v>8.0000000000000002E-3</v>
      </c>
      <c r="T100" s="49">
        <f t="shared" si="147"/>
        <v>8.421052631578916E-3</v>
      </c>
      <c r="U100" s="49">
        <f t="shared" si="148"/>
        <v>0</v>
      </c>
      <c r="V100" s="49">
        <f t="shared" si="149"/>
        <v>8.4210526315789467E-4</v>
      </c>
      <c r="W100" s="3">
        <f t="shared" si="150"/>
        <v>0.01</v>
      </c>
      <c r="X100" s="50">
        <f t="shared" si="199"/>
        <v>1.0611302446551427</v>
      </c>
      <c r="Y100" s="3">
        <f t="shared" si="151"/>
        <v>1.1263157894736839</v>
      </c>
      <c r="Z100" s="3">
        <f t="shared" si="152"/>
        <v>8.6999999999999994E-3</v>
      </c>
      <c r="AA100" s="3">
        <f t="shared" si="200"/>
        <v>8.421052631578916E-3</v>
      </c>
      <c r="AB100" s="3">
        <f t="shared" si="201"/>
        <v>0</v>
      </c>
      <c r="AC100" s="3">
        <f t="shared" si="153"/>
        <v>8.4210526315789467E-4</v>
      </c>
      <c r="AD100" s="214">
        <f t="shared" si="154"/>
        <v>1.35E-2</v>
      </c>
      <c r="AE100" s="136">
        <f t="shared" si="202"/>
        <v>1.1348508051599993</v>
      </c>
      <c r="AF100" s="16">
        <f t="shared" si="155"/>
        <v>4.7500000000000011E-4</v>
      </c>
      <c r="AG100" s="49">
        <f t="shared" si="156"/>
        <v>1.6842105263157891E-2</v>
      </c>
      <c r="AH100" s="3">
        <f t="shared" si="157"/>
        <v>1.4999999999999999E-4</v>
      </c>
      <c r="AI100" s="49">
        <f t="shared" si="158"/>
        <v>1.0551310181626743E-4</v>
      </c>
      <c r="AJ100" s="49">
        <f t="shared" si="159"/>
        <v>2.3966735950749743E-3</v>
      </c>
      <c r="AK100" s="49">
        <f t="shared" si="160"/>
        <v>4.7368421052631577E-4</v>
      </c>
      <c r="AL100" s="3">
        <f t="shared" si="161"/>
        <v>0.01</v>
      </c>
      <c r="AM100" s="50">
        <f t="shared" si="203"/>
        <v>2.1781838952827731E-2</v>
      </c>
      <c r="AN100" s="3">
        <f t="shared" si="162"/>
        <v>2.4210526315789467E-2</v>
      </c>
      <c r="AO100" s="3">
        <f t="shared" si="163"/>
        <v>2.1999999999999998E-4</v>
      </c>
      <c r="AP100" s="3">
        <f t="shared" si="204"/>
        <v>1.0551310181626743E-4</v>
      </c>
      <c r="AQ100" s="3">
        <f t="shared" si="205"/>
        <v>2.3966735950749743E-3</v>
      </c>
      <c r="AR100" s="3">
        <f t="shared" si="164"/>
        <v>4.7368421052631577E-4</v>
      </c>
      <c r="AS100" s="214">
        <f t="shared" si="165"/>
        <v>1.35E-2</v>
      </c>
      <c r="AT100" s="50">
        <f t="shared" si="206"/>
        <v>2.9934792687258474E-2</v>
      </c>
      <c r="AU100" s="16">
        <f t="shared" si="166"/>
        <v>4.7500000000000011E-4</v>
      </c>
      <c r="AV100" s="49">
        <f t="shared" si="167"/>
        <v>0.31578947368421045</v>
      </c>
      <c r="AW100" s="3">
        <f t="shared" si="168"/>
        <v>8.0000000000000002E-3</v>
      </c>
      <c r="AX100" s="49">
        <f t="shared" si="169"/>
        <v>8.421052631578916E-3</v>
      </c>
      <c r="AY100" s="49">
        <f t="shared" si="170"/>
        <v>1.5939975018446972</v>
      </c>
      <c r="AZ100" s="49">
        <f t="shared" si="171"/>
        <v>8.4210526315789467E-4</v>
      </c>
      <c r="BA100" s="3">
        <f t="shared" si="172"/>
        <v>0.01</v>
      </c>
      <c r="BB100" s="50">
        <f t="shared" si="207"/>
        <v>1.9182509607558176</v>
      </c>
      <c r="BC100" s="3">
        <f t="shared" si="173"/>
        <v>0.38947368421052619</v>
      </c>
      <c r="BD100" s="3">
        <f t="shared" si="174"/>
        <v>8.6999999999999994E-3</v>
      </c>
      <c r="BE100" s="3">
        <f t="shared" si="208"/>
        <v>8.421052631578916E-3</v>
      </c>
      <c r="BF100" s="3">
        <f t="shared" si="209"/>
        <v>1.5939975018446972</v>
      </c>
      <c r="BG100" s="3">
        <f t="shared" si="175"/>
        <v>8.4210526315789467E-4</v>
      </c>
      <c r="BH100" s="214">
        <f t="shared" si="176"/>
        <v>1.35E-2</v>
      </c>
      <c r="BI100" s="50">
        <f t="shared" si="210"/>
        <v>1.9919571631142059</v>
      </c>
      <c r="BJ100" s="16">
        <f t="shared" si="177"/>
        <v>4.7500000000000011E-4</v>
      </c>
      <c r="BK100" s="49">
        <f t="shared" si="178"/>
        <v>0.31578947368421045</v>
      </c>
      <c r="BL100" s="3">
        <f t="shared" si="179"/>
        <v>1E-3</v>
      </c>
      <c r="BM100" s="49">
        <f t="shared" si="180"/>
        <v>2.105263157894729E-3</v>
      </c>
      <c r="BN100" s="49">
        <f t="shared" si="181"/>
        <v>7.5789473684210518E-2</v>
      </c>
      <c r="BO100" s="49">
        <f t="shared" si="182"/>
        <v>4.7368421052631577E-4</v>
      </c>
      <c r="BP100" s="3">
        <f t="shared" si="183"/>
        <v>0.01</v>
      </c>
      <c r="BQ100" s="50">
        <f t="shared" si="211"/>
        <v>0.3938127499135341</v>
      </c>
      <c r="BR100" s="3">
        <f t="shared" si="184"/>
        <v>0.35263157894736835</v>
      </c>
      <c r="BS100" s="3">
        <f t="shared" si="185"/>
        <v>1.175E-3</v>
      </c>
      <c r="BT100" s="3">
        <f t="shared" si="212"/>
        <v>2.105263157894729E-3</v>
      </c>
      <c r="BU100" s="3">
        <f t="shared" si="213"/>
        <v>7.5789473684210518E-2</v>
      </c>
      <c r="BV100" s="3">
        <f t="shared" si="186"/>
        <v>4.7368421052631577E-4</v>
      </c>
      <c r="BW100" s="214">
        <f t="shared" si="187"/>
        <v>1.35E-2</v>
      </c>
      <c r="BX100" s="50">
        <f t="shared" si="214"/>
        <v>0.43073978640124344</v>
      </c>
      <c r="BY100" s="16">
        <f t="shared" si="188"/>
        <v>4.7500000000000011E-4</v>
      </c>
      <c r="BZ100" s="49">
        <f t="shared" si="189"/>
        <v>5.2631578947368404E-2</v>
      </c>
      <c r="CA100" s="3">
        <f t="shared" si="190"/>
        <v>2E-3</v>
      </c>
      <c r="CB100" s="49">
        <f t="shared" si="191"/>
        <v>2.105263157894729E-3</v>
      </c>
      <c r="CC100" s="49">
        <f t="shared" si="192"/>
        <v>0</v>
      </c>
      <c r="CD100" s="49">
        <f t="shared" si="193"/>
        <v>9.4736842105263154E-4</v>
      </c>
      <c r="CE100" s="3">
        <f t="shared" si="194"/>
        <v>0.01</v>
      </c>
      <c r="CF100" s="50">
        <f t="shared" si="215"/>
        <v>5.5686797273516407E-2</v>
      </c>
      <c r="CG100" s="3">
        <f t="shared" si="195"/>
        <v>7.1052631578947339E-2</v>
      </c>
      <c r="CH100" s="3">
        <f t="shared" si="196"/>
        <v>2.0874999999999999E-3</v>
      </c>
      <c r="CI100" s="3">
        <f t="shared" si="216"/>
        <v>2.105263157894729E-3</v>
      </c>
      <c r="CJ100" s="3">
        <f t="shared" si="217"/>
        <v>0</v>
      </c>
      <c r="CK100" s="3">
        <f t="shared" si="197"/>
        <v>9.4736842105263154E-4</v>
      </c>
      <c r="CL100" s="214">
        <f t="shared" si="198"/>
        <v>1.35E-2</v>
      </c>
      <c r="CM100" s="50">
        <f t="shared" si="218"/>
        <v>7.4428373121425084E-2</v>
      </c>
      <c r="CS100" s="24"/>
    </row>
    <row r="101" spans="16:97" ht="11.25" customHeight="1">
      <c r="P101" s="116">
        <f t="shared" si="219"/>
        <v>0.1</v>
      </c>
      <c r="Q101" s="135">
        <f t="shared" si="144"/>
        <v>5.0000000000000001E-4</v>
      </c>
      <c r="R101" s="49">
        <f t="shared" si="145"/>
        <v>1</v>
      </c>
      <c r="S101" s="3">
        <f t="shared" si="146"/>
        <v>8.0000000000000002E-3</v>
      </c>
      <c r="T101" s="49">
        <f t="shared" si="147"/>
        <v>7.9999999999999724E-3</v>
      </c>
      <c r="U101" s="49">
        <f t="shared" si="148"/>
        <v>0</v>
      </c>
      <c r="V101" s="49">
        <f t="shared" si="149"/>
        <v>8.0000000000000004E-4</v>
      </c>
      <c r="W101" s="3">
        <f t="shared" si="150"/>
        <v>0.01</v>
      </c>
      <c r="X101" s="50">
        <f t="shared" si="199"/>
        <v>1.0080816633586787</v>
      </c>
      <c r="Y101" s="3">
        <f t="shared" si="151"/>
        <v>1.07</v>
      </c>
      <c r="Z101" s="3">
        <f t="shared" si="152"/>
        <v>8.6999999999999994E-3</v>
      </c>
      <c r="AA101" s="3">
        <f t="shared" si="200"/>
        <v>7.9999999999999724E-3</v>
      </c>
      <c r="AB101" s="3">
        <f t="shared" si="201"/>
        <v>0</v>
      </c>
      <c r="AC101" s="3">
        <f t="shared" si="153"/>
        <v>8.0000000000000004E-4</v>
      </c>
      <c r="AD101" s="214">
        <f t="shared" si="154"/>
        <v>1.35E-2</v>
      </c>
      <c r="AE101" s="136">
        <f t="shared" si="202"/>
        <v>1.0781199283938685</v>
      </c>
      <c r="AF101" s="16">
        <f t="shared" si="155"/>
        <v>5.0000000000000001E-4</v>
      </c>
      <c r="AG101" s="49">
        <f t="shared" si="156"/>
        <v>1.6E-2</v>
      </c>
      <c r="AH101" s="3">
        <f t="shared" si="157"/>
        <v>1.4999999999999999E-4</v>
      </c>
      <c r="AI101" s="49">
        <f t="shared" si="158"/>
        <v>1.0023744672545407E-4</v>
      </c>
      <c r="AJ101" s="49">
        <f t="shared" si="159"/>
        <v>2.2768399153212261E-3</v>
      </c>
      <c r="AK101" s="49">
        <f t="shared" si="160"/>
        <v>4.4999999999999999E-4</v>
      </c>
      <c r="AL101" s="3">
        <f t="shared" si="161"/>
        <v>0.01</v>
      </c>
      <c r="AM101" s="50">
        <f t="shared" si="203"/>
        <v>2.0927063156846653E-2</v>
      </c>
      <c r="AN101" s="3">
        <f t="shared" si="162"/>
        <v>2.3E-2</v>
      </c>
      <c r="AO101" s="3">
        <f t="shared" si="163"/>
        <v>2.1999999999999998E-4</v>
      </c>
      <c r="AP101" s="3">
        <f t="shared" si="204"/>
        <v>1.0023744672545407E-4</v>
      </c>
      <c r="AQ101" s="3">
        <f t="shared" si="205"/>
        <v>2.2768399153212261E-3</v>
      </c>
      <c r="AR101" s="3">
        <f t="shared" si="164"/>
        <v>4.4999999999999999E-4</v>
      </c>
      <c r="AS101" s="214">
        <f t="shared" si="165"/>
        <v>1.35E-2</v>
      </c>
      <c r="AT101" s="50">
        <f t="shared" si="206"/>
        <v>2.8748860071997676E-2</v>
      </c>
      <c r="AU101" s="16">
        <f t="shared" si="166"/>
        <v>5.0000000000000001E-4</v>
      </c>
      <c r="AV101" s="49">
        <f t="shared" si="167"/>
        <v>0.3</v>
      </c>
      <c r="AW101" s="3">
        <f t="shared" si="168"/>
        <v>8.0000000000000002E-3</v>
      </c>
      <c r="AX101" s="49">
        <f t="shared" si="169"/>
        <v>7.9999999999999724E-3</v>
      </c>
      <c r="AY101" s="49">
        <f t="shared" si="170"/>
        <v>1.5142976267524628</v>
      </c>
      <c r="AZ101" s="49">
        <f t="shared" si="171"/>
        <v>8.0000000000000004E-4</v>
      </c>
      <c r="BA101" s="3">
        <f t="shared" si="172"/>
        <v>0.01</v>
      </c>
      <c r="BB101" s="50">
        <f t="shared" si="207"/>
        <v>1.8223427999330033</v>
      </c>
      <c r="BC101" s="3">
        <f t="shared" si="173"/>
        <v>0.37</v>
      </c>
      <c r="BD101" s="3">
        <f t="shared" si="174"/>
        <v>8.6999999999999994E-3</v>
      </c>
      <c r="BE101" s="3">
        <f t="shared" si="208"/>
        <v>7.9999999999999724E-3</v>
      </c>
      <c r="BF101" s="3">
        <f t="shared" si="209"/>
        <v>1.5142976267524628</v>
      </c>
      <c r="BG101" s="3">
        <f t="shared" si="175"/>
        <v>8.0000000000000004E-4</v>
      </c>
      <c r="BH101" s="214">
        <f t="shared" si="176"/>
        <v>1.35E-2</v>
      </c>
      <c r="BI101" s="50">
        <f t="shared" si="210"/>
        <v>1.8923659498661993</v>
      </c>
      <c r="BJ101" s="16">
        <f t="shared" si="177"/>
        <v>5.0000000000000001E-4</v>
      </c>
      <c r="BK101" s="49">
        <f t="shared" si="178"/>
        <v>0.3</v>
      </c>
      <c r="BL101" s="3">
        <f t="shared" si="179"/>
        <v>1E-3</v>
      </c>
      <c r="BM101" s="49">
        <f t="shared" si="180"/>
        <v>1.9999999999999931E-3</v>
      </c>
      <c r="BN101" s="49">
        <f t="shared" si="181"/>
        <v>7.1999999999999995E-2</v>
      </c>
      <c r="BO101" s="49">
        <f t="shared" si="182"/>
        <v>4.4999999999999999E-4</v>
      </c>
      <c r="BP101" s="3">
        <f t="shared" si="183"/>
        <v>0.01</v>
      </c>
      <c r="BQ101" s="50">
        <f t="shared" si="211"/>
        <v>0.37413527299627869</v>
      </c>
      <c r="BR101" s="3">
        <f t="shared" si="184"/>
        <v>0.33499999999999996</v>
      </c>
      <c r="BS101" s="3">
        <f t="shared" si="185"/>
        <v>1.175E-3</v>
      </c>
      <c r="BT101" s="3">
        <f t="shared" si="212"/>
        <v>1.9999999999999931E-3</v>
      </c>
      <c r="BU101" s="3">
        <f t="shared" si="213"/>
        <v>7.1999999999999995E-2</v>
      </c>
      <c r="BV101" s="3">
        <f t="shared" si="186"/>
        <v>4.4999999999999999E-4</v>
      </c>
      <c r="BW101" s="214">
        <f t="shared" si="187"/>
        <v>1.35E-2</v>
      </c>
      <c r="BX101" s="50">
        <f t="shared" si="214"/>
        <v>0.40922467316255501</v>
      </c>
      <c r="BY101" s="16">
        <f t="shared" si="188"/>
        <v>5.0000000000000001E-4</v>
      </c>
      <c r="BZ101" s="49">
        <f t="shared" si="189"/>
        <v>4.9999999999999996E-2</v>
      </c>
      <c r="CA101" s="3">
        <f t="shared" si="190"/>
        <v>2E-3</v>
      </c>
      <c r="CB101" s="49">
        <f t="shared" si="191"/>
        <v>1.9999999999999931E-3</v>
      </c>
      <c r="CC101" s="49">
        <f t="shared" si="192"/>
        <v>0</v>
      </c>
      <c r="CD101" s="49">
        <f t="shared" si="193"/>
        <v>8.9999999999999998E-4</v>
      </c>
      <c r="CE101" s="3">
        <f t="shared" si="194"/>
        <v>0.01</v>
      </c>
      <c r="CF101" s="50">
        <f t="shared" si="215"/>
        <v>5.299820751685852E-2</v>
      </c>
      <c r="CG101" s="3">
        <f t="shared" si="195"/>
        <v>6.7499999999999991E-2</v>
      </c>
      <c r="CH101" s="3">
        <f t="shared" si="196"/>
        <v>2.0874999999999999E-3</v>
      </c>
      <c r="CI101" s="3">
        <f t="shared" si="216"/>
        <v>1.9999999999999931E-3</v>
      </c>
      <c r="CJ101" s="3">
        <f t="shared" si="217"/>
        <v>0</v>
      </c>
      <c r="CK101" s="3">
        <f t="shared" si="197"/>
        <v>8.9999999999999998E-4</v>
      </c>
      <c r="CL101" s="214">
        <f t="shared" si="198"/>
        <v>1.35E-2</v>
      </c>
      <c r="CM101" s="50">
        <f t="shared" si="218"/>
        <v>7.0835497148322449E-2</v>
      </c>
      <c r="CS101" s="24"/>
    </row>
    <row r="102" spans="16:97" ht="11.25" customHeight="1">
      <c r="P102" s="116">
        <f t="shared" si="219"/>
        <v>0.15</v>
      </c>
      <c r="Q102" s="135">
        <f t="shared" si="144"/>
        <v>7.5000000000000002E-4</v>
      </c>
      <c r="R102" s="49">
        <f t="shared" si="145"/>
        <v>0.66666666666666663</v>
      </c>
      <c r="S102" s="3">
        <f t="shared" si="146"/>
        <v>8.0000000000000002E-3</v>
      </c>
      <c r="T102" s="49">
        <f t="shared" si="147"/>
        <v>5.3333333333333149E-3</v>
      </c>
      <c r="U102" s="49">
        <f t="shared" si="148"/>
        <v>0</v>
      </c>
      <c r="V102" s="49">
        <f t="shared" si="149"/>
        <v>5.3333333333333336E-4</v>
      </c>
      <c r="W102" s="3">
        <f t="shared" si="150"/>
        <v>0.01</v>
      </c>
      <c r="X102" s="50">
        <f t="shared" si="199"/>
        <v>0.67212222433456581</v>
      </c>
      <c r="Y102" s="3">
        <f t="shared" si="151"/>
        <v>0.71333333333333326</v>
      </c>
      <c r="Z102" s="3">
        <f t="shared" si="152"/>
        <v>8.6999999999999994E-3</v>
      </c>
      <c r="AA102" s="3">
        <f t="shared" si="200"/>
        <v>5.3333333333333149E-3</v>
      </c>
      <c r="AB102" s="3">
        <f t="shared" si="201"/>
        <v>0</v>
      </c>
      <c r="AC102" s="3">
        <f t="shared" si="153"/>
        <v>5.3333333333333336E-4</v>
      </c>
      <c r="AD102" s="214">
        <f t="shared" si="154"/>
        <v>1.35E-2</v>
      </c>
      <c r="AE102" s="136">
        <f t="shared" si="202"/>
        <v>0.71884629944253176</v>
      </c>
      <c r="AF102" s="16">
        <f t="shared" si="155"/>
        <v>7.5000000000000002E-4</v>
      </c>
      <c r="AG102" s="49">
        <f t="shared" si="156"/>
        <v>1.0666666666666666E-2</v>
      </c>
      <c r="AH102" s="3">
        <f t="shared" si="157"/>
        <v>1.4999999999999999E-4</v>
      </c>
      <c r="AI102" s="49">
        <f t="shared" si="158"/>
        <v>6.6824964483636046E-5</v>
      </c>
      <c r="AJ102" s="49">
        <f t="shared" si="159"/>
        <v>1.5178932768808175E-3</v>
      </c>
      <c r="AK102" s="49">
        <f t="shared" si="160"/>
        <v>3.0000000000000003E-4</v>
      </c>
      <c r="AL102" s="3">
        <f t="shared" si="161"/>
        <v>0.01</v>
      </c>
      <c r="AM102" s="50">
        <f t="shared" si="203"/>
        <v>1.5817993936170689E-2</v>
      </c>
      <c r="AN102" s="3">
        <f t="shared" si="162"/>
        <v>1.5333333333333332E-2</v>
      </c>
      <c r="AO102" s="3">
        <f t="shared" si="163"/>
        <v>2.1999999999999998E-4</v>
      </c>
      <c r="AP102" s="3">
        <f t="shared" si="204"/>
        <v>6.6824964483636046E-5</v>
      </c>
      <c r="AQ102" s="3">
        <f t="shared" si="205"/>
        <v>1.5178932768808175E-3</v>
      </c>
      <c r="AR102" s="3">
        <f t="shared" si="164"/>
        <v>3.0000000000000003E-4</v>
      </c>
      <c r="AS102" s="214">
        <f t="shared" si="165"/>
        <v>1.35E-2</v>
      </c>
      <c r="AT102" s="50">
        <f t="shared" si="206"/>
        <v>2.1647375570358042E-2</v>
      </c>
      <c r="AU102" s="16">
        <f t="shared" si="166"/>
        <v>7.5000000000000002E-4</v>
      </c>
      <c r="AV102" s="49">
        <f t="shared" si="167"/>
        <v>0.19999999999999998</v>
      </c>
      <c r="AW102" s="3">
        <f t="shared" si="168"/>
        <v>8.0000000000000002E-3</v>
      </c>
      <c r="AX102" s="49">
        <f t="shared" si="169"/>
        <v>5.3333333333333149E-3</v>
      </c>
      <c r="AY102" s="49">
        <f t="shared" si="170"/>
        <v>1.0095317511683086</v>
      </c>
      <c r="AZ102" s="49">
        <f t="shared" si="171"/>
        <v>5.3333333333333336E-4</v>
      </c>
      <c r="BA102" s="3">
        <f t="shared" si="172"/>
        <v>0.01</v>
      </c>
      <c r="BB102" s="50">
        <f t="shared" si="207"/>
        <v>1.2149326968954397</v>
      </c>
      <c r="BC102" s="3">
        <f t="shared" si="173"/>
        <v>0.24666666666666665</v>
      </c>
      <c r="BD102" s="3">
        <f t="shared" si="174"/>
        <v>8.6999999999999994E-3</v>
      </c>
      <c r="BE102" s="3">
        <f t="shared" si="208"/>
        <v>5.3333333333333149E-3</v>
      </c>
      <c r="BF102" s="3">
        <f t="shared" si="209"/>
        <v>1.0095317511683086</v>
      </c>
      <c r="BG102" s="3">
        <f t="shared" si="175"/>
        <v>5.3333333333333336E-4</v>
      </c>
      <c r="BH102" s="214">
        <f t="shared" si="176"/>
        <v>1.35E-2</v>
      </c>
      <c r="BI102" s="50">
        <f t="shared" si="210"/>
        <v>1.2616340926156933</v>
      </c>
      <c r="BJ102" s="16">
        <f t="shared" si="177"/>
        <v>7.5000000000000002E-4</v>
      </c>
      <c r="BK102" s="49">
        <f t="shared" si="178"/>
        <v>0.19999999999999998</v>
      </c>
      <c r="BL102" s="3">
        <f t="shared" si="179"/>
        <v>1E-3</v>
      </c>
      <c r="BM102" s="49">
        <f t="shared" si="180"/>
        <v>1.3333333333333287E-3</v>
      </c>
      <c r="BN102" s="49">
        <f t="shared" si="181"/>
        <v>4.8000000000000001E-2</v>
      </c>
      <c r="BO102" s="49">
        <f t="shared" si="182"/>
        <v>3.0000000000000003E-4</v>
      </c>
      <c r="BP102" s="3">
        <f t="shared" si="183"/>
        <v>0.01</v>
      </c>
      <c r="BQ102" s="50">
        <f t="shared" si="211"/>
        <v>0.24953597157746835</v>
      </c>
      <c r="BR102" s="3">
        <f t="shared" si="184"/>
        <v>0.22333333333333333</v>
      </c>
      <c r="BS102" s="3">
        <f t="shared" si="185"/>
        <v>1.175E-3</v>
      </c>
      <c r="BT102" s="3">
        <f t="shared" si="212"/>
        <v>1.3333333333333287E-3</v>
      </c>
      <c r="BU102" s="3">
        <f t="shared" si="213"/>
        <v>4.8000000000000001E-2</v>
      </c>
      <c r="BV102" s="3">
        <f t="shared" si="186"/>
        <v>3.0000000000000003E-4</v>
      </c>
      <c r="BW102" s="214">
        <f t="shared" si="187"/>
        <v>1.35E-2</v>
      </c>
      <c r="BX102" s="50">
        <f t="shared" si="214"/>
        <v>0.27300335480742927</v>
      </c>
      <c r="BY102" s="16">
        <f t="shared" si="188"/>
        <v>7.5000000000000002E-4</v>
      </c>
      <c r="BZ102" s="49">
        <f t="shared" si="189"/>
        <v>3.3333333333333333E-2</v>
      </c>
      <c r="CA102" s="3">
        <f t="shared" si="190"/>
        <v>2E-3</v>
      </c>
      <c r="CB102" s="49">
        <f t="shared" si="191"/>
        <v>1.3333333333333287E-3</v>
      </c>
      <c r="CC102" s="49">
        <f t="shared" si="192"/>
        <v>0</v>
      </c>
      <c r="CD102" s="49">
        <f t="shared" si="193"/>
        <v>6.0000000000000006E-4</v>
      </c>
      <c r="CE102" s="3">
        <f t="shared" si="194"/>
        <v>0.01</v>
      </c>
      <c r="CF102" s="50">
        <f t="shared" si="215"/>
        <v>3.6140528188970594E-2</v>
      </c>
      <c r="CG102" s="3">
        <f t="shared" si="195"/>
        <v>4.4999999999999998E-2</v>
      </c>
      <c r="CH102" s="3">
        <f t="shared" si="196"/>
        <v>2.0874999999999999E-3</v>
      </c>
      <c r="CI102" s="3">
        <f t="shared" si="216"/>
        <v>1.3333333333333287E-3</v>
      </c>
      <c r="CJ102" s="3">
        <f t="shared" si="217"/>
        <v>0</v>
      </c>
      <c r="CK102" s="3">
        <f t="shared" si="197"/>
        <v>6.0000000000000006E-4</v>
      </c>
      <c r="CL102" s="214">
        <f t="shared" si="198"/>
        <v>1.35E-2</v>
      </c>
      <c r="CM102" s="50">
        <f t="shared" si="218"/>
        <v>4.8308854613080793E-2</v>
      </c>
      <c r="CS102" s="24"/>
    </row>
    <row r="103" spans="16:97" ht="11.25" customHeight="1">
      <c r="P103" s="116">
        <f t="shared" si="219"/>
        <v>0.2</v>
      </c>
      <c r="Q103" s="135">
        <f t="shared" si="144"/>
        <v>1E-3</v>
      </c>
      <c r="R103" s="49">
        <f t="shared" si="145"/>
        <v>0.5</v>
      </c>
      <c r="S103" s="3">
        <f t="shared" si="146"/>
        <v>8.0000000000000002E-3</v>
      </c>
      <c r="T103" s="49">
        <f t="shared" si="147"/>
        <v>3.9999999999999862E-3</v>
      </c>
      <c r="U103" s="49">
        <f t="shared" si="148"/>
        <v>0</v>
      </c>
      <c r="V103" s="49">
        <f t="shared" si="149"/>
        <v>4.0000000000000002E-4</v>
      </c>
      <c r="W103" s="3">
        <f t="shared" si="150"/>
        <v>0.01</v>
      </c>
      <c r="X103" s="50">
        <f t="shared" si="199"/>
        <v>0.50416283083940261</v>
      </c>
      <c r="Y103" s="3">
        <f t="shared" si="151"/>
        <v>0.53500000000000003</v>
      </c>
      <c r="Z103" s="3">
        <f t="shared" si="152"/>
        <v>8.6999999999999994E-3</v>
      </c>
      <c r="AA103" s="3">
        <f t="shared" si="200"/>
        <v>3.9999999999999862E-3</v>
      </c>
      <c r="AB103" s="3">
        <f t="shared" si="201"/>
        <v>0</v>
      </c>
      <c r="AC103" s="3">
        <f t="shared" si="153"/>
        <v>4.0000000000000002E-4</v>
      </c>
      <c r="AD103" s="214">
        <f t="shared" si="154"/>
        <v>1.35E-2</v>
      </c>
      <c r="AE103" s="136">
        <f t="shared" si="202"/>
        <v>0.53923937170796432</v>
      </c>
      <c r="AF103" s="16">
        <f t="shared" si="155"/>
        <v>1E-3</v>
      </c>
      <c r="AG103" s="49">
        <f t="shared" si="156"/>
        <v>8.0000000000000002E-3</v>
      </c>
      <c r="AH103" s="3">
        <f t="shared" si="157"/>
        <v>1.4999999999999999E-4</v>
      </c>
      <c r="AI103" s="49">
        <f t="shared" si="158"/>
        <v>5.0118723362727035E-5</v>
      </c>
      <c r="AJ103" s="49">
        <f t="shared" si="159"/>
        <v>1.138419957660613E-3</v>
      </c>
      <c r="AK103" s="49">
        <f t="shared" si="160"/>
        <v>2.2499999999999999E-4</v>
      </c>
      <c r="AL103" s="3">
        <f t="shared" si="161"/>
        <v>0.01</v>
      </c>
      <c r="AM103" s="50">
        <f t="shared" si="203"/>
        <v>1.3583164877621937E-2</v>
      </c>
      <c r="AN103" s="3">
        <f t="shared" si="162"/>
        <v>1.15E-2</v>
      </c>
      <c r="AO103" s="3">
        <f t="shared" si="163"/>
        <v>2.1999999999999998E-4</v>
      </c>
      <c r="AP103" s="3">
        <f t="shared" si="204"/>
        <v>5.0118723362727035E-5</v>
      </c>
      <c r="AQ103" s="3">
        <f t="shared" si="205"/>
        <v>1.138419957660613E-3</v>
      </c>
      <c r="AR103" s="3">
        <f t="shared" si="164"/>
        <v>2.2499999999999999E-4</v>
      </c>
      <c r="AS103" s="214">
        <f t="shared" si="165"/>
        <v>1.35E-2</v>
      </c>
      <c r="AT103" s="50">
        <f t="shared" si="206"/>
        <v>1.8529652961127619E-2</v>
      </c>
      <c r="AU103" s="16">
        <f t="shared" si="166"/>
        <v>1E-3</v>
      </c>
      <c r="AV103" s="49">
        <f t="shared" si="167"/>
        <v>0.15</v>
      </c>
      <c r="AW103" s="3">
        <f t="shared" si="168"/>
        <v>8.0000000000000002E-3</v>
      </c>
      <c r="AX103" s="49">
        <f t="shared" si="169"/>
        <v>3.9999999999999862E-3</v>
      </c>
      <c r="AY103" s="49">
        <f t="shared" si="170"/>
        <v>0.75714881337623141</v>
      </c>
      <c r="AZ103" s="49">
        <f t="shared" si="171"/>
        <v>4.0000000000000002E-4</v>
      </c>
      <c r="BA103" s="3">
        <f t="shared" si="172"/>
        <v>0.01</v>
      </c>
      <c r="BB103" s="50">
        <f t="shared" si="207"/>
        <v>0.91123889300057559</v>
      </c>
      <c r="BC103" s="3">
        <f t="shared" si="173"/>
        <v>0.185</v>
      </c>
      <c r="BD103" s="3">
        <f t="shared" si="174"/>
        <v>8.6999999999999994E-3</v>
      </c>
      <c r="BE103" s="3">
        <f t="shared" si="208"/>
        <v>3.9999999999999862E-3</v>
      </c>
      <c r="BF103" s="3">
        <f t="shared" si="209"/>
        <v>0.75714881337623141</v>
      </c>
      <c r="BG103" s="3">
        <f t="shared" si="175"/>
        <v>4.0000000000000002E-4</v>
      </c>
      <c r="BH103" s="214">
        <f t="shared" si="176"/>
        <v>1.35E-2</v>
      </c>
      <c r="BI103" s="50">
        <f t="shared" si="210"/>
        <v>0.94628519858087745</v>
      </c>
      <c r="BJ103" s="16">
        <f t="shared" si="177"/>
        <v>1E-3</v>
      </c>
      <c r="BK103" s="49">
        <f t="shared" si="178"/>
        <v>0.15</v>
      </c>
      <c r="BL103" s="3">
        <f t="shared" si="179"/>
        <v>1E-3</v>
      </c>
      <c r="BM103" s="49">
        <f t="shared" si="180"/>
        <v>9.9999999999999655E-4</v>
      </c>
      <c r="BN103" s="49">
        <f t="shared" si="181"/>
        <v>3.5999999999999997E-2</v>
      </c>
      <c r="BO103" s="49">
        <f t="shared" si="182"/>
        <v>2.2499999999999999E-4</v>
      </c>
      <c r="BP103" s="3">
        <f t="shared" si="183"/>
        <v>0.01</v>
      </c>
      <c r="BQ103" s="50">
        <f t="shared" si="211"/>
        <v>0.18726999392588231</v>
      </c>
      <c r="BR103" s="3">
        <f t="shared" si="184"/>
        <v>0.16749999999999998</v>
      </c>
      <c r="BS103" s="3">
        <f t="shared" si="185"/>
        <v>1.175E-3</v>
      </c>
      <c r="BT103" s="3">
        <f t="shared" si="212"/>
        <v>9.9999999999999655E-4</v>
      </c>
      <c r="BU103" s="3">
        <f t="shared" si="213"/>
        <v>3.5999999999999997E-2</v>
      </c>
      <c r="BV103" s="3">
        <f t="shared" si="186"/>
        <v>2.2499999999999999E-4</v>
      </c>
      <c r="BW103" s="214">
        <f t="shared" si="187"/>
        <v>1.35E-2</v>
      </c>
      <c r="BX103" s="50">
        <f t="shared" si="214"/>
        <v>0.20494860636266837</v>
      </c>
      <c r="BY103" s="16">
        <f t="shared" si="188"/>
        <v>1E-3</v>
      </c>
      <c r="BZ103" s="49">
        <f t="shared" si="189"/>
        <v>2.4999999999999998E-2</v>
      </c>
      <c r="CA103" s="3">
        <f t="shared" si="190"/>
        <v>2E-3</v>
      </c>
      <c r="CB103" s="49">
        <f t="shared" si="191"/>
        <v>9.9999999999999655E-4</v>
      </c>
      <c r="CC103" s="49">
        <f t="shared" si="192"/>
        <v>0</v>
      </c>
      <c r="CD103" s="49">
        <f t="shared" si="193"/>
        <v>4.4999999999999999E-4</v>
      </c>
      <c r="CE103" s="3">
        <f t="shared" si="194"/>
        <v>0.01</v>
      </c>
      <c r="CF103" s="50">
        <f t="shared" si="215"/>
        <v>2.7932105183820281E-2</v>
      </c>
      <c r="CG103" s="3">
        <f t="shared" si="195"/>
        <v>3.3749999999999995E-2</v>
      </c>
      <c r="CH103" s="3">
        <f t="shared" si="196"/>
        <v>2.0874999999999999E-3</v>
      </c>
      <c r="CI103" s="3">
        <f t="shared" si="216"/>
        <v>9.9999999999999655E-4</v>
      </c>
      <c r="CJ103" s="3">
        <f t="shared" si="217"/>
        <v>0</v>
      </c>
      <c r="CK103" s="3">
        <f t="shared" si="197"/>
        <v>4.4999999999999999E-4</v>
      </c>
      <c r="CL103" s="214">
        <f t="shared" si="198"/>
        <v>1.35E-2</v>
      </c>
      <c r="CM103" s="50">
        <f t="shared" si="218"/>
        <v>3.7341299605798392E-2</v>
      </c>
      <c r="CS103" s="24"/>
    </row>
    <row r="104" spans="16:97" ht="11.25" customHeight="1">
      <c r="P104" s="116">
        <f t="shared" si="219"/>
        <v>0.25</v>
      </c>
      <c r="Q104" s="135">
        <f t="shared" si="144"/>
        <v>1.25E-3</v>
      </c>
      <c r="R104" s="49">
        <f t="shared" si="145"/>
        <v>0.4</v>
      </c>
      <c r="S104" s="3">
        <f t="shared" si="146"/>
        <v>8.0000000000000002E-3</v>
      </c>
      <c r="T104" s="49">
        <f t="shared" si="147"/>
        <v>3.1999999999999889E-3</v>
      </c>
      <c r="U104" s="49">
        <f t="shared" si="148"/>
        <v>0</v>
      </c>
      <c r="V104" s="49">
        <f t="shared" si="149"/>
        <v>3.2000000000000003E-4</v>
      </c>
      <c r="W104" s="3">
        <f t="shared" si="150"/>
        <v>0.01</v>
      </c>
      <c r="X104" s="50">
        <f t="shared" si="199"/>
        <v>0.40340344867142625</v>
      </c>
      <c r="Y104" s="3">
        <f t="shared" si="151"/>
        <v>0.42800000000000005</v>
      </c>
      <c r="Z104" s="3">
        <f t="shared" si="152"/>
        <v>8.6999999999999994E-3</v>
      </c>
      <c r="AA104" s="3">
        <f t="shared" si="200"/>
        <v>3.1999999999999889E-3</v>
      </c>
      <c r="AB104" s="3">
        <f t="shared" si="201"/>
        <v>0</v>
      </c>
      <c r="AC104" s="3">
        <f t="shared" si="153"/>
        <v>3.2000000000000003E-4</v>
      </c>
      <c r="AD104" s="214">
        <f t="shared" si="154"/>
        <v>1.35E-2</v>
      </c>
      <c r="AE104" s="136">
        <f t="shared" si="202"/>
        <v>0.43149911054369511</v>
      </c>
      <c r="AF104" s="16">
        <f t="shared" si="155"/>
        <v>1.25E-3</v>
      </c>
      <c r="AG104" s="49">
        <f t="shared" si="156"/>
        <v>6.3999999999999994E-3</v>
      </c>
      <c r="AH104" s="3">
        <f t="shared" si="157"/>
        <v>1.4999999999999999E-4</v>
      </c>
      <c r="AI104" s="49">
        <f t="shared" si="158"/>
        <v>4.009497869018163E-5</v>
      </c>
      <c r="AJ104" s="49">
        <f t="shared" si="159"/>
        <v>9.1073596612849044E-4</v>
      </c>
      <c r="AK104" s="49">
        <f t="shared" si="160"/>
        <v>1.8000000000000001E-4</v>
      </c>
      <c r="AL104" s="3">
        <f t="shared" si="161"/>
        <v>0.01</v>
      </c>
      <c r="AM104" s="50">
        <f t="shared" si="203"/>
        <v>1.2413283835444341E-2</v>
      </c>
      <c r="AN104" s="3">
        <f t="shared" si="162"/>
        <v>9.1999999999999998E-3</v>
      </c>
      <c r="AO104" s="3">
        <f t="shared" si="163"/>
        <v>2.1999999999999998E-4</v>
      </c>
      <c r="AP104" s="3">
        <f t="shared" si="204"/>
        <v>4.009497869018163E-5</v>
      </c>
      <c r="AQ104" s="3">
        <f t="shared" si="205"/>
        <v>9.1073596612849044E-4</v>
      </c>
      <c r="AR104" s="3">
        <f t="shared" si="164"/>
        <v>1.8000000000000001E-4</v>
      </c>
      <c r="AS104" s="214">
        <f t="shared" si="165"/>
        <v>1.35E-2</v>
      </c>
      <c r="AT104" s="50">
        <f t="shared" si="206"/>
        <v>1.6892902914250361E-2</v>
      </c>
      <c r="AU104" s="16">
        <f t="shared" si="166"/>
        <v>1.25E-3</v>
      </c>
      <c r="AV104" s="49">
        <f t="shared" si="167"/>
        <v>0.11999999999999998</v>
      </c>
      <c r="AW104" s="3">
        <f t="shared" si="168"/>
        <v>8.0000000000000002E-3</v>
      </c>
      <c r="AX104" s="49">
        <f t="shared" si="169"/>
        <v>3.1999999999999889E-3</v>
      </c>
      <c r="AY104" s="49">
        <f t="shared" si="170"/>
        <v>0.60571905070098508</v>
      </c>
      <c r="AZ104" s="49">
        <f t="shared" si="171"/>
        <v>3.2000000000000003E-4</v>
      </c>
      <c r="BA104" s="3">
        <f t="shared" si="172"/>
        <v>0.01</v>
      </c>
      <c r="BB104" s="50">
        <f t="shared" si="207"/>
        <v>0.72903160759656038</v>
      </c>
      <c r="BC104" s="3">
        <f t="shared" si="173"/>
        <v>0.14799999999999996</v>
      </c>
      <c r="BD104" s="3">
        <f t="shared" si="174"/>
        <v>8.6999999999999994E-3</v>
      </c>
      <c r="BE104" s="3">
        <f t="shared" si="208"/>
        <v>3.1999999999999889E-3</v>
      </c>
      <c r="BF104" s="3">
        <f t="shared" si="209"/>
        <v>0.60571905070098508</v>
      </c>
      <c r="BG104" s="3">
        <f t="shared" si="175"/>
        <v>3.2000000000000003E-4</v>
      </c>
      <c r="BH104" s="214">
        <f t="shared" si="176"/>
        <v>1.35E-2</v>
      </c>
      <c r="BI104" s="50">
        <f t="shared" si="210"/>
        <v>0.75708948725634839</v>
      </c>
      <c r="BJ104" s="16">
        <f t="shared" si="177"/>
        <v>1.25E-3</v>
      </c>
      <c r="BK104" s="49">
        <f t="shared" si="178"/>
        <v>0.11999999999999998</v>
      </c>
      <c r="BL104" s="3">
        <f t="shared" si="179"/>
        <v>1E-3</v>
      </c>
      <c r="BM104" s="49">
        <f t="shared" si="180"/>
        <v>7.9999999999999722E-4</v>
      </c>
      <c r="BN104" s="49">
        <f t="shared" si="181"/>
        <v>2.8799999999999999E-2</v>
      </c>
      <c r="BO104" s="49">
        <f t="shared" si="182"/>
        <v>1.8000000000000001E-4</v>
      </c>
      <c r="BP104" s="3">
        <f t="shared" si="183"/>
        <v>0.01</v>
      </c>
      <c r="BQ104" s="50">
        <f t="shared" si="211"/>
        <v>0.14993729489356541</v>
      </c>
      <c r="BR104" s="3">
        <f t="shared" si="184"/>
        <v>0.13399999999999998</v>
      </c>
      <c r="BS104" s="3">
        <f t="shared" si="185"/>
        <v>1.175E-3</v>
      </c>
      <c r="BT104" s="3">
        <f t="shared" si="212"/>
        <v>7.9999999999999722E-4</v>
      </c>
      <c r="BU104" s="3">
        <f t="shared" si="213"/>
        <v>2.8799999999999999E-2</v>
      </c>
      <c r="BV104" s="3">
        <f t="shared" si="186"/>
        <v>1.8000000000000001E-4</v>
      </c>
      <c r="BW104" s="214">
        <f t="shared" si="187"/>
        <v>1.35E-2</v>
      </c>
      <c r="BX104" s="50">
        <f t="shared" si="214"/>
        <v>0.16416035765372827</v>
      </c>
      <c r="BY104" s="16">
        <f t="shared" si="188"/>
        <v>1.25E-3</v>
      </c>
      <c r="BZ104" s="49">
        <f t="shared" si="189"/>
        <v>1.9999999999999997E-2</v>
      </c>
      <c r="CA104" s="3">
        <f t="shared" si="190"/>
        <v>2E-3</v>
      </c>
      <c r="CB104" s="49">
        <f t="shared" si="191"/>
        <v>7.9999999999999722E-4</v>
      </c>
      <c r="CC104" s="49">
        <f t="shared" si="192"/>
        <v>0</v>
      </c>
      <c r="CD104" s="49">
        <f t="shared" si="193"/>
        <v>3.6000000000000002E-4</v>
      </c>
      <c r="CE104" s="3">
        <f t="shared" si="194"/>
        <v>0.01</v>
      </c>
      <c r="CF104" s="50">
        <f t="shared" si="215"/>
        <v>2.3168288672234725E-2</v>
      </c>
      <c r="CG104" s="3">
        <f t="shared" si="195"/>
        <v>2.6999999999999996E-2</v>
      </c>
      <c r="CH104" s="3">
        <f t="shared" si="196"/>
        <v>2.0874999999999999E-3</v>
      </c>
      <c r="CI104" s="3">
        <f t="shared" si="216"/>
        <v>7.9999999999999722E-4</v>
      </c>
      <c r="CJ104" s="3">
        <f t="shared" si="217"/>
        <v>0</v>
      </c>
      <c r="CK104" s="3">
        <f t="shared" si="197"/>
        <v>3.6000000000000002E-4</v>
      </c>
      <c r="CL104" s="214">
        <f t="shared" si="198"/>
        <v>1.35E-2</v>
      </c>
      <c r="CM104" s="50">
        <f t="shared" si="218"/>
        <v>3.0977044020532359E-2</v>
      </c>
      <c r="CS104" s="24"/>
    </row>
    <row r="105" spans="16:97" ht="11.25" customHeight="1">
      <c r="P105" s="116">
        <f t="shared" si="219"/>
        <v>0.3</v>
      </c>
      <c r="Q105" s="135">
        <f t="shared" si="144"/>
        <v>1.5E-3</v>
      </c>
      <c r="R105" s="49">
        <f t="shared" si="145"/>
        <v>0.33333333333333331</v>
      </c>
      <c r="S105" s="3">
        <f t="shared" si="146"/>
        <v>8.0000000000000002E-3</v>
      </c>
      <c r="T105" s="49">
        <f t="shared" si="147"/>
        <v>2.6666666666666575E-3</v>
      </c>
      <c r="U105" s="49">
        <f t="shared" si="148"/>
        <v>0</v>
      </c>
      <c r="V105" s="49">
        <f t="shared" si="149"/>
        <v>2.6666666666666668E-4</v>
      </c>
      <c r="W105" s="3">
        <f t="shared" si="150"/>
        <v>0.01</v>
      </c>
      <c r="X105" s="50">
        <f t="shared" si="199"/>
        <v>0.3362440647968542</v>
      </c>
      <c r="Y105" s="3">
        <f t="shared" si="151"/>
        <v>0.35666666666666663</v>
      </c>
      <c r="Z105" s="3">
        <f t="shared" si="152"/>
        <v>8.6999999999999994E-3</v>
      </c>
      <c r="AA105" s="3">
        <f t="shared" si="200"/>
        <v>2.6666666666666575E-3</v>
      </c>
      <c r="AB105" s="3">
        <f t="shared" si="201"/>
        <v>0</v>
      </c>
      <c r="AC105" s="3">
        <f t="shared" si="153"/>
        <v>2.6666666666666668E-4</v>
      </c>
      <c r="AD105" s="214">
        <f t="shared" si="154"/>
        <v>1.35E-2</v>
      </c>
      <c r="AE105" s="136">
        <f t="shared" si="202"/>
        <v>0.35969216777065843</v>
      </c>
      <c r="AF105" s="16">
        <f t="shared" si="155"/>
        <v>1.5E-3</v>
      </c>
      <c r="AG105" s="49">
        <f t="shared" si="156"/>
        <v>5.3333333333333332E-3</v>
      </c>
      <c r="AH105" s="3">
        <f t="shared" si="157"/>
        <v>1.4999999999999999E-4</v>
      </c>
      <c r="AI105" s="49">
        <f t="shared" si="158"/>
        <v>3.3412482241818023E-5</v>
      </c>
      <c r="AJ105" s="49">
        <f t="shared" si="159"/>
        <v>7.5894663844040876E-4</v>
      </c>
      <c r="AK105" s="49">
        <f t="shared" si="160"/>
        <v>1.5000000000000001E-4</v>
      </c>
      <c r="AL105" s="3">
        <f t="shared" si="161"/>
        <v>0.01</v>
      </c>
      <c r="AM105" s="50">
        <f t="shared" si="203"/>
        <v>1.1728985806163428E-2</v>
      </c>
      <c r="AN105" s="3">
        <f t="shared" si="162"/>
        <v>7.6666666666666662E-3</v>
      </c>
      <c r="AO105" s="3">
        <f t="shared" si="163"/>
        <v>2.1999999999999998E-4</v>
      </c>
      <c r="AP105" s="3">
        <f t="shared" si="204"/>
        <v>3.3412482241818023E-5</v>
      </c>
      <c r="AQ105" s="3">
        <f t="shared" si="205"/>
        <v>7.5894663844040876E-4</v>
      </c>
      <c r="AR105" s="3">
        <f t="shared" si="164"/>
        <v>1.5000000000000001E-4</v>
      </c>
      <c r="AS105" s="214">
        <f t="shared" si="165"/>
        <v>1.35E-2</v>
      </c>
      <c r="AT105" s="50">
        <f t="shared" si="206"/>
        <v>1.5933487291582893E-2</v>
      </c>
      <c r="AU105" s="16">
        <f t="shared" si="166"/>
        <v>1.5E-3</v>
      </c>
      <c r="AV105" s="49">
        <f t="shared" si="167"/>
        <v>9.9999999999999992E-2</v>
      </c>
      <c r="AW105" s="3">
        <f t="shared" si="168"/>
        <v>8.0000000000000002E-3</v>
      </c>
      <c r="AX105" s="49">
        <f t="shared" si="169"/>
        <v>2.6666666666666575E-3</v>
      </c>
      <c r="AY105" s="49">
        <f t="shared" si="170"/>
        <v>0.50476587558415431</v>
      </c>
      <c r="AZ105" s="49">
        <f t="shared" si="171"/>
        <v>2.6666666666666668E-4</v>
      </c>
      <c r="BA105" s="3">
        <f t="shared" si="172"/>
        <v>0.01</v>
      </c>
      <c r="BB105" s="50">
        <f t="shared" si="207"/>
        <v>0.60756758018874457</v>
      </c>
      <c r="BC105" s="3">
        <f t="shared" si="173"/>
        <v>0.12333333333333332</v>
      </c>
      <c r="BD105" s="3">
        <f t="shared" si="174"/>
        <v>8.6999999999999994E-3</v>
      </c>
      <c r="BE105" s="3">
        <f t="shared" si="208"/>
        <v>2.6666666666666575E-3</v>
      </c>
      <c r="BF105" s="3">
        <f t="shared" si="209"/>
        <v>0.50476587558415431</v>
      </c>
      <c r="BG105" s="3">
        <f t="shared" si="175"/>
        <v>2.6666666666666668E-4</v>
      </c>
      <c r="BH105" s="214">
        <f t="shared" si="176"/>
        <v>1.35E-2</v>
      </c>
      <c r="BI105" s="50">
        <f t="shared" si="210"/>
        <v>0.63097036452796729</v>
      </c>
      <c r="BJ105" s="16">
        <f t="shared" si="177"/>
        <v>1.5E-3</v>
      </c>
      <c r="BK105" s="49">
        <f t="shared" si="178"/>
        <v>9.9999999999999992E-2</v>
      </c>
      <c r="BL105" s="3">
        <f t="shared" si="179"/>
        <v>1E-3</v>
      </c>
      <c r="BM105" s="49">
        <f t="shared" si="180"/>
        <v>6.6666666666666437E-4</v>
      </c>
      <c r="BN105" s="49">
        <f t="shared" si="181"/>
        <v>2.4E-2</v>
      </c>
      <c r="BO105" s="49">
        <f t="shared" si="182"/>
        <v>1.5000000000000001E-4</v>
      </c>
      <c r="BP105" s="3">
        <f t="shared" si="183"/>
        <v>0.01</v>
      </c>
      <c r="BQ105" s="50">
        <f t="shared" si="211"/>
        <v>0.12507118084426072</v>
      </c>
      <c r="BR105" s="3">
        <f t="shared" si="184"/>
        <v>0.11166666666666666</v>
      </c>
      <c r="BS105" s="3">
        <f t="shared" si="185"/>
        <v>1.175E-3</v>
      </c>
      <c r="BT105" s="3">
        <f t="shared" si="212"/>
        <v>6.6666666666666437E-4</v>
      </c>
      <c r="BU105" s="3">
        <f t="shared" si="213"/>
        <v>2.4E-2</v>
      </c>
      <c r="BV105" s="3">
        <f t="shared" si="186"/>
        <v>1.5000000000000001E-4</v>
      </c>
      <c r="BW105" s="214">
        <f t="shared" si="187"/>
        <v>1.35E-2</v>
      </c>
      <c r="BX105" s="50">
        <f t="shared" si="214"/>
        <v>0.13700522217338204</v>
      </c>
      <c r="BY105" s="16">
        <f t="shared" si="188"/>
        <v>1.5E-3</v>
      </c>
      <c r="BZ105" s="49">
        <f t="shared" si="189"/>
        <v>1.6666666666666666E-2</v>
      </c>
      <c r="CA105" s="3">
        <f t="shared" si="190"/>
        <v>2E-3</v>
      </c>
      <c r="CB105" s="49">
        <f t="shared" si="191"/>
        <v>6.6666666666666437E-4</v>
      </c>
      <c r="CC105" s="49">
        <f t="shared" si="192"/>
        <v>0</v>
      </c>
      <c r="CD105" s="49">
        <f t="shared" si="193"/>
        <v>3.0000000000000003E-4</v>
      </c>
      <c r="CE105" s="3">
        <f t="shared" si="194"/>
        <v>0.01</v>
      </c>
      <c r="CF105" s="50">
        <f t="shared" si="215"/>
        <v>2.0113041650741053E-2</v>
      </c>
      <c r="CG105" s="3">
        <f t="shared" si="195"/>
        <v>2.2499999999999999E-2</v>
      </c>
      <c r="CH105" s="3">
        <f t="shared" si="196"/>
        <v>2.0874999999999999E-3</v>
      </c>
      <c r="CI105" s="3">
        <f t="shared" si="216"/>
        <v>6.6666666666666437E-4</v>
      </c>
      <c r="CJ105" s="3">
        <f t="shared" si="217"/>
        <v>0</v>
      </c>
      <c r="CK105" s="3">
        <f t="shared" si="197"/>
        <v>3.0000000000000003E-4</v>
      </c>
      <c r="CL105" s="214">
        <f t="shared" si="198"/>
        <v>1.35E-2</v>
      </c>
      <c r="CM105" s="50">
        <f t="shared" si="218"/>
        <v>2.6895949522083139E-2</v>
      </c>
      <c r="CS105" s="24"/>
    </row>
    <row r="106" spans="16:97" ht="11.25" customHeight="1">
      <c r="P106" s="116">
        <f t="shared" si="219"/>
        <v>0.35</v>
      </c>
      <c r="Q106" s="135">
        <f t="shared" si="144"/>
        <v>1.75E-3</v>
      </c>
      <c r="R106" s="49">
        <f t="shared" si="145"/>
        <v>0.2857142857142857</v>
      </c>
      <c r="S106" s="3">
        <f t="shared" si="146"/>
        <v>8.0000000000000002E-3</v>
      </c>
      <c r="T106" s="49">
        <f t="shared" si="147"/>
        <v>2.2857142857142776E-3</v>
      </c>
      <c r="U106" s="49">
        <f t="shared" si="148"/>
        <v>0</v>
      </c>
      <c r="V106" s="49">
        <f t="shared" si="149"/>
        <v>2.2857142857142859E-4</v>
      </c>
      <c r="W106" s="3">
        <f t="shared" si="150"/>
        <v>0.01</v>
      </c>
      <c r="X106" s="50">
        <f t="shared" si="199"/>
        <v>0.28828467223371063</v>
      </c>
      <c r="Y106" s="3">
        <f t="shared" si="151"/>
        <v>0.30571428571428572</v>
      </c>
      <c r="Z106" s="3">
        <f t="shared" si="152"/>
        <v>8.6999999999999994E-3</v>
      </c>
      <c r="AA106" s="3">
        <f t="shared" si="200"/>
        <v>2.2857142857142776E-3</v>
      </c>
      <c r="AB106" s="3">
        <f t="shared" si="201"/>
        <v>0</v>
      </c>
      <c r="AC106" s="3">
        <f t="shared" si="153"/>
        <v>2.2857142857142859E-4</v>
      </c>
      <c r="AD106" s="214">
        <f t="shared" si="154"/>
        <v>1.35E-2</v>
      </c>
      <c r="AE106" s="136">
        <f t="shared" si="202"/>
        <v>0.30841853421105869</v>
      </c>
      <c r="AF106" s="16">
        <f t="shared" si="155"/>
        <v>1.75E-3</v>
      </c>
      <c r="AG106" s="49">
        <f t="shared" si="156"/>
        <v>4.5714285714285709E-3</v>
      </c>
      <c r="AH106" s="3">
        <f t="shared" si="157"/>
        <v>1.4999999999999999E-4</v>
      </c>
      <c r="AI106" s="49">
        <f t="shared" si="158"/>
        <v>2.8639270492986877E-5</v>
      </c>
      <c r="AJ106" s="49">
        <f t="shared" si="159"/>
        <v>6.5052569009177896E-4</v>
      </c>
      <c r="AK106" s="49">
        <f t="shared" si="160"/>
        <v>1.2857142857142858E-4</v>
      </c>
      <c r="AL106" s="3">
        <f t="shared" si="161"/>
        <v>0.01</v>
      </c>
      <c r="AM106" s="50">
        <f t="shared" si="203"/>
        <v>1.1296360610863358E-2</v>
      </c>
      <c r="AN106" s="3">
        <f t="shared" si="162"/>
        <v>6.5714285714285709E-3</v>
      </c>
      <c r="AO106" s="3">
        <f t="shared" si="163"/>
        <v>2.1999999999999998E-4</v>
      </c>
      <c r="AP106" s="3">
        <f t="shared" si="204"/>
        <v>2.8639270492986877E-5</v>
      </c>
      <c r="AQ106" s="3">
        <f t="shared" si="205"/>
        <v>6.5052569009177896E-4</v>
      </c>
      <c r="AR106" s="3">
        <f t="shared" si="164"/>
        <v>1.2857142857142858E-4</v>
      </c>
      <c r="AS106" s="214">
        <f t="shared" si="165"/>
        <v>1.35E-2</v>
      </c>
      <c r="AT106" s="50">
        <f t="shared" si="206"/>
        <v>1.5325992208621225E-2</v>
      </c>
      <c r="AU106" s="16">
        <f t="shared" si="166"/>
        <v>1.75E-3</v>
      </c>
      <c r="AV106" s="49">
        <f t="shared" si="167"/>
        <v>8.5714285714285701E-2</v>
      </c>
      <c r="AW106" s="3">
        <f t="shared" si="168"/>
        <v>8.0000000000000002E-3</v>
      </c>
      <c r="AX106" s="49">
        <f t="shared" si="169"/>
        <v>2.2857142857142776E-3</v>
      </c>
      <c r="AY106" s="49">
        <f t="shared" si="170"/>
        <v>0.43265646478641795</v>
      </c>
      <c r="AZ106" s="49">
        <f t="shared" si="171"/>
        <v>2.2857142857142859E-4</v>
      </c>
      <c r="BA106" s="3">
        <f t="shared" si="172"/>
        <v>0.01</v>
      </c>
      <c r="BB106" s="50">
        <f t="shared" si="207"/>
        <v>0.52081398461330553</v>
      </c>
      <c r="BC106" s="3">
        <f t="shared" si="173"/>
        <v>0.10571428571428571</v>
      </c>
      <c r="BD106" s="3">
        <f t="shared" si="174"/>
        <v>8.6999999999999994E-3</v>
      </c>
      <c r="BE106" s="3">
        <f t="shared" si="208"/>
        <v>2.2857142857142776E-3</v>
      </c>
      <c r="BF106" s="3">
        <f t="shared" si="209"/>
        <v>0.43265646478641795</v>
      </c>
      <c r="BG106" s="3">
        <f t="shared" si="175"/>
        <v>2.2857142857142859E-4</v>
      </c>
      <c r="BH106" s="214">
        <f t="shared" si="176"/>
        <v>1.35E-2</v>
      </c>
      <c r="BI106" s="50">
        <f t="shared" si="210"/>
        <v>0.54089500382259503</v>
      </c>
      <c r="BJ106" s="16">
        <f t="shared" si="177"/>
        <v>1.75E-3</v>
      </c>
      <c r="BK106" s="49">
        <f t="shared" si="178"/>
        <v>8.5714285714285701E-2</v>
      </c>
      <c r="BL106" s="3">
        <f t="shared" si="179"/>
        <v>1E-3</v>
      </c>
      <c r="BM106" s="49">
        <f t="shared" si="180"/>
        <v>5.7142857142856941E-4</v>
      </c>
      <c r="BN106" s="49">
        <f t="shared" si="181"/>
        <v>2.057142857142857E-2</v>
      </c>
      <c r="BO106" s="49">
        <f t="shared" si="182"/>
        <v>1.2857142857142858E-4</v>
      </c>
      <c r="BP106" s="3">
        <f t="shared" si="183"/>
        <v>0.01</v>
      </c>
      <c r="BQ106" s="50">
        <f t="shared" si="211"/>
        <v>0.10732877298378138</v>
      </c>
      <c r="BR106" s="3">
        <f t="shared" si="184"/>
        <v>9.5714285714285696E-2</v>
      </c>
      <c r="BS106" s="3">
        <f t="shared" si="185"/>
        <v>1.175E-3</v>
      </c>
      <c r="BT106" s="3">
        <f t="shared" si="212"/>
        <v>5.7142857142856941E-4</v>
      </c>
      <c r="BU106" s="3">
        <f t="shared" si="213"/>
        <v>2.057142857142857E-2</v>
      </c>
      <c r="BV106" s="3">
        <f t="shared" si="186"/>
        <v>1.2857142857142858E-4</v>
      </c>
      <c r="BW106" s="214">
        <f t="shared" si="187"/>
        <v>1.35E-2</v>
      </c>
      <c r="BX106" s="50">
        <f t="shared" si="214"/>
        <v>0.11764029493480087</v>
      </c>
      <c r="BY106" s="16">
        <f t="shared" si="188"/>
        <v>1.75E-3</v>
      </c>
      <c r="BZ106" s="49">
        <f t="shared" si="189"/>
        <v>1.4285714285714284E-2</v>
      </c>
      <c r="CA106" s="3">
        <f t="shared" si="190"/>
        <v>2E-3</v>
      </c>
      <c r="CB106" s="49">
        <f t="shared" si="191"/>
        <v>5.7142857142856941E-4</v>
      </c>
      <c r="CC106" s="49">
        <f t="shared" si="192"/>
        <v>0</v>
      </c>
      <c r="CD106" s="49">
        <f t="shared" si="193"/>
        <v>2.5714285714285715E-4</v>
      </c>
      <c r="CE106" s="3">
        <f t="shared" si="194"/>
        <v>0.01</v>
      </c>
      <c r="CF106" s="50">
        <f t="shared" si="215"/>
        <v>1.8022231169489821E-2</v>
      </c>
      <c r="CG106" s="3">
        <f t="shared" si="195"/>
        <v>1.9285714285714281E-2</v>
      </c>
      <c r="CH106" s="3">
        <f t="shared" si="196"/>
        <v>2.0874999999999999E-3</v>
      </c>
      <c r="CI106" s="3">
        <f t="shared" si="216"/>
        <v>5.7142857142856941E-4</v>
      </c>
      <c r="CJ106" s="3">
        <f t="shared" si="217"/>
        <v>0</v>
      </c>
      <c r="CK106" s="3">
        <f t="shared" si="197"/>
        <v>2.5714285714285715E-4</v>
      </c>
      <c r="CL106" s="214">
        <f t="shared" si="198"/>
        <v>1.35E-2</v>
      </c>
      <c r="CM106" s="50">
        <f t="shared" si="218"/>
        <v>2.410352466233847E-2</v>
      </c>
      <c r="CS106" s="24"/>
    </row>
    <row r="107" spans="16:97" ht="11.25" customHeight="1">
      <c r="P107" s="116">
        <f t="shared" si="219"/>
        <v>0.4</v>
      </c>
      <c r="Q107" s="135">
        <f t="shared" ref="Q107:Q138" si="220">IF(calcshunt="Yes",($P107*$C$32/1000),($P107*$J$19/1000))</f>
        <v>2E-3</v>
      </c>
      <c r="R107" s="49">
        <f t="shared" ref="R107:R138" si="221">IF(RTC="Yes",0,((VOS_1/1000000)/Q107))</f>
        <v>0.25</v>
      </c>
      <c r="S107" s="3">
        <f t="shared" ref="S107:S138" si="222">IF(R$8&lt;&gt;0,"ERROR",IF(RTC="Yes",0,GE_1))</f>
        <v>8.0000000000000002E-3</v>
      </c>
      <c r="T107" s="49">
        <f t="shared" ref="T107:T138" si="223">IF(RTC="Yes",0,(($T$7*ABS(Vsupply-$T$8))/Q107))</f>
        <v>1.9999999999999931E-3</v>
      </c>
      <c r="U107" s="49">
        <f t="shared" ref="U107:U138" si="224">IF(RTC="Yes",0,(($U$7*ABS(Vcm-$U$8))/Q107))</f>
        <v>0</v>
      </c>
      <c r="V107" s="49">
        <f t="shared" ref="V107:V138" si="225">IF(RTC="Yes",0,((ibias1/1000000)/$P107))</f>
        <v>2.0000000000000001E-4</v>
      </c>
      <c r="W107" s="3">
        <f t="shared" ref="W107:W138" si="226">IF(RTC="Yes",0,$J$20)</f>
        <v>0.01</v>
      </c>
      <c r="X107" s="50">
        <f t="shared" si="199"/>
        <v>0.25232526627351454</v>
      </c>
      <c r="Y107" s="3">
        <f t="shared" ref="Y107:Y138" si="227">R107+((VOSD1*0.000001*ABS(Desiredtemp-25)))/Q107</f>
        <v>0.26750000000000002</v>
      </c>
      <c r="Z107" s="3">
        <f t="shared" ref="Z107:Z138" si="228">S107+(GED_1/1000000*ABS(Desiredtemp-25))</f>
        <v>8.6999999999999994E-3</v>
      </c>
      <c r="AA107" s="3">
        <f t="shared" si="200"/>
        <v>1.9999999999999931E-3</v>
      </c>
      <c r="AB107" s="3">
        <f t="shared" si="201"/>
        <v>0</v>
      </c>
      <c r="AC107" s="3">
        <f t="shared" ref="AC107:AC138" si="229">(ibias1/1000000)/$P107</f>
        <v>2.0000000000000001E-4</v>
      </c>
      <c r="AD107" s="214">
        <f t="shared" ref="AD107:AD138" si="230">((resdrift/1000000)*ABS(Desiredtemp-25))+W107</f>
        <v>1.35E-2</v>
      </c>
      <c r="AE107" s="136">
        <f t="shared" si="202"/>
        <v>0.26997820282385765</v>
      </c>
      <c r="AF107" s="16">
        <f t="shared" ref="AF107:AF138" si="231">IF(calcshunt="Yes",($P107*$D$32/1000),($P107*$J$19/1000))</f>
        <v>2E-3</v>
      </c>
      <c r="AG107" s="49">
        <f t="shared" ref="AG107:AG138" si="232">IF(RTC="Yes",0,((VOS_2/1000000)/AF107))</f>
        <v>4.0000000000000001E-3</v>
      </c>
      <c r="AH107" s="3">
        <f t="shared" ref="AH107:AH138" si="233">IF(AG$8&lt;&gt;0,"ERROR",IF(RTC="Yes",0,GE_2))</f>
        <v>1.4999999999999999E-4</v>
      </c>
      <c r="AI107" s="49">
        <f t="shared" ref="AI107:AI138" si="234">IF(RTC="Yes",0,(($AI$7*ABS(Vsupply-$AI$8))/AF107))</f>
        <v>2.5059361681363517E-5</v>
      </c>
      <c r="AJ107" s="49">
        <f t="shared" ref="AJ107:AJ138" si="235">IF(RTC="Yes",0,(($AJ$7*ABS(Vcm-$AJ$8))/AF107))</f>
        <v>5.6920997883030651E-4</v>
      </c>
      <c r="AK107" s="49">
        <f t="shared" ref="AK107:AK138" si="236">IF(RTC="Yes",0,((ibias2/1000000)/$P107))</f>
        <v>1.125E-4</v>
      </c>
      <c r="AL107" s="3">
        <f t="shared" ref="AL107:AL138" si="237">IF(RTC="Yes",0,$J$20)</f>
        <v>0.01</v>
      </c>
      <c r="AM107" s="50">
        <f t="shared" si="203"/>
        <v>1.1006473868735869E-2</v>
      </c>
      <c r="AN107" s="3">
        <f t="shared" ref="AN107:AN138" si="238">AG107+((VOSD2*0.000001*ABS(Desiredtemp-25)))/AF107</f>
        <v>5.7499999999999999E-3</v>
      </c>
      <c r="AO107" s="3">
        <f t="shared" ref="AO107:AO138" si="239">AH107+(GED_2/1000000*ABS(Desiredtemp-25))</f>
        <v>2.1999999999999998E-4</v>
      </c>
      <c r="AP107" s="3">
        <f t="shared" si="204"/>
        <v>2.5059361681363517E-5</v>
      </c>
      <c r="AQ107" s="3">
        <f t="shared" si="205"/>
        <v>5.6920997883030651E-4</v>
      </c>
      <c r="AR107" s="3">
        <f t="shared" ref="AR107:AR138" si="240">(ibias2/1000000)/$P107</f>
        <v>1.125E-4</v>
      </c>
      <c r="AS107" s="214">
        <f t="shared" ref="AS107:AS138" si="241">((resdrift/1000000)*ABS(Desiredtemp-25))+AL107</f>
        <v>1.35E-2</v>
      </c>
      <c r="AT107" s="50">
        <f t="shared" si="206"/>
        <v>1.4918472097200717E-2</v>
      </c>
      <c r="AU107" s="16">
        <f t="shared" ref="AU107:AU138" si="242">IF(calcshunt="Yes",($P107*$E$32/1000),($P107*$J$19/1000))</f>
        <v>2E-3</v>
      </c>
      <c r="AV107" s="49">
        <f t="shared" ref="AV107:AV138" si="243">IF(RTC="Yes",0,((VOS_3/1000000)/AU107))</f>
        <v>7.4999999999999997E-2</v>
      </c>
      <c r="AW107" s="3">
        <f t="shared" ref="AW107:AW138" si="244">IF(AV$8&lt;&gt;0,"ERROR",IF(RTC="Yes",0,GE_3))</f>
        <v>8.0000000000000002E-3</v>
      </c>
      <c r="AX107" s="49">
        <f t="shared" ref="AX107:AX138" si="245">IF(RTC="Yes",0,(($AX$7*ABS(Vsupply-$AX$8))/AU107))</f>
        <v>1.9999999999999931E-3</v>
      </c>
      <c r="AY107" s="49">
        <f t="shared" ref="AY107:AY138" si="246">IF(RTC="Yes",0,(($AY$7*ABS(Vcm-$AY$8))/AU107))</f>
        <v>0.37857440668811571</v>
      </c>
      <c r="AZ107" s="49">
        <f t="shared" ref="AZ107:AZ138" si="247">IF(RTC="Yes",0,((ibias3/1000000)/$P107))</f>
        <v>2.0000000000000001E-4</v>
      </c>
      <c r="BA107" s="3">
        <f t="shared" ref="BA107:BA138" si="248">IF(RTC="Yes",0,$J$20)</f>
        <v>0.01</v>
      </c>
      <c r="BB107" s="50">
        <f t="shared" si="207"/>
        <v>0.45575440758069319</v>
      </c>
      <c r="BC107" s="3">
        <f t="shared" ref="BC107:BC138" si="249">AV107+((VOSD3*0.000001*ABS(Desiredtemp-25)))/AU107</f>
        <v>9.2499999999999999E-2</v>
      </c>
      <c r="BD107" s="3">
        <f t="shared" ref="BD107:BD138" si="250">AW107+(GED_3/1000000*ABS(Desiredtemp-25))</f>
        <v>8.6999999999999994E-3</v>
      </c>
      <c r="BE107" s="3">
        <f t="shared" si="208"/>
        <v>1.9999999999999931E-3</v>
      </c>
      <c r="BF107" s="3">
        <f t="shared" si="209"/>
        <v>0.37857440668811571</v>
      </c>
      <c r="BG107" s="3">
        <f t="shared" ref="BG107:BG138" si="251">(ibias3/1000000)/$P107</f>
        <v>2.0000000000000001E-4</v>
      </c>
      <c r="BH107" s="214">
        <f t="shared" ref="BH107:BH138" si="252">((resdrift/1000000)*ABS(Desiredtemp-25))+BA107</f>
        <v>1.35E-2</v>
      </c>
      <c r="BI107" s="50">
        <f t="shared" si="210"/>
        <v>0.47334699139564906</v>
      </c>
      <c r="BJ107" s="16">
        <f t="shared" ref="BJ107:BJ138" si="253">IF(calcshunt="Yes",($P107*$F$32/1000),($P107*$J$19/1000))</f>
        <v>2E-3</v>
      </c>
      <c r="BK107" s="49">
        <f t="shared" ref="BK107:BK138" si="254">IF(RTC="Yes",0,((VOS_4/1000000)/BJ107))</f>
        <v>7.4999999999999997E-2</v>
      </c>
      <c r="BL107" s="3">
        <f t="shared" ref="BL107:BL138" si="255">IF(BK$8&lt;&gt;0,"ERROR",IF(RTC="Yes",0,GE_4))</f>
        <v>1E-3</v>
      </c>
      <c r="BM107" s="49">
        <f t="shared" ref="BM107:BM138" si="256">IF(RTC="Yes",0,(($BM$7*ABS(Vsupply-$BM$8))/BJ107))</f>
        <v>4.9999999999999828E-4</v>
      </c>
      <c r="BN107" s="49">
        <f t="shared" ref="BN107:BN138" si="257">IF(RTC="Yes",0,(($BN$7*ABS(Vcm-$BN$8))/BJ107))</f>
        <v>1.7999999999999999E-2</v>
      </c>
      <c r="BO107" s="49">
        <f t="shared" ref="BO107:BO138" si="258">IF(RTC="Yes",0,((ibias4/1000000)/$P107))</f>
        <v>1.125E-4</v>
      </c>
      <c r="BP107" s="3">
        <f t="shared" ref="BP107:BP138" si="259">IF(RTC="Yes",0,$J$20)</f>
        <v>0.01</v>
      </c>
      <c r="BQ107" s="50">
        <f t="shared" si="211"/>
        <v>9.4038623215410788E-2</v>
      </c>
      <c r="BR107" s="3">
        <f t="shared" ref="BR107:BR138" si="260">BK107+((VOSD4*0.000001*ABS(Desiredtemp-25)))/BJ107</f>
        <v>8.3749999999999991E-2</v>
      </c>
      <c r="BS107" s="3">
        <f t="shared" ref="BS107:BS138" si="261">BL107+(GED_4/1000000*ABS(Desiredtemp-25))</f>
        <v>1.175E-3</v>
      </c>
      <c r="BT107" s="3">
        <f t="shared" si="212"/>
        <v>4.9999999999999828E-4</v>
      </c>
      <c r="BU107" s="3">
        <f t="shared" si="213"/>
        <v>1.7999999999999999E-2</v>
      </c>
      <c r="BV107" s="3">
        <f t="shared" ref="BV107:BV138" si="262">(ibias4/1000000)/$P107</f>
        <v>1.125E-4</v>
      </c>
      <c r="BW107" s="214">
        <f t="shared" ref="BW107:BW138" si="263">((resdrift/1000000)*ABS(Desiredtemp-25))+BP107</f>
        <v>1.35E-2</v>
      </c>
      <c r="BX107" s="50">
        <f t="shared" si="214"/>
        <v>0.10314410201872912</v>
      </c>
      <c r="BY107" s="16">
        <f t="shared" ref="BY107:BY138" si="264">IF(calcshunt="Yes",($P107*$G$32/1000),($P107*$J$19/1000))</f>
        <v>2E-3</v>
      </c>
      <c r="BZ107" s="49">
        <f t="shared" ref="BZ107:BZ138" si="265">IF(RTC="Yes",0,((VOS_5/1000000)/BY107))</f>
        <v>1.2499999999999999E-2</v>
      </c>
      <c r="CA107" s="3">
        <f t="shared" ref="CA107:CA138" si="266">IF(BZ$8&lt;&gt;0,"ERROR",IF(RTC="Yes",0,GE_5))</f>
        <v>2E-3</v>
      </c>
      <c r="CB107" s="49">
        <f t="shared" ref="CB107:CB138" si="267">IF(RTC="Yes",0,(($CB$7*ABS(Vsupply-$CB$8))/BY107))</f>
        <v>4.9999999999999828E-4</v>
      </c>
      <c r="CC107" s="49">
        <f t="shared" ref="CC107:CC138" si="268">IF(RTC="Yes",0,(($CC$7*ABS(Vcm-$CC$8))/BY107))</f>
        <v>0</v>
      </c>
      <c r="CD107" s="49">
        <f t="shared" ref="CD107:CD138" si="269">IF(RTC="Yes",0,((ibias5/1000000)/$P107))</f>
        <v>2.2499999999999999E-4</v>
      </c>
      <c r="CE107" s="3">
        <f t="shared" ref="CE107:CE138" si="270">IF(RTC="Yes",0,$J$20)</f>
        <v>0.01</v>
      </c>
      <c r="CF107" s="50">
        <f t="shared" si="215"/>
        <v>1.6524243553034432E-2</v>
      </c>
      <c r="CG107" s="3">
        <f t="shared" ref="CG107:CG138" si="271">BZ107+((VOSD5*0.000001*ABS(Desiredtemp-25)))/BY107</f>
        <v>1.6874999999999998E-2</v>
      </c>
      <c r="CH107" s="3">
        <f t="shared" ref="CH107:CH138" si="272">CA107+(GED_5/1000000*ABS(Desiredtemp-25))</f>
        <v>2.0874999999999999E-3</v>
      </c>
      <c r="CI107" s="3">
        <f t="shared" si="216"/>
        <v>4.9999999999999828E-4</v>
      </c>
      <c r="CJ107" s="3">
        <f t="shared" si="217"/>
        <v>0</v>
      </c>
      <c r="CK107" s="3">
        <f t="shared" ref="CK107:CK138" si="273">(ibias5/1000000)/$P107</f>
        <v>2.2499999999999999E-4</v>
      </c>
      <c r="CL107" s="214">
        <f t="shared" ref="CL107:CL138" si="274">((resdrift/1000000)*ABS(Desiredtemp-25))+CE107</f>
        <v>1.35E-2</v>
      </c>
      <c r="CM107" s="50">
        <f t="shared" si="218"/>
        <v>2.2103142451922981E-2</v>
      </c>
      <c r="CS107" s="24"/>
    </row>
    <row r="108" spans="16:97" ht="11.25" customHeight="1">
      <c r="P108" s="116">
        <f t="shared" si="219"/>
        <v>0.45000000000000007</v>
      </c>
      <c r="Q108" s="135">
        <f t="shared" si="220"/>
        <v>2.2500000000000003E-3</v>
      </c>
      <c r="R108" s="49">
        <f t="shared" si="221"/>
        <v>0.22222222222222221</v>
      </c>
      <c r="S108" s="3">
        <f t="shared" si="222"/>
        <v>8.0000000000000002E-3</v>
      </c>
      <c r="T108" s="49">
        <f t="shared" si="223"/>
        <v>1.7777777777777714E-3</v>
      </c>
      <c r="U108" s="49">
        <f t="shared" si="224"/>
        <v>0</v>
      </c>
      <c r="V108" s="49">
        <f t="shared" si="225"/>
        <v>1.7777777777777776E-4</v>
      </c>
      <c r="W108" s="3">
        <f t="shared" si="226"/>
        <v>0.01</v>
      </c>
      <c r="X108" s="50">
        <f t="shared" si="199"/>
        <v>0.22436584322248845</v>
      </c>
      <c r="Y108" s="3">
        <f t="shared" si="227"/>
        <v>0.23777777777777775</v>
      </c>
      <c r="Z108" s="3">
        <f t="shared" si="228"/>
        <v>8.6999999999999994E-3</v>
      </c>
      <c r="AA108" s="3">
        <f t="shared" si="200"/>
        <v>1.7777777777777714E-3</v>
      </c>
      <c r="AB108" s="3">
        <f t="shared" si="201"/>
        <v>0</v>
      </c>
      <c r="AC108" s="3">
        <f t="shared" si="229"/>
        <v>1.7777777777777776E-4</v>
      </c>
      <c r="AD108" s="214">
        <f t="shared" si="230"/>
        <v>1.35E-2</v>
      </c>
      <c r="AE108" s="136">
        <f t="shared" si="202"/>
        <v>0.2400933897517154</v>
      </c>
      <c r="AF108" s="16">
        <f t="shared" si="231"/>
        <v>2.2500000000000003E-3</v>
      </c>
      <c r="AG108" s="49">
        <f t="shared" si="232"/>
        <v>3.5555555555555549E-3</v>
      </c>
      <c r="AH108" s="3">
        <f t="shared" si="233"/>
        <v>1.4999999999999999E-4</v>
      </c>
      <c r="AI108" s="49">
        <f t="shared" si="234"/>
        <v>2.2274988161212013E-5</v>
      </c>
      <c r="AJ108" s="49">
        <f t="shared" si="235"/>
        <v>5.059644256269391E-4</v>
      </c>
      <c r="AK108" s="49">
        <f t="shared" si="236"/>
        <v>9.9999999999999991E-5</v>
      </c>
      <c r="AL108" s="3">
        <f t="shared" si="237"/>
        <v>0.01</v>
      </c>
      <c r="AM108" s="50">
        <f t="shared" si="203"/>
        <v>1.0803234763330701E-2</v>
      </c>
      <c r="AN108" s="3">
        <f t="shared" si="238"/>
        <v>5.1111111111111097E-3</v>
      </c>
      <c r="AO108" s="3">
        <f t="shared" si="239"/>
        <v>2.1999999999999998E-4</v>
      </c>
      <c r="AP108" s="3">
        <f t="shared" si="204"/>
        <v>2.2274988161212013E-5</v>
      </c>
      <c r="AQ108" s="3">
        <f t="shared" si="205"/>
        <v>5.059644256269391E-4</v>
      </c>
      <c r="AR108" s="3">
        <f t="shared" si="240"/>
        <v>9.9999999999999991E-5</v>
      </c>
      <c r="AS108" s="214">
        <f t="shared" si="241"/>
        <v>1.35E-2</v>
      </c>
      <c r="AT108" s="50">
        <f t="shared" si="206"/>
        <v>1.4632521120527438E-2</v>
      </c>
      <c r="AU108" s="16">
        <f t="shared" si="242"/>
        <v>2.2500000000000003E-3</v>
      </c>
      <c r="AV108" s="49">
        <f t="shared" si="243"/>
        <v>6.6666666666666652E-2</v>
      </c>
      <c r="AW108" s="3">
        <f t="shared" si="244"/>
        <v>8.0000000000000002E-3</v>
      </c>
      <c r="AX108" s="49">
        <f t="shared" si="245"/>
        <v>1.7777777777777714E-3</v>
      </c>
      <c r="AY108" s="49">
        <f t="shared" si="246"/>
        <v>0.33651058372276949</v>
      </c>
      <c r="AZ108" s="49">
        <f t="shared" si="247"/>
        <v>1.7777777777777776E-4</v>
      </c>
      <c r="BA108" s="3">
        <f t="shared" si="248"/>
        <v>0.01</v>
      </c>
      <c r="BB108" s="50">
        <f t="shared" si="207"/>
        <v>0.40515750819014484</v>
      </c>
      <c r="BC108" s="3">
        <f t="shared" si="249"/>
        <v>8.2222222222222197E-2</v>
      </c>
      <c r="BD108" s="3">
        <f t="shared" si="250"/>
        <v>8.6999999999999994E-3</v>
      </c>
      <c r="BE108" s="3">
        <f t="shared" si="208"/>
        <v>1.7777777777777714E-3</v>
      </c>
      <c r="BF108" s="3">
        <f t="shared" si="209"/>
        <v>0.33651058372276949</v>
      </c>
      <c r="BG108" s="3">
        <f t="shared" si="251"/>
        <v>1.7777777777777776E-4</v>
      </c>
      <c r="BH108" s="214">
        <f t="shared" si="252"/>
        <v>1.35E-2</v>
      </c>
      <c r="BI108" s="50">
        <f t="shared" si="210"/>
        <v>0.42081720809373108</v>
      </c>
      <c r="BJ108" s="16">
        <f t="shared" si="253"/>
        <v>2.2500000000000003E-3</v>
      </c>
      <c r="BK108" s="49">
        <f t="shared" si="254"/>
        <v>6.6666666666666652E-2</v>
      </c>
      <c r="BL108" s="3">
        <f t="shared" si="255"/>
        <v>1E-3</v>
      </c>
      <c r="BM108" s="49">
        <f t="shared" si="256"/>
        <v>4.4444444444444284E-4</v>
      </c>
      <c r="BN108" s="49">
        <f t="shared" si="257"/>
        <v>1.5999999999999997E-2</v>
      </c>
      <c r="BO108" s="49">
        <f t="shared" si="258"/>
        <v>9.9999999999999991E-5</v>
      </c>
      <c r="BP108" s="3">
        <f t="shared" si="259"/>
        <v>0.01</v>
      </c>
      <c r="BQ108" s="50">
        <f t="shared" si="211"/>
        <v>8.371658611125668E-2</v>
      </c>
      <c r="BR108" s="3">
        <f t="shared" si="260"/>
        <v>7.4444444444444424E-2</v>
      </c>
      <c r="BS108" s="3">
        <f t="shared" si="261"/>
        <v>1.175E-3</v>
      </c>
      <c r="BT108" s="3">
        <f t="shared" si="212"/>
        <v>4.4444444444444284E-4</v>
      </c>
      <c r="BU108" s="3">
        <f t="shared" si="213"/>
        <v>1.5999999999999997E-2</v>
      </c>
      <c r="BV108" s="3">
        <f t="shared" si="262"/>
        <v>9.9999999999999991E-5</v>
      </c>
      <c r="BW108" s="214">
        <f t="shared" si="263"/>
        <v>1.35E-2</v>
      </c>
      <c r="BX108" s="50">
        <f t="shared" si="214"/>
        <v>9.189358382638467E-2</v>
      </c>
      <c r="BY108" s="16">
        <f t="shared" si="264"/>
        <v>2.2500000000000003E-3</v>
      </c>
      <c r="BZ108" s="49">
        <f t="shared" si="265"/>
        <v>1.1111111111111108E-2</v>
      </c>
      <c r="CA108" s="3">
        <f t="shared" si="266"/>
        <v>2E-3</v>
      </c>
      <c r="CB108" s="49">
        <f t="shared" si="267"/>
        <v>4.4444444444444284E-4</v>
      </c>
      <c r="CC108" s="49">
        <f t="shared" si="268"/>
        <v>0</v>
      </c>
      <c r="CD108" s="49">
        <f t="shared" si="269"/>
        <v>1.9999999999999998E-4</v>
      </c>
      <c r="CE108" s="3">
        <f t="shared" si="270"/>
        <v>0.01</v>
      </c>
      <c r="CF108" s="50">
        <f t="shared" si="215"/>
        <v>1.5413333974112504E-2</v>
      </c>
      <c r="CG108" s="3">
        <f t="shared" si="271"/>
        <v>1.4999999999999996E-2</v>
      </c>
      <c r="CH108" s="3">
        <f t="shared" si="272"/>
        <v>2.0874999999999999E-3</v>
      </c>
      <c r="CI108" s="3">
        <f t="shared" si="216"/>
        <v>4.4444444444444284E-4</v>
      </c>
      <c r="CJ108" s="3">
        <f t="shared" si="217"/>
        <v>0</v>
      </c>
      <c r="CK108" s="3">
        <f t="shared" si="273"/>
        <v>1.9999999999999998E-4</v>
      </c>
      <c r="CL108" s="214">
        <f t="shared" si="274"/>
        <v>1.35E-2</v>
      </c>
      <c r="CM108" s="50">
        <f t="shared" si="218"/>
        <v>2.0619857430339589E-2</v>
      </c>
      <c r="CS108" s="24"/>
    </row>
    <row r="109" spans="16:97" ht="11.25" customHeight="1">
      <c r="P109" s="116">
        <f t="shared" si="219"/>
        <v>0.5</v>
      </c>
      <c r="Q109" s="135">
        <f t="shared" si="220"/>
        <v>2.5000000000000001E-3</v>
      </c>
      <c r="R109" s="49">
        <f t="shared" si="221"/>
        <v>0.2</v>
      </c>
      <c r="S109" s="3">
        <f t="shared" si="222"/>
        <v>8.0000000000000002E-3</v>
      </c>
      <c r="T109" s="49">
        <f t="shared" si="223"/>
        <v>1.5999999999999944E-3</v>
      </c>
      <c r="U109" s="49">
        <f t="shared" si="224"/>
        <v>0</v>
      </c>
      <c r="V109" s="49">
        <f t="shared" si="225"/>
        <v>1.6000000000000001E-4</v>
      </c>
      <c r="W109" s="3">
        <f t="shared" si="226"/>
        <v>0.01</v>
      </c>
      <c r="X109" s="50">
        <f t="shared" si="199"/>
        <v>0.2020063998986171</v>
      </c>
      <c r="Y109" s="3">
        <f t="shared" si="227"/>
        <v>0.21400000000000002</v>
      </c>
      <c r="Z109" s="3">
        <f t="shared" si="228"/>
        <v>8.6999999999999994E-3</v>
      </c>
      <c r="AA109" s="3">
        <f t="shared" si="200"/>
        <v>1.5999999999999944E-3</v>
      </c>
      <c r="AB109" s="3">
        <f t="shared" si="201"/>
        <v>0</v>
      </c>
      <c r="AC109" s="3">
        <f t="shared" si="229"/>
        <v>1.6000000000000001E-4</v>
      </c>
      <c r="AD109" s="214">
        <f t="shared" si="230"/>
        <v>1.35E-2</v>
      </c>
      <c r="AE109" s="136">
        <f t="shared" si="202"/>
        <v>0.2161974227413454</v>
      </c>
      <c r="AF109" s="16">
        <f t="shared" si="231"/>
        <v>2.5000000000000001E-3</v>
      </c>
      <c r="AG109" s="49">
        <f t="shared" si="232"/>
        <v>3.1999999999999997E-3</v>
      </c>
      <c r="AH109" s="3">
        <f t="shared" si="233"/>
        <v>1.4999999999999999E-4</v>
      </c>
      <c r="AI109" s="49">
        <f t="shared" si="234"/>
        <v>2.0047489345090815E-5</v>
      </c>
      <c r="AJ109" s="49">
        <f t="shared" si="235"/>
        <v>4.5536798306424522E-4</v>
      </c>
      <c r="AK109" s="49">
        <f t="shared" si="236"/>
        <v>9.0000000000000006E-5</v>
      </c>
      <c r="AL109" s="3">
        <f t="shared" si="237"/>
        <v>0.01</v>
      </c>
      <c r="AM109" s="50">
        <f t="shared" si="203"/>
        <v>1.0655481166743525E-2</v>
      </c>
      <c r="AN109" s="3">
        <f t="shared" si="238"/>
        <v>4.5999999999999999E-3</v>
      </c>
      <c r="AO109" s="3">
        <f t="shared" si="239"/>
        <v>2.1999999999999998E-4</v>
      </c>
      <c r="AP109" s="3">
        <f t="shared" si="204"/>
        <v>2.0047489345090815E-5</v>
      </c>
      <c r="AQ109" s="3">
        <f t="shared" si="205"/>
        <v>4.5536798306424522E-4</v>
      </c>
      <c r="AR109" s="3">
        <f t="shared" si="240"/>
        <v>9.0000000000000006E-5</v>
      </c>
      <c r="AS109" s="214">
        <f t="shared" si="241"/>
        <v>1.35E-2</v>
      </c>
      <c r="AT109" s="50">
        <f t="shared" si="206"/>
        <v>1.4424504921056115E-2</v>
      </c>
      <c r="AU109" s="16">
        <f t="shared" si="242"/>
        <v>2.5000000000000001E-3</v>
      </c>
      <c r="AV109" s="49">
        <f t="shared" si="243"/>
        <v>5.9999999999999991E-2</v>
      </c>
      <c r="AW109" s="3">
        <f t="shared" si="244"/>
        <v>8.0000000000000002E-3</v>
      </c>
      <c r="AX109" s="49">
        <f t="shared" si="245"/>
        <v>1.5999999999999944E-3</v>
      </c>
      <c r="AY109" s="49">
        <f t="shared" si="246"/>
        <v>0.30285952535049254</v>
      </c>
      <c r="AZ109" s="49">
        <f t="shared" si="247"/>
        <v>1.6000000000000001E-4</v>
      </c>
      <c r="BA109" s="3">
        <f t="shared" si="248"/>
        <v>0.01</v>
      </c>
      <c r="BB109" s="50">
        <f t="shared" si="207"/>
        <v>0.36468448173552204</v>
      </c>
      <c r="BC109" s="3">
        <f t="shared" si="249"/>
        <v>7.3999999999999982E-2</v>
      </c>
      <c r="BD109" s="3">
        <f t="shared" si="250"/>
        <v>8.6999999999999994E-3</v>
      </c>
      <c r="BE109" s="3">
        <f t="shared" si="208"/>
        <v>1.5999999999999944E-3</v>
      </c>
      <c r="BF109" s="3">
        <f t="shared" si="209"/>
        <v>0.30285952535049254</v>
      </c>
      <c r="BG109" s="3">
        <f t="shared" si="251"/>
        <v>1.6000000000000001E-4</v>
      </c>
      <c r="BH109" s="214">
        <f t="shared" si="252"/>
        <v>1.35E-2</v>
      </c>
      <c r="BI109" s="50">
        <f t="shared" si="210"/>
        <v>0.37880018205977689</v>
      </c>
      <c r="BJ109" s="16">
        <f t="shared" si="253"/>
        <v>2.5000000000000001E-3</v>
      </c>
      <c r="BK109" s="49">
        <f t="shared" si="254"/>
        <v>5.9999999999999991E-2</v>
      </c>
      <c r="BL109" s="3">
        <f t="shared" si="255"/>
        <v>1E-3</v>
      </c>
      <c r="BM109" s="49">
        <f t="shared" si="256"/>
        <v>3.9999999999999861E-4</v>
      </c>
      <c r="BN109" s="49">
        <f t="shared" si="257"/>
        <v>1.44E-2</v>
      </c>
      <c r="BO109" s="49">
        <f t="shared" si="258"/>
        <v>9.0000000000000006E-5</v>
      </c>
      <c r="BP109" s="3">
        <f t="shared" si="259"/>
        <v>0.01</v>
      </c>
      <c r="BQ109" s="50">
        <f t="shared" si="211"/>
        <v>7.5472167717642771E-2</v>
      </c>
      <c r="BR109" s="3">
        <f t="shared" si="260"/>
        <v>6.699999999999999E-2</v>
      </c>
      <c r="BS109" s="3">
        <f t="shared" si="261"/>
        <v>1.175E-3</v>
      </c>
      <c r="BT109" s="3">
        <f t="shared" si="212"/>
        <v>3.9999999999999861E-4</v>
      </c>
      <c r="BU109" s="3">
        <f t="shared" si="213"/>
        <v>1.44E-2</v>
      </c>
      <c r="BV109" s="3">
        <f t="shared" si="262"/>
        <v>9.0000000000000006E-5</v>
      </c>
      <c r="BW109" s="214">
        <f t="shared" si="263"/>
        <v>1.35E-2</v>
      </c>
      <c r="BX109" s="50">
        <f t="shared" si="214"/>
        <v>8.2914888439893572E-2</v>
      </c>
      <c r="BY109" s="16">
        <f t="shared" si="264"/>
        <v>2.5000000000000001E-3</v>
      </c>
      <c r="BZ109" s="49">
        <f t="shared" si="265"/>
        <v>9.9999999999999985E-3</v>
      </c>
      <c r="CA109" s="3">
        <f t="shared" si="266"/>
        <v>2E-3</v>
      </c>
      <c r="CB109" s="49">
        <f t="shared" si="267"/>
        <v>3.9999999999999861E-4</v>
      </c>
      <c r="CC109" s="49">
        <f t="shared" si="268"/>
        <v>0</v>
      </c>
      <c r="CD109" s="49">
        <f t="shared" si="269"/>
        <v>1.8000000000000001E-4</v>
      </c>
      <c r="CE109" s="3">
        <f t="shared" si="270"/>
        <v>0.01</v>
      </c>
      <c r="CF109" s="50">
        <f t="shared" si="215"/>
        <v>1.4566825323315989E-2</v>
      </c>
      <c r="CG109" s="3">
        <f t="shared" si="271"/>
        <v>1.3499999999999998E-2</v>
      </c>
      <c r="CH109" s="3">
        <f t="shared" si="272"/>
        <v>2.0874999999999999E-3</v>
      </c>
      <c r="CI109" s="3">
        <f t="shared" si="216"/>
        <v>3.9999999999999861E-4</v>
      </c>
      <c r="CJ109" s="3">
        <f t="shared" si="217"/>
        <v>0</v>
      </c>
      <c r="CK109" s="3">
        <f t="shared" si="273"/>
        <v>1.8000000000000001E-4</v>
      </c>
      <c r="CL109" s="214">
        <f t="shared" si="274"/>
        <v>1.35E-2</v>
      </c>
      <c r="CM109" s="50">
        <f t="shared" si="218"/>
        <v>1.9489742334110011E-2</v>
      </c>
      <c r="CS109" s="24"/>
    </row>
    <row r="110" spans="16:97" ht="11.25" customHeight="1">
      <c r="P110" s="116">
        <f t="shared" si="219"/>
        <v>0.54999999999999993</v>
      </c>
      <c r="Q110" s="135">
        <f t="shared" si="220"/>
        <v>2.7499999999999994E-3</v>
      </c>
      <c r="R110" s="49">
        <f t="shared" si="221"/>
        <v>0.18181818181818185</v>
      </c>
      <c r="S110" s="3">
        <f t="shared" si="222"/>
        <v>8.0000000000000002E-3</v>
      </c>
      <c r="T110" s="49">
        <f t="shared" si="223"/>
        <v>1.4545454545454499E-3</v>
      </c>
      <c r="U110" s="49">
        <f t="shared" si="224"/>
        <v>0</v>
      </c>
      <c r="V110" s="49">
        <f t="shared" si="225"/>
        <v>1.4545454545454548E-4</v>
      </c>
      <c r="W110" s="3">
        <f t="shared" si="226"/>
        <v>0.01</v>
      </c>
      <c r="X110" s="50">
        <f t="shared" si="199"/>
        <v>0.18371966067628223</v>
      </c>
      <c r="Y110" s="3">
        <f t="shared" si="227"/>
        <v>0.19454545454545458</v>
      </c>
      <c r="Z110" s="3">
        <f t="shared" si="228"/>
        <v>8.6999999999999994E-3</v>
      </c>
      <c r="AA110" s="3">
        <f t="shared" si="200"/>
        <v>1.4545454545454499E-3</v>
      </c>
      <c r="AB110" s="3">
        <f t="shared" si="201"/>
        <v>0</v>
      </c>
      <c r="AC110" s="3">
        <f t="shared" si="229"/>
        <v>1.4545454545454548E-4</v>
      </c>
      <c r="AD110" s="214">
        <f t="shared" si="230"/>
        <v>1.35E-2</v>
      </c>
      <c r="AE110" s="136">
        <f t="shared" si="202"/>
        <v>0.19665696315418077</v>
      </c>
      <c r="AF110" s="16">
        <f t="shared" si="231"/>
        <v>2.7499999999999994E-3</v>
      </c>
      <c r="AG110" s="49">
        <f t="shared" si="232"/>
        <v>2.9090909090909098E-3</v>
      </c>
      <c r="AH110" s="3">
        <f t="shared" si="233"/>
        <v>1.4999999999999999E-4</v>
      </c>
      <c r="AI110" s="49">
        <f t="shared" si="234"/>
        <v>1.8224990313718928E-5</v>
      </c>
      <c r="AJ110" s="49">
        <f t="shared" si="235"/>
        <v>4.1397089369476852E-4</v>
      </c>
      <c r="AK110" s="49">
        <f t="shared" si="236"/>
        <v>8.1818181818181829E-5</v>
      </c>
      <c r="AL110" s="3">
        <f t="shared" si="237"/>
        <v>0.01</v>
      </c>
      <c r="AM110" s="50">
        <f t="shared" si="203"/>
        <v>1.0544827720196119E-2</v>
      </c>
      <c r="AN110" s="3">
        <f t="shared" si="238"/>
        <v>4.1818181818181824E-3</v>
      </c>
      <c r="AO110" s="3">
        <f t="shared" si="239"/>
        <v>2.1999999999999998E-4</v>
      </c>
      <c r="AP110" s="3">
        <f t="shared" si="204"/>
        <v>1.8224990313718928E-5</v>
      </c>
      <c r="AQ110" s="3">
        <f t="shared" si="205"/>
        <v>4.1397089369476852E-4</v>
      </c>
      <c r="AR110" s="3">
        <f t="shared" si="240"/>
        <v>8.1818181818181829E-5</v>
      </c>
      <c r="AS110" s="214">
        <f t="shared" si="241"/>
        <v>1.35E-2</v>
      </c>
      <c r="AT110" s="50">
        <f t="shared" si="206"/>
        <v>1.426864464532362E-2</v>
      </c>
      <c r="AU110" s="16">
        <f t="shared" si="242"/>
        <v>2.7499999999999994E-3</v>
      </c>
      <c r="AV110" s="49">
        <f t="shared" si="243"/>
        <v>5.454545454545455E-2</v>
      </c>
      <c r="AW110" s="3">
        <f t="shared" si="244"/>
        <v>8.0000000000000002E-3</v>
      </c>
      <c r="AX110" s="49">
        <f t="shared" si="245"/>
        <v>1.4545454545454499E-3</v>
      </c>
      <c r="AY110" s="49">
        <f t="shared" si="246"/>
        <v>0.27532684122772055</v>
      </c>
      <c r="AZ110" s="49">
        <f t="shared" si="247"/>
        <v>1.4545454545454548E-4</v>
      </c>
      <c r="BA110" s="3">
        <f t="shared" si="248"/>
        <v>0.01</v>
      </c>
      <c r="BB110" s="50">
        <f t="shared" si="207"/>
        <v>0.33157427052617328</v>
      </c>
      <c r="BC110" s="3">
        <f t="shared" si="249"/>
        <v>6.7272727272727276E-2</v>
      </c>
      <c r="BD110" s="3">
        <f t="shared" si="250"/>
        <v>8.6999999999999994E-3</v>
      </c>
      <c r="BE110" s="3">
        <f t="shared" si="208"/>
        <v>1.4545454545454499E-3</v>
      </c>
      <c r="BF110" s="3">
        <f t="shared" si="209"/>
        <v>0.27532684122772055</v>
      </c>
      <c r="BG110" s="3">
        <f t="shared" si="251"/>
        <v>1.4545454545454548E-4</v>
      </c>
      <c r="BH110" s="214">
        <f t="shared" si="252"/>
        <v>1.35E-2</v>
      </c>
      <c r="BI110" s="50">
        <f t="shared" si="210"/>
        <v>0.34442879450821223</v>
      </c>
      <c r="BJ110" s="16">
        <f t="shared" si="253"/>
        <v>2.7499999999999994E-3</v>
      </c>
      <c r="BK110" s="49">
        <f t="shared" si="254"/>
        <v>5.454545454545455E-2</v>
      </c>
      <c r="BL110" s="3">
        <f t="shared" si="255"/>
        <v>1E-3</v>
      </c>
      <c r="BM110" s="49">
        <f t="shared" si="256"/>
        <v>3.6363636363636248E-4</v>
      </c>
      <c r="BN110" s="49">
        <f t="shared" si="257"/>
        <v>1.3090909090909094E-2</v>
      </c>
      <c r="BO110" s="49">
        <f t="shared" si="258"/>
        <v>8.1818181818181829E-5</v>
      </c>
      <c r="BP110" s="3">
        <f t="shared" si="259"/>
        <v>0.01</v>
      </c>
      <c r="BQ110" s="50">
        <f t="shared" si="211"/>
        <v>6.8738684117568588E-2</v>
      </c>
      <c r="BR110" s="3">
        <f t="shared" si="260"/>
        <v>6.0909090909090913E-2</v>
      </c>
      <c r="BS110" s="3">
        <f t="shared" si="261"/>
        <v>1.175E-3</v>
      </c>
      <c r="BT110" s="3">
        <f t="shared" si="212"/>
        <v>3.6363636363636248E-4</v>
      </c>
      <c r="BU110" s="3">
        <f t="shared" si="213"/>
        <v>1.3090909090909094E-2</v>
      </c>
      <c r="BV110" s="3">
        <f t="shared" si="262"/>
        <v>8.1818181818181829E-5</v>
      </c>
      <c r="BW110" s="214">
        <f t="shared" si="263"/>
        <v>1.35E-2</v>
      </c>
      <c r="BX110" s="50">
        <f t="shared" si="214"/>
        <v>7.5588277744885926E-2</v>
      </c>
      <c r="BY110" s="16">
        <f t="shared" si="264"/>
        <v>2.7499999999999994E-3</v>
      </c>
      <c r="BZ110" s="49">
        <f t="shared" si="265"/>
        <v>9.0909090909090922E-3</v>
      </c>
      <c r="CA110" s="3">
        <f t="shared" si="266"/>
        <v>2E-3</v>
      </c>
      <c r="CB110" s="49">
        <f t="shared" si="267"/>
        <v>3.6363636363636248E-4</v>
      </c>
      <c r="CC110" s="49">
        <f t="shared" si="268"/>
        <v>0</v>
      </c>
      <c r="CD110" s="49">
        <f t="shared" si="269"/>
        <v>1.6363636363636366E-4</v>
      </c>
      <c r="CE110" s="3">
        <f t="shared" si="270"/>
        <v>0.01</v>
      </c>
      <c r="CF110" s="50">
        <f t="shared" si="215"/>
        <v>1.3907379573865461E-2</v>
      </c>
      <c r="CG110" s="3">
        <f t="shared" si="271"/>
        <v>1.2272727272727275E-2</v>
      </c>
      <c r="CH110" s="3">
        <f t="shared" si="272"/>
        <v>2.0874999999999999E-3</v>
      </c>
      <c r="CI110" s="3">
        <f t="shared" si="216"/>
        <v>3.6363636363636248E-4</v>
      </c>
      <c r="CJ110" s="3">
        <f t="shared" si="217"/>
        <v>0</v>
      </c>
      <c r="CK110" s="3">
        <f t="shared" si="273"/>
        <v>1.6363636363636366E-4</v>
      </c>
      <c r="CL110" s="214">
        <f t="shared" si="274"/>
        <v>1.35E-2</v>
      </c>
      <c r="CM110" s="50">
        <f t="shared" si="218"/>
        <v>1.8609463158831784E-2</v>
      </c>
      <c r="CS110" s="24"/>
    </row>
    <row r="111" spans="16:97" ht="11.25" customHeight="1">
      <c r="P111" s="116">
        <f t="shared" si="219"/>
        <v>0.6</v>
      </c>
      <c r="Q111" s="135">
        <f t="shared" si="220"/>
        <v>3.0000000000000001E-3</v>
      </c>
      <c r="R111" s="49">
        <f t="shared" si="221"/>
        <v>0.16666666666666666</v>
      </c>
      <c r="S111" s="3">
        <f t="shared" si="222"/>
        <v>8.0000000000000002E-3</v>
      </c>
      <c r="T111" s="49">
        <f t="shared" si="223"/>
        <v>1.3333333333333287E-3</v>
      </c>
      <c r="U111" s="49">
        <f t="shared" si="224"/>
        <v>0</v>
      </c>
      <c r="V111" s="49">
        <f t="shared" si="225"/>
        <v>1.3333333333333334E-4</v>
      </c>
      <c r="W111" s="3">
        <f t="shared" si="226"/>
        <v>0.01</v>
      </c>
      <c r="X111" s="50">
        <f t="shared" si="199"/>
        <v>0.16848744100904903</v>
      </c>
      <c r="Y111" s="3">
        <f t="shared" si="227"/>
        <v>0.17833333333333332</v>
      </c>
      <c r="Z111" s="3">
        <f t="shared" si="228"/>
        <v>8.6999999999999994E-3</v>
      </c>
      <c r="AA111" s="3">
        <f t="shared" si="200"/>
        <v>1.3333333333333287E-3</v>
      </c>
      <c r="AB111" s="3">
        <f t="shared" si="201"/>
        <v>0</v>
      </c>
      <c r="AC111" s="3">
        <f t="shared" si="229"/>
        <v>1.3333333333333334E-4</v>
      </c>
      <c r="AD111" s="214">
        <f t="shared" si="230"/>
        <v>1.35E-2</v>
      </c>
      <c r="AE111" s="136">
        <f t="shared" si="202"/>
        <v>0.18038311697298304</v>
      </c>
      <c r="AF111" s="16">
        <f t="shared" si="231"/>
        <v>3.0000000000000001E-3</v>
      </c>
      <c r="AG111" s="49">
        <f t="shared" si="232"/>
        <v>2.6666666666666666E-3</v>
      </c>
      <c r="AH111" s="3">
        <f t="shared" si="233"/>
        <v>1.4999999999999999E-4</v>
      </c>
      <c r="AI111" s="49">
        <f t="shared" si="234"/>
        <v>1.6706241120909012E-5</v>
      </c>
      <c r="AJ111" s="49">
        <f t="shared" si="235"/>
        <v>3.7947331922020438E-4</v>
      </c>
      <c r="AK111" s="49">
        <f t="shared" si="236"/>
        <v>7.5000000000000007E-5</v>
      </c>
      <c r="AL111" s="3">
        <f t="shared" si="237"/>
        <v>0.01</v>
      </c>
      <c r="AM111" s="50">
        <f t="shared" si="203"/>
        <v>1.0459882982629193E-2</v>
      </c>
      <c r="AN111" s="3">
        <f t="shared" si="238"/>
        <v>3.8333333333333331E-3</v>
      </c>
      <c r="AO111" s="3">
        <f t="shared" si="239"/>
        <v>2.1999999999999998E-4</v>
      </c>
      <c r="AP111" s="3">
        <f t="shared" si="204"/>
        <v>1.6706241120909012E-5</v>
      </c>
      <c r="AQ111" s="3">
        <f t="shared" si="205"/>
        <v>3.7947331922020438E-4</v>
      </c>
      <c r="AR111" s="3">
        <f t="shared" si="240"/>
        <v>7.5000000000000007E-5</v>
      </c>
      <c r="AS111" s="214">
        <f t="shared" si="241"/>
        <v>1.35E-2</v>
      </c>
      <c r="AT111" s="50">
        <f t="shared" si="206"/>
        <v>1.4148950643696456E-2</v>
      </c>
      <c r="AU111" s="16">
        <f t="shared" si="242"/>
        <v>3.0000000000000001E-3</v>
      </c>
      <c r="AV111" s="49">
        <f t="shared" si="243"/>
        <v>4.9999999999999996E-2</v>
      </c>
      <c r="AW111" s="3">
        <f t="shared" si="244"/>
        <v>8.0000000000000002E-3</v>
      </c>
      <c r="AX111" s="49">
        <f t="shared" si="245"/>
        <v>1.3333333333333287E-3</v>
      </c>
      <c r="AY111" s="49">
        <f t="shared" si="246"/>
        <v>0.25238293779207716</v>
      </c>
      <c r="AZ111" s="49">
        <f t="shared" si="247"/>
        <v>1.3333333333333334E-4</v>
      </c>
      <c r="BA111" s="3">
        <f t="shared" si="248"/>
        <v>0.01</v>
      </c>
      <c r="BB111" s="50">
        <f t="shared" si="207"/>
        <v>0.30398616929739031</v>
      </c>
      <c r="BC111" s="3">
        <f t="shared" si="249"/>
        <v>6.1666666666666661E-2</v>
      </c>
      <c r="BD111" s="3">
        <f t="shared" si="250"/>
        <v>8.6999999999999994E-3</v>
      </c>
      <c r="BE111" s="3">
        <f t="shared" si="208"/>
        <v>1.3333333333333287E-3</v>
      </c>
      <c r="BF111" s="3">
        <f t="shared" si="209"/>
        <v>0.25238293779207716</v>
      </c>
      <c r="BG111" s="3">
        <f t="shared" si="251"/>
        <v>1.3333333333333334E-4</v>
      </c>
      <c r="BH111" s="214">
        <f t="shared" si="252"/>
        <v>1.35E-2</v>
      </c>
      <c r="BI111" s="50">
        <f t="shared" si="210"/>
        <v>0.31579163261261212</v>
      </c>
      <c r="BJ111" s="16">
        <f t="shared" si="253"/>
        <v>3.0000000000000001E-3</v>
      </c>
      <c r="BK111" s="49">
        <f t="shared" si="254"/>
        <v>4.9999999999999996E-2</v>
      </c>
      <c r="BL111" s="3">
        <f t="shared" si="255"/>
        <v>1E-3</v>
      </c>
      <c r="BM111" s="49">
        <f t="shared" si="256"/>
        <v>3.3333333333333218E-4</v>
      </c>
      <c r="BN111" s="49">
        <f t="shared" si="257"/>
        <v>1.2E-2</v>
      </c>
      <c r="BO111" s="49">
        <f t="shared" si="258"/>
        <v>7.5000000000000007E-5</v>
      </c>
      <c r="BP111" s="3">
        <f t="shared" si="259"/>
        <v>0.01</v>
      </c>
      <c r="BQ111" s="50">
        <f t="shared" si="211"/>
        <v>6.3138340724510994E-2</v>
      </c>
      <c r="BR111" s="3">
        <f t="shared" si="260"/>
        <v>5.5833333333333332E-2</v>
      </c>
      <c r="BS111" s="3">
        <f t="shared" si="261"/>
        <v>1.175E-3</v>
      </c>
      <c r="BT111" s="3">
        <f t="shared" si="212"/>
        <v>3.3333333333333218E-4</v>
      </c>
      <c r="BU111" s="3">
        <f t="shared" si="213"/>
        <v>1.2E-2</v>
      </c>
      <c r="BV111" s="3">
        <f t="shared" si="262"/>
        <v>7.5000000000000007E-5</v>
      </c>
      <c r="BW111" s="214">
        <f t="shared" si="263"/>
        <v>1.35E-2</v>
      </c>
      <c r="BX111" s="50">
        <f t="shared" si="214"/>
        <v>6.950058053314695E-2</v>
      </c>
      <c r="BY111" s="16">
        <f t="shared" si="264"/>
        <v>3.0000000000000001E-3</v>
      </c>
      <c r="BZ111" s="49">
        <f t="shared" si="265"/>
        <v>8.3333333333333332E-3</v>
      </c>
      <c r="CA111" s="3">
        <f t="shared" si="266"/>
        <v>2E-3</v>
      </c>
      <c r="CB111" s="49">
        <f t="shared" si="267"/>
        <v>3.3333333333333218E-4</v>
      </c>
      <c r="CC111" s="49">
        <f t="shared" si="268"/>
        <v>0</v>
      </c>
      <c r="CD111" s="49">
        <f t="shared" si="269"/>
        <v>1.5000000000000001E-4</v>
      </c>
      <c r="CE111" s="3">
        <f t="shared" si="270"/>
        <v>0.01</v>
      </c>
      <c r="CF111" s="50">
        <f t="shared" si="215"/>
        <v>1.3384080510483756E-2</v>
      </c>
      <c r="CG111" s="3">
        <f t="shared" si="271"/>
        <v>1.125E-2</v>
      </c>
      <c r="CH111" s="3">
        <f t="shared" si="272"/>
        <v>2.0874999999999999E-3</v>
      </c>
      <c r="CI111" s="3">
        <f t="shared" si="216"/>
        <v>3.3333333333333218E-4</v>
      </c>
      <c r="CJ111" s="3">
        <f t="shared" si="217"/>
        <v>0</v>
      </c>
      <c r="CK111" s="3">
        <f t="shared" si="273"/>
        <v>1.5000000000000001E-4</v>
      </c>
      <c r="CL111" s="214">
        <f t="shared" si="274"/>
        <v>1.35E-2</v>
      </c>
      <c r="CM111" s="50">
        <f t="shared" si="218"/>
        <v>1.7910995711046079E-2</v>
      </c>
      <c r="CS111" s="24"/>
    </row>
    <row r="112" spans="16:97">
      <c r="P112" s="116">
        <f t="shared" si="219"/>
        <v>0.65</v>
      </c>
      <c r="Q112" s="135">
        <f t="shared" si="220"/>
        <v>3.2499999999999999E-3</v>
      </c>
      <c r="R112" s="49">
        <f t="shared" si="221"/>
        <v>0.15384615384615385</v>
      </c>
      <c r="S112" s="3">
        <f t="shared" si="222"/>
        <v>8.0000000000000002E-3</v>
      </c>
      <c r="T112" s="49">
        <f t="shared" si="223"/>
        <v>1.2307692307692267E-3</v>
      </c>
      <c r="U112" s="49">
        <f t="shared" si="224"/>
        <v>0</v>
      </c>
      <c r="V112" s="49">
        <f t="shared" si="225"/>
        <v>1.2307692307692307E-4</v>
      </c>
      <c r="W112" s="3">
        <f t="shared" si="226"/>
        <v>0.01</v>
      </c>
      <c r="X112" s="50">
        <f t="shared" si="199"/>
        <v>0.15560484317313172</v>
      </c>
      <c r="Y112" s="3">
        <f t="shared" si="227"/>
        <v>0.16461538461538464</v>
      </c>
      <c r="Z112" s="3">
        <f t="shared" si="228"/>
        <v>8.6999999999999994E-3</v>
      </c>
      <c r="AA112" s="3">
        <f t="shared" si="200"/>
        <v>1.2307692307692267E-3</v>
      </c>
      <c r="AB112" s="3">
        <f t="shared" si="201"/>
        <v>0</v>
      </c>
      <c r="AC112" s="3">
        <f t="shared" si="229"/>
        <v>1.2307692307692307E-4</v>
      </c>
      <c r="AD112" s="214">
        <f t="shared" si="230"/>
        <v>1.35E-2</v>
      </c>
      <c r="AE112" s="136">
        <f t="shared" si="202"/>
        <v>0.16662203303732412</v>
      </c>
      <c r="AF112" s="16">
        <f t="shared" si="231"/>
        <v>3.2499999999999999E-3</v>
      </c>
      <c r="AG112" s="49">
        <f t="shared" si="232"/>
        <v>2.4615384615384616E-3</v>
      </c>
      <c r="AH112" s="3">
        <f t="shared" si="233"/>
        <v>1.4999999999999999E-4</v>
      </c>
      <c r="AI112" s="49">
        <f t="shared" si="234"/>
        <v>1.5421145650069859E-5</v>
      </c>
      <c r="AJ112" s="49">
        <f t="shared" si="235"/>
        <v>3.502830638955733E-4</v>
      </c>
      <c r="AK112" s="49">
        <f t="shared" si="236"/>
        <v>6.9230769230769237E-5</v>
      </c>
      <c r="AL112" s="3">
        <f t="shared" si="237"/>
        <v>0.01</v>
      </c>
      <c r="AM112" s="50">
        <f t="shared" si="203"/>
        <v>1.0393295628461988E-2</v>
      </c>
      <c r="AN112" s="3">
        <f t="shared" si="238"/>
        <v>3.5384615384615385E-3</v>
      </c>
      <c r="AO112" s="3">
        <f t="shared" si="239"/>
        <v>2.1999999999999998E-4</v>
      </c>
      <c r="AP112" s="3">
        <f t="shared" si="204"/>
        <v>1.5421145650069859E-5</v>
      </c>
      <c r="AQ112" s="3">
        <f t="shared" si="205"/>
        <v>3.502830638955733E-4</v>
      </c>
      <c r="AR112" s="3">
        <f t="shared" si="240"/>
        <v>6.9230769230769237E-5</v>
      </c>
      <c r="AS112" s="214">
        <f t="shared" si="241"/>
        <v>1.35E-2</v>
      </c>
      <c r="AT112" s="50">
        <f t="shared" si="206"/>
        <v>1.4055095271371188E-2</v>
      </c>
      <c r="AU112" s="16">
        <f t="shared" si="242"/>
        <v>3.2499999999999999E-3</v>
      </c>
      <c r="AV112" s="49">
        <f t="shared" si="243"/>
        <v>4.6153846153846149E-2</v>
      </c>
      <c r="AW112" s="3">
        <f t="shared" si="244"/>
        <v>8.0000000000000002E-3</v>
      </c>
      <c r="AX112" s="49">
        <f t="shared" si="245"/>
        <v>1.2307692307692267E-3</v>
      </c>
      <c r="AY112" s="49">
        <f t="shared" si="246"/>
        <v>0.23296886565422506</v>
      </c>
      <c r="AZ112" s="49">
        <f t="shared" si="247"/>
        <v>1.2307692307692307E-4</v>
      </c>
      <c r="BA112" s="3">
        <f t="shared" si="248"/>
        <v>0.01</v>
      </c>
      <c r="BB112" s="50">
        <f t="shared" si="207"/>
        <v>0.28064584350836991</v>
      </c>
      <c r="BC112" s="3">
        <f t="shared" si="249"/>
        <v>5.6923076923076917E-2</v>
      </c>
      <c r="BD112" s="3">
        <f t="shared" si="250"/>
        <v>8.6999999999999994E-3</v>
      </c>
      <c r="BE112" s="3">
        <f t="shared" si="208"/>
        <v>1.2307692307692267E-3</v>
      </c>
      <c r="BF112" s="3">
        <f t="shared" si="209"/>
        <v>0.23296886565422506</v>
      </c>
      <c r="BG112" s="3">
        <f t="shared" si="251"/>
        <v>1.2307692307692307E-4</v>
      </c>
      <c r="BH112" s="214">
        <f t="shared" si="252"/>
        <v>1.35E-2</v>
      </c>
      <c r="BI112" s="50">
        <f t="shared" si="210"/>
        <v>0.29156541029143745</v>
      </c>
      <c r="BJ112" s="16">
        <f t="shared" si="253"/>
        <v>3.2499999999999999E-3</v>
      </c>
      <c r="BK112" s="49">
        <f t="shared" si="254"/>
        <v>4.6153846153846149E-2</v>
      </c>
      <c r="BL112" s="3">
        <f t="shared" si="255"/>
        <v>1E-3</v>
      </c>
      <c r="BM112" s="49">
        <f t="shared" si="256"/>
        <v>3.0769230769230667E-4</v>
      </c>
      <c r="BN112" s="49">
        <f t="shared" si="257"/>
        <v>1.1076923076923078E-2</v>
      </c>
      <c r="BO112" s="49">
        <f t="shared" si="258"/>
        <v>6.9230769230769237E-5</v>
      </c>
      <c r="BP112" s="3">
        <f t="shared" si="259"/>
        <v>0.01</v>
      </c>
      <c r="BQ112" s="50">
        <f t="shared" si="211"/>
        <v>5.8409582682231398E-2</v>
      </c>
      <c r="BR112" s="3">
        <f t="shared" si="260"/>
        <v>5.1538461538461533E-2</v>
      </c>
      <c r="BS112" s="3">
        <f t="shared" si="261"/>
        <v>1.175E-3</v>
      </c>
      <c r="BT112" s="3">
        <f t="shared" si="212"/>
        <v>3.0769230769230667E-4</v>
      </c>
      <c r="BU112" s="3">
        <f t="shared" si="213"/>
        <v>1.1076923076923078E-2</v>
      </c>
      <c r="BV112" s="3">
        <f t="shared" si="262"/>
        <v>6.9230769230769237E-5</v>
      </c>
      <c r="BW112" s="214">
        <f t="shared" si="263"/>
        <v>1.35E-2</v>
      </c>
      <c r="BX112" s="50">
        <f t="shared" si="214"/>
        <v>6.436574420735662E-2</v>
      </c>
      <c r="BY112" s="16">
        <f t="shared" si="264"/>
        <v>3.2499999999999999E-3</v>
      </c>
      <c r="BZ112" s="49">
        <f t="shared" si="265"/>
        <v>7.6923076923076919E-3</v>
      </c>
      <c r="CA112" s="3">
        <f t="shared" si="266"/>
        <v>2E-3</v>
      </c>
      <c r="CB112" s="49">
        <f t="shared" si="267"/>
        <v>3.0769230769230667E-4</v>
      </c>
      <c r="CC112" s="49">
        <f t="shared" si="268"/>
        <v>0</v>
      </c>
      <c r="CD112" s="49">
        <f t="shared" si="269"/>
        <v>1.3846153846153847E-4</v>
      </c>
      <c r="CE112" s="3">
        <f t="shared" si="270"/>
        <v>0.01</v>
      </c>
      <c r="CF112" s="50">
        <f t="shared" si="215"/>
        <v>1.2962220936152614E-2</v>
      </c>
      <c r="CG112" s="3">
        <f t="shared" si="271"/>
        <v>1.0384615384615384E-2</v>
      </c>
      <c r="CH112" s="3">
        <f t="shared" si="272"/>
        <v>2.0874999999999999E-3</v>
      </c>
      <c r="CI112" s="3">
        <f t="shared" si="216"/>
        <v>3.0769230769230667E-4</v>
      </c>
      <c r="CJ112" s="3">
        <f t="shared" si="217"/>
        <v>0</v>
      </c>
      <c r="CK112" s="3">
        <f t="shared" si="273"/>
        <v>1.3846153846153847E-4</v>
      </c>
      <c r="CL112" s="214">
        <f t="shared" si="274"/>
        <v>1.35E-2</v>
      </c>
      <c r="CM112" s="50">
        <f t="shared" si="218"/>
        <v>1.7347976009742905E-2</v>
      </c>
      <c r="CS112" s="24"/>
    </row>
    <row r="113" spans="16:97">
      <c r="P113" s="116">
        <f t="shared" si="219"/>
        <v>0.7</v>
      </c>
      <c r="Q113" s="135">
        <f t="shared" si="220"/>
        <v>3.5000000000000001E-3</v>
      </c>
      <c r="R113" s="49">
        <f t="shared" si="221"/>
        <v>0.14285714285714285</v>
      </c>
      <c r="S113" s="3">
        <f t="shared" si="222"/>
        <v>8.0000000000000002E-3</v>
      </c>
      <c r="T113" s="49">
        <f t="shared" si="223"/>
        <v>1.1428571428571388E-3</v>
      </c>
      <c r="U113" s="49">
        <f t="shared" si="224"/>
        <v>0</v>
      </c>
      <c r="V113" s="49">
        <f t="shared" si="225"/>
        <v>1.142857142857143E-4</v>
      </c>
      <c r="W113" s="3">
        <f t="shared" si="226"/>
        <v>0.01</v>
      </c>
      <c r="X113" s="50">
        <f t="shared" si="199"/>
        <v>0.14456836812119203</v>
      </c>
      <c r="Y113" s="3">
        <f t="shared" si="227"/>
        <v>0.15285714285714286</v>
      </c>
      <c r="Z113" s="3">
        <f t="shared" si="228"/>
        <v>8.6999999999999994E-3</v>
      </c>
      <c r="AA113" s="3">
        <f t="shared" si="200"/>
        <v>1.1428571428571388E-3</v>
      </c>
      <c r="AB113" s="3">
        <f t="shared" si="201"/>
        <v>0</v>
      </c>
      <c r="AC113" s="3">
        <f t="shared" si="229"/>
        <v>1.142857142857143E-4</v>
      </c>
      <c r="AD113" s="214">
        <f t="shared" si="230"/>
        <v>1.35E-2</v>
      </c>
      <c r="AE113" s="136">
        <f t="shared" si="202"/>
        <v>0.15483524489348183</v>
      </c>
      <c r="AF113" s="16">
        <f t="shared" si="231"/>
        <v>3.5000000000000001E-3</v>
      </c>
      <c r="AG113" s="49">
        <f t="shared" si="232"/>
        <v>2.2857142857142855E-3</v>
      </c>
      <c r="AH113" s="3">
        <f t="shared" si="233"/>
        <v>1.4999999999999999E-4</v>
      </c>
      <c r="AI113" s="49">
        <f t="shared" si="234"/>
        <v>1.4319635246493438E-5</v>
      </c>
      <c r="AJ113" s="49">
        <f t="shared" si="235"/>
        <v>3.2526284504588948E-4</v>
      </c>
      <c r="AK113" s="49">
        <f t="shared" si="236"/>
        <v>6.4285714285714288E-5</v>
      </c>
      <c r="AL113" s="3">
        <f t="shared" si="237"/>
        <v>0.01</v>
      </c>
      <c r="AM113" s="50">
        <f t="shared" si="203"/>
        <v>1.0340155499926793E-2</v>
      </c>
      <c r="AN113" s="3">
        <f t="shared" si="238"/>
        <v>3.2857142857142855E-3</v>
      </c>
      <c r="AO113" s="3">
        <f t="shared" si="239"/>
        <v>2.1999999999999998E-4</v>
      </c>
      <c r="AP113" s="3">
        <f t="shared" si="204"/>
        <v>1.4319635246493438E-5</v>
      </c>
      <c r="AQ113" s="3">
        <f t="shared" si="205"/>
        <v>3.2526284504588948E-4</v>
      </c>
      <c r="AR113" s="3">
        <f t="shared" si="240"/>
        <v>6.4285714285714288E-5</v>
      </c>
      <c r="AS113" s="214">
        <f t="shared" si="241"/>
        <v>1.35E-2</v>
      </c>
      <c r="AT113" s="50">
        <f t="shared" si="206"/>
        <v>1.3980175581682786E-2</v>
      </c>
      <c r="AU113" s="16">
        <f t="shared" si="242"/>
        <v>3.5000000000000001E-3</v>
      </c>
      <c r="AV113" s="49">
        <f t="shared" si="243"/>
        <v>4.2857142857142851E-2</v>
      </c>
      <c r="AW113" s="3">
        <f t="shared" si="244"/>
        <v>8.0000000000000002E-3</v>
      </c>
      <c r="AX113" s="49">
        <f t="shared" si="245"/>
        <v>1.1428571428571388E-3</v>
      </c>
      <c r="AY113" s="49">
        <f t="shared" si="246"/>
        <v>0.21632823239320897</v>
      </c>
      <c r="AZ113" s="49">
        <f t="shared" si="247"/>
        <v>1.142857142857143E-4</v>
      </c>
      <c r="BA113" s="3">
        <f t="shared" si="248"/>
        <v>0.01</v>
      </c>
      <c r="BB113" s="50">
        <f t="shared" si="207"/>
        <v>0.26064305408392741</v>
      </c>
      <c r="BC113" s="3">
        <f t="shared" si="249"/>
        <v>5.2857142857142853E-2</v>
      </c>
      <c r="BD113" s="3">
        <f t="shared" si="250"/>
        <v>8.6999999999999994E-3</v>
      </c>
      <c r="BE113" s="3">
        <f t="shared" si="208"/>
        <v>1.1428571428571388E-3</v>
      </c>
      <c r="BF113" s="3">
        <f t="shared" si="209"/>
        <v>0.21632823239320897</v>
      </c>
      <c r="BG113" s="3">
        <f t="shared" si="251"/>
        <v>1.142857142857143E-4</v>
      </c>
      <c r="BH113" s="214">
        <f t="shared" si="252"/>
        <v>1.35E-2</v>
      </c>
      <c r="BI113" s="50">
        <f t="shared" si="210"/>
        <v>0.27080492294281006</v>
      </c>
      <c r="BJ113" s="16">
        <f t="shared" si="253"/>
        <v>3.5000000000000001E-3</v>
      </c>
      <c r="BK113" s="49">
        <f t="shared" si="254"/>
        <v>4.2857142857142851E-2</v>
      </c>
      <c r="BL113" s="3">
        <f t="shared" si="255"/>
        <v>1E-3</v>
      </c>
      <c r="BM113" s="49">
        <f t="shared" si="256"/>
        <v>2.8571428571428471E-4</v>
      </c>
      <c r="BN113" s="49">
        <f t="shared" si="257"/>
        <v>1.0285714285714285E-2</v>
      </c>
      <c r="BO113" s="49">
        <f t="shared" si="258"/>
        <v>6.4285714285714288E-5</v>
      </c>
      <c r="BP113" s="3">
        <f t="shared" si="259"/>
        <v>0.01</v>
      </c>
      <c r="BQ113" s="50">
        <f t="shared" si="211"/>
        <v>5.4365580816827665E-2</v>
      </c>
      <c r="BR113" s="3">
        <f t="shared" si="260"/>
        <v>4.7857142857142848E-2</v>
      </c>
      <c r="BS113" s="3">
        <f t="shared" si="261"/>
        <v>1.175E-3</v>
      </c>
      <c r="BT113" s="3">
        <f t="shared" si="212"/>
        <v>2.8571428571428471E-4</v>
      </c>
      <c r="BU113" s="3">
        <f t="shared" si="213"/>
        <v>1.0285714285714285E-2</v>
      </c>
      <c r="BV113" s="3">
        <f t="shared" si="262"/>
        <v>6.4285714285714288E-5</v>
      </c>
      <c r="BW113" s="214">
        <f t="shared" si="263"/>
        <v>1.35E-2</v>
      </c>
      <c r="BX113" s="50">
        <f t="shared" si="214"/>
        <v>5.9979435782914245E-2</v>
      </c>
      <c r="BY113" s="16">
        <f t="shared" si="264"/>
        <v>3.5000000000000001E-3</v>
      </c>
      <c r="BZ113" s="49">
        <f t="shared" si="265"/>
        <v>7.1428571428571418E-3</v>
      </c>
      <c r="CA113" s="3">
        <f t="shared" si="266"/>
        <v>2E-3</v>
      </c>
      <c r="CB113" s="49">
        <f t="shared" si="267"/>
        <v>2.8571428571428471E-4</v>
      </c>
      <c r="CC113" s="49">
        <f t="shared" si="268"/>
        <v>0</v>
      </c>
      <c r="CD113" s="49">
        <f t="shared" si="269"/>
        <v>1.2857142857142858E-4</v>
      </c>
      <c r="CE113" s="3">
        <f t="shared" si="270"/>
        <v>0.01</v>
      </c>
      <c r="CF113" s="50">
        <f t="shared" si="215"/>
        <v>1.261745632374579E-2</v>
      </c>
      <c r="CG113" s="3">
        <f t="shared" si="271"/>
        <v>9.6428571428571405E-3</v>
      </c>
      <c r="CH113" s="3">
        <f t="shared" si="272"/>
        <v>2.0874999999999999E-3</v>
      </c>
      <c r="CI113" s="3">
        <f t="shared" si="216"/>
        <v>2.8571428571428471E-4</v>
      </c>
      <c r="CJ113" s="3">
        <f t="shared" si="217"/>
        <v>0</v>
      </c>
      <c r="CK113" s="3">
        <f t="shared" si="273"/>
        <v>1.2857142857142858E-4</v>
      </c>
      <c r="CL113" s="214">
        <f t="shared" si="274"/>
        <v>1.35E-2</v>
      </c>
      <c r="CM113" s="50">
        <f t="shared" si="218"/>
        <v>1.6887886708362589E-2</v>
      </c>
      <c r="CS113" s="24"/>
    </row>
    <row r="114" spans="16:97">
      <c r="P114" s="116">
        <f t="shared" si="219"/>
        <v>0.75</v>
      </c>
      <c r="Q114" s="135">
        <f t="shared" si="220"/>
        <v>3.7499999999999999E-3</v>
      </c>
      <c r="R114" s="49">
        <f t="shared" si="221"/>
        <v>0.13333333333333333</v>
      </c>
      <c r="S114" s="3">
        <f t="shared" si="222"/>
        <v>8.0000000000000002E-3</v>
      </c>
      <c r="T114" s="49">
        <f t="shared" si="223"/>
        <v>1.066666666666663E-3</v>
      </c>
      <c r="U114" s="49">
        <f t="shared" si="224"/>
        <v>0</v>
      </c>
      <c r="V114" s="49">
        <f t="shared" si="225"/>
        <v>1.0666666666666668E-4</v>
      </c>
      <c r="W114" s="3">
        <f t="shared" si="226"/>
        <v>0.01</v>
      </c>
      <c r="X114" s="50">
        <f t="shared" si="199"/>
        <v>0.13500878259497703</v>
      </c>
      <c r="Y114" s="3">
        <f t="shared" si="227"/>
        <v>0.14266666666666666</v>
      </c>
      <c r="Z114" s="3">
        <f t="shared" si="228"/>
        <v>8.6999999999999994E-3</v>
      </c>
      <c r="AA114" s="3">
        <f t="shared" si="200"/>
        <v>1.066666666666663E-3</v>
      </c>
      <c r="AB114" s="3">
        <f t="shared" si="201"/>
        <v>0</v>
      </c>
      <c r="AC114" s="3">
        <f t="shared" si="229"/>
        <v>1.0666666666666668E-4</v>
      </c>
      <c r="AD114" s="214">
        <f t="shared" si="230"/>
        <v>1.35E-2</v>
      </c>
      <c r="AE114" s="136">
        <f t="shared" si="202"/>
        <v>0.14462787590533469</v>
      </c>
      <c r="AF114" s="16">
        <f t="shared" si="231"/>
        <v>3.7499999999999999E-3</v>
      </c>
      <c r="AG114" s="49">
        <f t="shared" si="232"/>
        <v>2.1333333333333334E-3</v>
      </c>
      <c r="AH114" s="3">
        <f t="shared" si="233"/>
        <v>1.4999999999999999E-4</v>
      </c>
      <c r="AI114" s="49">
        <f t="shared" si="234"/>
        <v>1.3364992896727211E-5</v>
      </c>
      <c r="AJ114" s="49">
        <f t="shared" si="235"/>
        <v>3.0357865537616353E-4</v>
      </c>
      <c r="AK114" s="49">
        <f t="shared" si="236"/>
        <v>6.0000000000000002E-5</v>
      </c>
      <c r="AL114" s="3">
        <f t="shared" si="237"/>
        <v>0.01</v>
      </c>
      <c r="AM114" s="50">
        <f t="shared" si="203"/>
        <v>1.0297084892657208E-2</v>
      </c>
      <c r="AN114" s="3">
        <f t="shared" si="238"/>
        <v>3.0666666666666668E-3</v>
      </c>
      <c r="AO114" s="3">
        <f t="shared" si="239"/>
        <v>2.1999999999999998E-4</v>
      </c>
      <c r="AP114" s="3">
        <f t="shared" si="204"/>
        <v>1.3364992896727211E-5</v>
      </c>
      <c r="AQ114" s="3">
        <f t="shared" si="205"/>
        <v>3.0357865537616353E-4</v>
      </c>
      <c r="AR114" s="3">
        <f t="shared" si="240"/>
        <v>6.0000000000000002E-5</v>
      </c>
      <c r="AS114" s="214">
        <f t="shared" si="241"/>
        <v>1.35E-2</v>
      </c>
      <c r="AT114" s="50">
        <f t="shared" si="206"/>
        <v>1.3919440317892287E-2</v>
      </c>
      <c r="AU114" s="16">
        <f t="shared" si="242"/>
        <v>3.7499999999999999E-3</v>
      </c>
      <c r="AV114" s="49">
        <f t="shared" si="243"/>
        <v>0.04</v>
      </c>
      <c r="AW114" s="3">
        <f t="shared" si="244"/>
        <v>8.0000000000000002E-3</v>
      </c>
      <c r="AX114" s="49">
        <f t="shared" si="245"/>
        <v>1.066666666666663E-3</v>
      </c>
      <c r="AY114" s="49">
        <f t="shared" si="246"/>
        <v>0.20190635023366171</v>
      </c>
      <c r="AZ114" s="49">
        <f t="shared" si="247"/>
        <v>1.0666666666666668E-4</v>
      </c>
      <c r="BA114" s="3">
        <f t="shared" si="248"/>
        <v>0.01</v>
      </c>
      <c r="BB114" s="50">
        <f t="shared" si="207"/>
        <v>0.24331029225954467</v>
      </c>
      <c r="BC114" s="3">
        <f t="shared" si="249"/>
        <v>4.9333333333333333E-2</v>
      </c>
      <c r="BD114" s="3">
        <f t="shared" si="250"/>
        <v>8.6999999999999994E-3</v>
      </c>
      <c r="BE114" s="3">
        <f t="shared" si="208"/>
        <v>1.066666666666663E-3</v>
      </c>
      <c r="BF114" s="3">
        <f t="shared" si="209"/>
        <v>0.20190635023366171</v>
      </c>
      <c r="BG114" s="3">
        <f t="shared" si="251"/>
        <v>1.0666666666666668E-4</v>
      </c>
      <c r="BH114" s="214">
        <f t="shared" si="252"/>
        <v>1.35E-2</v>
      </c>
      <c r="BI114" s="50">
        <f t="shared" si="210"/>
        <v>0.25281702028544073</v>
      </c>
      <c r="BJ114" s="16">
        <f t="shared" si="253"/>
        <v>3.7499999999999999E-3</v>
      </c>
      <c r="BK114" s="49">
        <f t="shared" si="254"/>
        <v>0.04</v>
      </c>
      <c r="BL114" s="3">
        <f t="shared" si="255"/>
        <v>1E-3</v>
      </c>
      <c r="BM114" s="49">
        <f t="shared" si="256"/>
        <v>2.6666666666666576E-4</v>
      </c>
      <c r="BN114" s="49">
        <f t="shared" si="257"/>
        <v>9.6000000000000009E-3</v>
      </c>
      <c r="BO114" s="49">
        <f t="shared" si="258"/>
        <v>6.0000000000000002E-5</v>
      </c>
      <c r="BP114" s="3">
        <f t="shared" si="259"/>
        <v>0.01</v>
      </c>
      <c r="BQ114" s="50">
        <f t="shared" si="211"/>
        <v>5.0869323215907293E-2</v>
      </c>
      <c r="BR114" s="3">
        <f t="shared" si="260"/>
        <v>4.4666666666666667E-2</v>
      </c>
      <c r="BS114" s="3">
        <f t="shared" si="261"/>
        <v>1.175E-3</v>
      </c>
      <c r="BT114" s="3">
        <f t="shared" si="212"/>
        <v>2.6666666666666576E-4</v>
      </c>
      <c r="BU114" s="3">
        <f t="shared" si="213"/>
        <v>9.6000000000000009E-3</v>
      </c>
      <c r="BV114" s="3">
        <f t="shared" si="262"/>
        <v>6.0000000000000002E-5</v>
      </c>
      <c r="BW114" s="214">
        <f t="shared" si="263"/>
        <v>1.35E-2</v>
      </c>
      <c r="BX114" s="50">
        <f t="shared" si="214"/>
        <v>5.619180251108203E-2</v>
      </c>
      <c r="BY114" s="16">
        <f t="shared" si="264"/>
        <v>3.7499999999999999E-3</v>
      </c>
      <c r="BZ114" s="49">
        <f t="shared" si="265"/>
        <v>6.6666666666666662E-3</v>
      </c>
      <c r="CA114" s="3">
        <f t="shared" si="266"/>
        <v>2E-3</v>
      </c>
      <c r="CB114" s="49">
        <f t="shared" si="267"/>
        <v>2.6666666666666576E-4</v>
      </c>
      <c r="CC114" s="49">
        <f t="shared" si="268"/>
        <v>0</v>
      </c>
      <c r="CD114" s="49">
        <f t="shared" si="269"/>
        <v>1.2E-4</v>
      </c>
      <c r="CE114" s="3">
        <f t="shared" si="270"/>
        <v>0.01</v>
      </c>
      <c r="CF114" s="50">
        <f t="shared" si="215"/>
        <v>1.2332295451825305E-2</v>
      </c>
      <c r="CG114" s="3">
        <f t="shared" si="271"/>
        <v>8.9999999999999993E-3</v>
      </c>
      <c r="CH114" s="3">
        <f t="shared" si="272"/>
        <v>2.0874999999999999E-3</v>
      </c>
      <c r="CI114" s="3">
        <f t="shared" si="216"/>
        <v>2.6666666666666576E-4</v>
      </c>
      <c r="CJ114" s="3">
        <f t="shared" si="217"/>
        <v>0</v>
      </c>
      <c r="CK114" s="3">
        <f t="shared" si="273"/>
        <v>1.2E-4</v>
      </c>
      <c r="CL114" s="214">
        <f t="shared" si="274"/>
        <v>1.35E-2</v>
      </c>
      <c r="CM114" s="50">
        <f t="shared" si="218"/>
        <v>1.6507367063257273E-2</v>
      </c>
      <c r="CS114" s="24"/>
    </row>
    <row r="115" spans="16:97">
      <c r="P115" s="116">
        <f t="shared" si="219"/>
        <v>0.8</v>
      </c>
      <c r="Q115" s="135">
        <f t="shared" si="220"/>
        <v>4.0000000000000001E-3</v>
      </c>
      <c r="R115" s="49">
        <f t="shared" si="221"/>
        <v>0.125</v>
      </c>
      <c r="S115" s="3">
        <f t="shared" si="222"/>
        <v>8.0000000000000002E-3</v>
      </c>
      <c r="T115" s="49">
        <f t="shared" si="223"/>
        <v>9.9999999999999655E-4</v>
      </c>
      <c r="U115" s="49">
        <f t="shared" si="224"/>
        <v>0</v>
      </c>
      <c r="V115" s="49">
        <f t="shared" si="225"/>
        <v>1E-4</v>
      </c>
      <c r="W115" s="3">
        <f t="shared" si="226"/>
        <v>0.01</v>
      </c>
      <c r="X115" s="50">
        <f t="shared" si="199"/>
        <v>0.12664916107104698</v>
      </c>
      <c r="Y115" s="3">
        <f t="shared" si="227"/>
        <v>0.13375000000000001</v>
      </c>
      <c r="Z115" s="3">
        <f t="shared" si="228"/>
        <v>8.6999999999999994E-3</v>
      </c>
      <c r="AA115" s="3">
        <f t="shared" si="200"/>
        <v>9.9999999999999655E-4</v>
      </c>
      <c r="AB115" s="3">
        <f t="shared" si="201"/>
        <v>0</v>
      </c>
      <c r="AC115" s="3">
        <f t="shared" si="229"/>
        <v>1E-4</v>
      </c>
      <c r="AD115" s="214">
        <f t="shared" si="230"/>
        <v>1.35E-2</v>
      </c>
      <c r="AE115" s="136">
        <f t="shared" si="202"/>
        <v>0.13570376744954432</v>
      </c>
      <c r="AF115" s="16">
        <f t="shared" si="231"/>
        <v>4.0000000000000001E-3</v>
      </c>
      <c r="AG115" s="49">
        <f t="shared" si="232"/>
        <v>2E-3</v>
      </c>
      <c r="AH115" s="3">
        <f t="shared" si="233"/>
        <v>1.4999999999999999E-4</v>
      </c>
      <c r="AI115" s="49">
        <f t="shared" si="234"/>
        <v>1.2529680840681759E-5</v>
      </c>
      <c r="AJ115" s="49">
        <f t="shared" si="235"/>
        <v>2.8460498941515326E-4</v>
      </c>
      <c r="AK115" s="49">
        <f t="shared" si="236"/>
        <v>5.6249999999999998E-5</v>
      </c>
      <c r="AL115" s="3">
        <f t="shared" si="237"/>
        <v>0.01</v>
      </c>
      <c r="AM115" s="50">
        <f t="shared" si="203"/>
        <v>1.0261700237085052E-2</v>
      </c>
      <c r="AN115" s="3">
        <f t="shared" si="238"/>
        <v>2.875E-3</v>
      </c>
      <c r="AO115" s="3">
        <f t="shared" si="239"/>
        <v>2.1999999999999998E-4</v>
      </c>
      <c r="AP115" s="3">
        <f t="shared" si="204"/>
        <v>1.2529680840681759E-5</v>
      </c>
      <c r="AQ115" s="3">
        <f t="shared" si="205"/>
        <v>2.8460498941515326E-4</v>
      </c>
      <c r="AR115" s="3">
        <f t="shared" si="240"/>
        <v>5.6249999999999998E-5</v>
      </c>
      <c r="AS115" s="214">
        <f t="shared" si="241"/>
        <v>1.35E-2</v>
      </c>
      <c r="AT115" s="50">
        <f t="shared" si="206"/>
        <v>1.3869535047316441E-2</v>
      </c>
      <c r="AU115" s="16">
        <f t="shared" si="242"/>
        <v>4.0000000000000001E-3</v>
      </c>
      <c r="AV115" s="49">
        <f t="shared" si="243"/>
        <v>3.7499999999999999E-2</v>
      </c>
      <c r="AW115" s="3">
        <f t="shared" si="244"/>
        <v>8.0000000000000002E-3</v>
      </c>
      <c r="AX115" s="49">
        <f t="shared" si="245"/>
        <v>9.9999999999999655E-4</v>
      </c>
      <c r="AY115" s="49">
        <f t="shared" si="246"/>
        <v>0.18928720334405785</v>
      </c>
      <c r="AZ115" s="49">
        <f t="shared" si="247"/>
        <v>1E-4</v>
      </c>
      <c r="BA115" s="3">
        <f t="shared" si="248"/>
        <v>0.01</v>
      </c>
      <c r="BB115" s="50">
        <f t="shared" si="207"/>
        <v>0.22814692635954392</v>
      </c>
      <c r="BC115" s="3">
        <f t="shared" si="249"/>
        <v>4.6249999999999999E-2</v>
      </c>
      <c r="BD115" s="3">
        <f t="shared" si="250"/>
        <v>8.6999999999999994E-3</v>
      </c>
      <c r="BE115" s="3">
        <f t="shared" si="208"/>
        <v>9.9999999999999655E-4</v>
      </c>
      <c r="BF115" s="3">
        <f t="shared" si="209"/>
        <v>0.18928720334405785</v>
      </c>
      <c r="BG115" s="3">
        <f t="shared" si="251"/>
        <v>1E-4</v>
      </c>
      <c r="BH115" s="214">
        <f t="shared" si="252"/>
        <v>1.35E-2</v>
      </c>
      <c r="BI115" s="50">
        <f t="shared" si="210"/>
        <v>0.23708183938426869</v>
      </c>
      <c r="BJ115" s="16">
        <f t="shared" si="253"/>
        <v>4.0000000000000001E-3</v>
      </c>
      <c r="BK115" s="49">
        <f t="shared" si="254"/>
        <v>3.7499999999999999E-2</v>
      </c>
      <c r="BL115" s="3">
        <f t="shared" si="255"/>
        <v>1E-3</v>
      </c>
      <c r="BM115" s="49">
        <f t="shared" si="256"/>
        <v>2.4999999999999914E-4</v>
      </c>
      <c r="BN115" s="49">
        <f t="shared" si="257"/>
        <v>8.9999999999999993E-3</v>
      </c>
      <c r="BO115" s="49">
        <f t="shared" si="258"/>
        <v>5.6249999999999998E-5</v>
      </c>
      <c r="BP115" s="3">
        <f t="shared" si="259"/>
        <v>0.01</v>
      </c>
      <c r="BQ115" s="50">
        <f t="shared" si="211"/>
        <v>4.7818047472293346E-2</v>
      </c>
      <c r="BR115" s="3">
        <f t="shared" si="260"/>
        <v>4.1874999999999996E-2</v>
      </c>
      <c r="BS115" s="3">
        <f t="shared" si="261"/>
        <v>1.175E-3</v>
      </c>
      <c r="BT115" s="3">
        <f t="shared" si="212"/>
        <v>2.4999999999999914E-4</v>
      </c>
      <c r="BU115" s="3">
        <f t="shared" si="213"/>
        <v>8.9999999999999993E-3</v>
      </c>
      <c r="BV115" s="3">
        <f t="shared" si="262"/>
        <v>5.6249999999999998E-5</v>
      </c>
      <c r="BW115" s="214">
        <f t="shared" si="263"/>
        <v>1.35E-2</v>
      </c>
      <c r="BX115" s="50">
        <f t="shared" si="214"/>
        <v>5.2890447285521232E-2</v>
      </c>
      <c r="BY115" s="16">
        <f t="shared" si="264"/>
        <v>4.0000000000000001E-3</v>
      </c>
      <c r="BZ115" s="49">
        <f t="shared" si="265"/>
        <v>6.2499999999999995E-3</v>
      </c>
      <c r="CA115" s="3">
        <f t="shared" si="266"/>
        <v>2E-3</v>
      </c>
      <c r="CB115" s="49">
        <f t="shared" si="267"/>
        <v>2.4999999999999914E-4</v>
      </c>
      <c r="CC115" s="49">
        <f t="shared" si="268"/>
        <v>0</v>
      </c>
      <c r="CD115" s="49">
        <f t="shared" si="269"/>
        <v>1.125E-4</v>
      </c>
      <c r="CE115" s="3">
        <f t="shared" si="270"/>
        <v>0.01</v>
      </c>
      <c r="CF115" s="50">
        <f t="shared" si="215"/>
        <v>1.2093909882664084E-2</v>
      </c>
      <c r="CG115" s="3">
        <f t="shared" si="271"/>
        <v>8.4374999999999988E-3</v>
      </c>
      <c r="CH115" s="3">
        <f t="shared" si="272"/>
        <v>2.0874999999999999E-3</v>
      </c>
      <c r="CI115" s="3">
        <f t="shared" si="216"/>
        <v>2.4999999999999914E-4</v>
      </c>
      <c r="CJ115" s="3">
        <f t="shared" si="217"/>
        <v>0</v>
      </c>
      <c r="CK115" s="3">
        <f t="shared" si="273"/>
        <v>1.125E-4</v>
      </c>
      <c r="CL115" s="214">
        <f t="shared" si="274"/>
        <v>1.35E-2</v>
      </c>
      <c r="CM115" s="50">
        <f t="shared" si="218"/>
        <v>1.6189285615801581E-2</v>
      </c>
      <c r="CS115" s="24"/>
    </row>
    <row r="116" spans="16:97">
      <c r="P116" s="116">
        <f t="shared" si="219"/>
        <v>0.85000000000000009</v>
      </c>
      <c r="Q116" s="135">
        <f t="shared" si="220"/>
        <v>4.2500000000000003E-3</v>
      </c>
      <c r="R116" s="49">
        <f t="shared" si="221"/>
        <v>0.11764705882352941</v>
      </c>
      <c r="S116" s="3">
        <f t="shared" si="222"/>
        <v>8.0000000000000002E-3</v>
      </c>
      <c r="T116" s="49">
        <f t="shared" si="223"/>
        <v>9.4117647058823196E-4</v>
      </c>
      <c r="U116" s="49">
        <f t="shared" si="224"/>
        <v>0</v>
      </c>
      <c r="V116" s="49">
        <f t="shared" si="225"/>
        <v>9.4117647058823521E-5</v>
      </c>
      <c r="W116" s="3">
        <f t="shared" si="226"/>
        <v>0.01</v>
      </c>
      <c r="X116" s="50">
        <f t="shared" si="199"/>
        <v>0.11927773643184422</v>
      </c>
      <c r="Y116" s="3">
        <f t="shared" si="227"/>
        <v>0.12588235294117647</v>
      </c>
      <c r="Z116" s="3">
        <f t="shared" si="228"/>
        <v>8.6999999999999994E-3</v>
      </c>
      <c r="AA116" s="3">
        <f t="shared" si="200"/>
        <v>9.4117647058823196E-4</v>
      </c>
      <c r="AB116" s="3">
        <f t="shared" si="201"/>
        <v>0</v>
      </c>
      <c r="AC116" s="3">
        <f t="shared" si="229"/>
        <v>9.4117647058823521E-5</v>
      </c>
      <c r="AD116" s="214">
        <f t="shared" si="230"/>
        <v>1.35E-2</v>
      </c>
      <c r="AE116" s="136">
        <f t="shared" si="202"/>
        <v>0.12783644421912022</v>
      </c>
      <c r="AF116" s="16">
        <f t="shared" si="231"/>
        <v>4.2500000000000003E-3</v>
      </c>
      <c r="AG116" s="49">
        <f t="shared" si="232"/>
        <v>1.8823529411764704E-3</v>
      </c>
      <c r="AH116" s="3">
        <f t="shared" si="233"/>
        <v>1.4999999999999999E-4</v>
      </c>
      <c r="AI116" s="49">
        <f t="shared" si="234"/>
        <v>1.179264079122989E-5</v>
      </c>
      <c r="AJ116" s="49">
        <f t="shared" si="235"/>
        <v>2.6786351944955603E-4</v>
      </c>
      <c r="AK116" s="49">
        <f t="shared" si="236"/>
        <v>5.2941176470588231E-5</v>
      </c>
      <c r="AL116" s="3">
        <f t="shared" si="237"/>
        <v>0.01</v>
      </c>
      <c r="AM116" s="50">
        <f t="shared" si="203"/>
        <v>1.0232281569756432E-2</v>
      </c>
      <c r="AN116" s="3">
        <f t="shared" si="238"/>
        <v>2.705882352941176E-3</v>
      </c>
      <c r="AO116" s="3">
        <f t="shared" si="239"/>
        <v>2.1999999999999998E-4</v>
      </c>
      <c r="AP116" s="3">
        <f t="shared" si="204"/>
        <v>1.179264079122989E-5</v>
      </c>
      <c r="AQ116" s="3">
        <f t="shared" si="205"/>
        <v>2.6786351944955603E-4</v>
      </c>
      <c r="AR116" s="3">
        <f t="shared" si="240"/>
        <v>5.2941176470588231E-5</v>
      </c>
      <c r="AS116" s="214">
        <f t="shared" si="241"/>
        <v>1.35E-2</v>
      </c>
      <c r="AT116" s="50">
        <f t="shared" si="206"/>
        <v>1.3828038291162591E-2</v>
      </c>
      <c r="AU116" s="16">
        <f t="shared" si="242"/>
        <v>4.2500000000000003E-3</v>
      </c>
      <c r="AV116" s="49">
        <f t="shared" si="243"/>
        <v>3.5294117647058816E-2</v>
      </c>
      <c r="AW116" s="3">
        <f t="shared" si="244"/>
        <v>8.0000000000000002E-3</v>
      </c>
      <c r="AX116" s="49">
        <f t="shared" si="245"/>
        <v>9.4117647058823196E-4</v>
      </c>
      <c r="AY116" s="49">
        <f t="shared" si="246"/>
        <v>0.17815266197087798</v>
      </c>
      <c r="AZ116" s="49">
        <f t="shared" si="247"/>
        <v>9.4117647058823521E-5</v>
      </c>
      <c r="BA116" s="3">
        <f t="shared" si="248"/>
        <v>0.01</v>
      </c>
      <c r="BB116" s="50">
        <f t="shared" si="207"/>
        <v>0.21477012030062939</v>
      </c>
      <c r="BC116" s="3">
        <f t="shared" si="249"/>
        <v>4.3529411764705872E-2</v>
      </c>
      <c r="BD116" s="3">
        <f t="shared" si="250"/>
        <v>8.6999999999999994E-3</v>
      </c>
      <c r="BE116" s="3">
        <f t="shared" si="208"/>
        <v>9.4117647058823196E-4</v>
      </c>
      <c r="BF116" s="3">
        <f t="shared" si="209"/>
        <v>0.17815266197087798</v>
      </c>
      <c r="BG116" s="3">
        <f t="shared" si="251"/>
        <v>9.4117647058823521E-5</v>
      </c>
      <c r="BH116" s="214">
        <f t="shared" si="252"/>
        <v>1.35E-2</v>
      </c>
      <c r="BI116" s="50">
        <f t="shared" si="210"/>
        <v>0.22320183778475344</v>
      </c>
      <c r="BJ116" s="16">
        <f t="shared" si="253"/>
        <v>4.2500000000000003E-3</v>
      </c>
      <c r="BK116" s="49">
        <f t="shared" si="254"/>
        <v>3.5294117647058816E-2</v>
      </c>
      <c r="BL116" s="3">
        <f t="shared" si="255"/>
        <v>1E-3</v>
      </c>
      <c r="BM116" s="49">
        <f t="shared" si="256"/>
        <v>2.3529411764705799E-4</v>
      </c>
      <c r="BN116" s="49">
        <f t="shared" si="257"/>
        <v>8.4705882352941169E-3</v>
      </c>
      <c r="BO116" s="49">
        <f t="shared" si="258"/>
        <v>5.2941176470588231E-5</v>
      </c>
      <c r="BP116" s="3">
        <f t="shared" si="259"/>
        <v>0.01</v>
      </c>
      <c r="BQ116" s="50">
        <f t="shared" si="211"/>
        <v>4.5133167435580733E-2</v>
      </c>
      <c r="BR116" s="3">
        <f t="shared" si="260"/>
        <v>3.9411764705882348E-2</v>
      </c>
      <c r="BS116" s="3">
        <f t="shared" si="261"/>
        <v>1.175E-3</v>
      </c>
      <c r="BT116" s="3">
        <f t="shared" si="212"/>
        <v>2.3529411764705799E-4</v>
      </c>
      <c r="BU116" s="3">
        <f t="shared" si="213"/>
        <v>8.4705882352941169E-3</v>
      </c>
      <c r="BV116" s="3">
        <f t="shared" si="262"/>
        <v>5.2941176470588231E-5</v>
      </c>
      <c r="BW116" s="214">
        <f t="shared" si="263"/>
        <v>1.35E-2</v>
      </c>
      <c r="BX116" s="50">
        <f t="shared" si="214"/>
        <v>4.9989412741556327E-2</v>
      </c>
      <c r="BY116" s="16">
        <f t="shared" si="264"/>
        <v>4.2500000000000003E-3</v>
      </c>
      <c r="BZ116" s="49">
        <f t="shared" si="265"/>
        <v>5.8823529411764696E-3</v>
      </c>
      <c r="CA116" s="3">
        <f t="shared" si="266"/>
        <v>2E-3</v>
      </c>
      <c r="CB116" s="49">
        <f t="shared" si="267"/>
        <v>2.3529411764705799E-4</v>
      </c>
      <c r="CC116" s="49">
        <f t="shared" si="268"/>
        <v>0</v>
      </c>
      <c r="CD116" s="49">
        <f t="shared" si="269"/>
        <v>1.0588235294117646E-4</v>
      </c>
      <c r="CE116" s="3">
        <f t="shared" si="270"/>
        <v>0.01</v>
      </c>
      <c r="CF116" s="50">
        <f t="shared" si="215"/>
        <v>1.189272116081919E-2</v>
      </c>
      <c r="CG116" s="3">
        <f t="shared" si="271"/>
        <v>7.9411764705882345E-3</v>
      </c>
      <c r="CH116" s="3">
        <f t="shared" si="272"/>
        <v>2.0874999999999999E-3</v>
      </c>
      <c r="CI116" s="3">
        <f t="shared" si="216"/>
        <v>2.3529411764705799E-4</v>
      </c>
      <c r="CJ116" s="3">
        <f t="shared" si="217"/>
        <v>0</v>
      </c>
      <c r="CK116" s="3">
        <f t="shared" si="273"/>
        <v>1.0588235294117646E-4</v>
      </c>
      <c r="CL116" s="214">
        <f t="shared" si="274"/>
        <v>1.35E-2</v>
      </c>
      <c r="CM116" s="50">
        <f t="shared" si="218"/>
        <v>1.5920852320241562E-2</v>
      </c>
      <c r="CS116" s="24"/>
    </row>
    <row r="117" spans="16:97" ht="11.25" customHeight="1">
      <c r="P117" s="116">
        <f t="shared" si="219"/>
        <v>0.90000000000000013</v>
      </c>
      <c r="Q117" s="135">
        <f t="shared" si="220"/>
        <v>4.5000000000000005E-3</v>
      </c>
      <c r="R117" s="49">
        <f t="shared" si="221"/>
        <v>0.1111111111111111</v>
      </c>
      <c r="S117" s="3">
        <f t="shared" si="222"/>
        <v>8.0000000000000002E-3</v>
      </c>
      <c r="T117" s="49">
        <f t="shared" si="223"/>
        <v>8.8888888888888568E-4</v>
      </c>
      <c r="U117" s="49">
        <f t="shared" si="224"/>
        <v>0</v>
      </c>
      <c r="V117" s="49">
        <f t="shared" si="225"/>
        <v>8.888888888888888E-5</v>
      </c>
      <c r="W117" s="3">
        <f t="shared" si="226"/>
        <v>0.01</v>
      </c>
      <c r="X117" s="50">
        <f t="shared" si="199"/>
        <v>0.11272980041335372</v>
      </c>
      <c r="Y117" s="3">
        <f t="shared" si="227"/>
        <v>0.11888888888888888</v>
      </c>
      <c r="Z117" s="3">
        <f t="shared" si="228"/>
        <v>8.6999999999999994E-3</v>
      </c>
      <c r="AA117" s="3">
        <f t="shared" si="200"/>
        <v>8.8888888888888568E-4</v>
      </c>
      <c r="AB117" s="3">
        <f t="shared" si="201"/>
        <v>0</v>
      </c>
      <c r="AC117" s="3">
        <f t="shared" si="229"/>
        <v>8.888888888888888E-5</v>
      </c>
      <c r="AD117" s="214">
        <f t="shared" si="230"/>
        <v>1.35E-2</v>
      </c>
      <c r="AE117" s="136">
        <f t="shared" si="202"/>
        <v>0.12084975775986181</v>
      </c>
      <c r="AF117" s="16">
        <f t="shared" si="231"/>
        <v>4.5000000000000005E-3</v>
      </c>
      <c r="AG117" s="49">
        <f t="shared" si="232"/>
        <v>1.7777777777777774E-3</v>
      </c>
      <c r="AH117" s="3">
        <f t="shared" si="233"/>
        <v>1.4999999999999999E-4</v>
      </c>
      <c r="AI117" s="49">
        <f t="shared" si="234"/>
        <v>1.1137494080606007E-5</v>
      </c>
      <c r="AJ117" s="49">
        <f t="shared" si="235"/>
        <v>2.5298221281346955E-4</v>
      </c>
      <c r="AK117" s="49">
        <f t="shared" si="236"/>
        <v>4.9999999999999996E-5</v>
      </c>
      <c r="AL117" s="3">
        <f t="shared" si="237"/>
        <v>0.01</v>
      </c>
      <c r="AM117" s="50">
        <f t="shared" si="203"/>
        <v>1.0207563143958955E-2</v>
      </c>
      <c r="AN117" s="3">
        <f t="shared" si="238"/>
        <v>2.5555555555555548E-3</v>
      </c>
      <c r="AO117" s="3">
        <f t="shared" si="239"/>
        <v>2.1999999999999998E-4</v>
      </c>
      <c r="AP117" s="3">
        <f t="shared" si="204"/>
        <v>1.1137494080606007E-5</v>
      </c>
      <c r="AQ117" s="3">
        <f t="shared" si="205"/>
        <v>2.5298221281346955E-4</v>
      </c>
      <c r="AR117" s="3">
        <f t="shared" si="240"/>
        <v>4.9999999999999996E-5</v>
      </c>
      <c r="AS117" s="214">
        <f t="shared" si="241"/>
        <v>1.35E-2</v>
      </c>
      <c r="AT117" s="50">
        <f t="shared" si="206"/>
        <v>1.3793167460219947E-2</v>
      </c>
      <c r="AU117" s="16">
        <f t="shared" si="242"/>
        <v>4.5000000000000005E-3</v>
      </c>
      <c r="AV117" s="49">
        <f t="shared" si="243"/>
        <v>3.3333333333333326E-2</v>
      </c>
      <c r="AW117" s="3">
        <f t="shared" si="244"/>
        <v>8.0000000000000002E-3</v>
      </c>
      <c r="AX117" s="49">
        <f t="shared" si="245"/>
        <v>8.8888888888888568E-4</v>
      </c>
      <c r="AY117" s="49">
        <f t="shared" si="246"/>
        <v>0.16825529186138474</v>
      </c>
      <c r="AZ117" s="49">
        <f t="shared" si="247"/>
        <v>8.888888888888888E-5</v>
      </c>
      <c r="BA117" s="3">
        <f t="shared" si="248"/>
        <v>0.01</v>
      </c>
      <c r="BB117" s="50">
        <f t="shared" si="207"/>
        <v>0.20288211259426453</v>
      </c>
      <c r="BC117" s="3">
        <f t="shared" si="249"/>
        <v>4.1111111111111098E-2</v>
      </c>
      <c r="BD117" s="3">
        <f t="shared" si="250"/>
        <v>8.6999999999999994E-3</v>
      </c>
      <c r="BE117" s="3">
        <f t="shared" si="208"/>
        <v>8.8888888888888568E-4</v>
      </c>
      <c r="BF117" s="3">
        <f t="shared" si="209"/>
        <v>0.16825529186138474</v>
      </c>
      <c r="BG117" s="3">
        <f t="shared" si="251"/>
        <v>8.888888888888888E-5</v>
      </c>
      <c r="BH117" s="214">
        <f t="shared" si="252"/>
        <v>1.35E-2</v>
      </c>
      <c r="BI117" s="50">
        <f t="shared" si="210"/>
        <v>0.21086781560245424</v>
      </c>
      <c r="BJ117" s="16">
        <f t="shared" si="253"/>
        <v>4.5000000000000005E-3</v>
      </c>
      <c r="BK117" s="49">
        <f t="shared" si="254"/>
        <v>3.3333333333333326E-2</v>
      </c>
      <c r="BL117" s="3">
        <f t="shared" si="255"/>
        <v>1E-3</v>
      </c>
      <c r="BM117" s="49">
        <f t="shared" si="256"/>
        <v>2.2222222222222142E-4</v>
      </c>
      <c r="BN117" s="49">
        <f t="shared" si="257"/>
        <v>7.9999999999999984E-3</v>
      </c>
      <c r="BO117" s="49">
        <f t="shared" si="258"/>
        <v>4.9999999999999996E-5</v>
      </c>
      <c r="BP117" s="3">
        <f t="shared" si="259"/>
        <v>0.01</v>
      </c>
      <c r="BQ117" s="50">
        <f t="shared" si="211"/>
        <v>4.2753557717818802E-2</v>
      </c>
      <c r="BR117" s="3">
        <f t="shared" si="260"/>
        <v>3.7222222222222212E-2</v>
      </c>
      <c r="BS117" s="3">
        <f t="shared" si="261"/>
        <v>1.175E-3</v>
      </c>
      <c r="BT117" s="3">
        <f t="shared" si="212"/>
        <v>2.2222222222222142E-4</v>
      </c>
      <c r="BU117" s="3">
        <f t="shared" si="213"/>
        <v>7.9999999999999984E-3</v>
      </c>
      <c r="BV117" s="3">
        <f t="shared" si="262"/>
        <v>4.9999999999999996E-5</v>
      </c>
      <c r="BW117" s="214">
        <f t="shared" si="263"/>
        <v>1.35E-2</v>
      </c>
      <c r="BX117" s="50">
        <f t="shared" si="214"/>
        <v>4.7421837331172612E-2</v>
      </c>
      <c r="BY117" s="16">
        <f t="shared" si="264"/>
        <v>4.5000000000000005E-3</v>
      </c>
      <c r="BZ117" s="49">
        <f t="shared" si="265"/>
        <v>5.555555555555554E-3</v>
      </c>
      <c r="CA117" s="3">
        <f t="shared" si="266"/>
        <v>2E-3</v>
      </c>
      <c r="CB117" s="49">
        <f t="shared" si="267"/>
        <v>2.2222222222222142E-4</v>
      </c>
      <c r="CC117" s="49">
        <f t="shared" si="268"/>
        <v>0</v>
      </c>
      <c r="CD117" s="49">
        <f t="shared" si="269"/>
        <v>9.9999999999999991E-5</v>
      </c>
      <c r="CE117" s="3">
        <f t="shared" si="270"/>
        <v>0.01</v>
      </c>
      <c r="CF117" s="50">
        <f t="shared" si="215"/>
        <v>1.1721463903855299E-2</v>
      </c>
      <c r="CG117" s="3">
        <f t="shared" si="271"/>
        <v>7.499999999999998E-3</v>
      </c>
      <c r="CH117" s="3">
        <f t="shared" si="272"/>
        <v>2.0874999999999999E-3</v>
      </c>
      <c r="CI117" s="3">
        <f t="shared" si="216"/>
        <v>2.2222222222222142E-4</v>
      </c>
      <c r="CJ117" s="3">
        <f t="shared" si="217"/>
        <v>0</v>
      </c>
      <c r="CK117" s="3">
        <f t="shared" si="273"/>
        <v>9.9999999999999991E-5</v>
      </c>
      <c r="CL117" s="214">
        <f t="shared" si="274"/>
        <v>1.35E-2</v>
      </c>
      <c r="CM117" s="50">
        <f t="shared" si="218"/>
        <v>1.5692366688915431E-2</v>
      </c>
      <c r="CS117" s="24"/>
    </row>
    <row r="118" spans="16:97" ht="11.25" customHeight="1">
      <c r="P118" s="116">
        <f t="shared" si="219"/>
        <v>0.95000000000000018</v>
      </c>
      <c r="Q118" s="135">
        <f t="shared" si="220"/>
        <v>4.7500000000000007E-3</v>
      </c>
      <c r="R118" s="49">
        <f t="shared" si="221"/>
        <v>0.10526315789473682</v>
      </c>
      <c r="S118" s="3">
        <f t="shared" si="222"/>
        <v>8.0000000000000002E-3</v>
      </c>
      <c r="T118" s="49">
        <f t="shared" si="223"/>
        <v>8.4210526315789175E-4</v>
      </c>
      <c r="U118" s="49">
        <f t="shared" si="224"/>
        <v>0</v>
      </c>
      <c r="V118" s="49">
        <f t="shared" si="225"/>
        <v>8.4210526315789462E-5</v>
      </c>
      <c r="W118" s="3">
        <f t="shared" si="226"/>
        <v>0.01</v>
      </c>
      <c r="X118" s="50">
        <f t="shared" si="199"/>
        <v>0.10687531970113039</v>
      </c>
      <c r="Y118" s="3">
        <f t="shared" si="227"/>
        <v>0.1126315789473684</v>
      </c>
      <c r="Z118" s="3">
        <f t="shared" si="228"/>
        <v>8.6999999999999994E-3</v>
      </c>
      <c r="AA118" s="3">
        <f t="shared" si="200"/>
        <v>8.4210526315789175E-4</v>
      </c>
      <c r="AB118" s="3">
        <f t="shared" si="201"/>
        <v>0</v>
      </c>
      <c r="AC118" s="3">
        <f t="shared" si="229"/>
        <v>8.4210526315789462E-5</v>
      </c>
      <c r="AD118" s="214">
        <f t="shared" si="230"/>
        <v>1.35E-2</v>
      </c>
      <c r="AE118" s="136">
        <f t="shared" si="202"/>
        <v>0.11460464257491049</v>
      </c>
      <c r="AF118" s="16">
        <f t="shared" si="231"/>
        <v>4.7500000000000007E-3</v>
      </c>
      <c r="AG118" s="49">
        <f t="shared" si="232"/>
        <v>1.6842105263157891E-3</v>
      </c>
      <c r="AH118" s="3">
        <f t="shared" si="233"/>
        <v>1.4999999999999999E-4</v>
      </c>
      <c r="AI118" s="49">
        <f t="shared" si="234"/>
        <v>1.0551310181626743E-5</v>
      </c>
      <c r="AJ118" s="49">
        <f t="shared" si="235"/>
        <v>2.3966735950749747E-4</v>
      </c>
      <c r="AK118" s="49">
        <f t="shared" si="236"/>
        <v>4.7368421052631574E-5</v>
      </c>
      <c r="AL118" s="3">
        <f t="shared" si="237"/>
        <v>0.01</v>
      </c>
      <c r="AM118" s="50">
        <f t="shared" si="203"/>
        <v>1.018659708055979E-2</v>
      </c>
      <c r="AN118" s="3">
        <f t="shared" si="238"/>
        <v>2.4210526315789471E-3</v>
      </c>
      <c r="AO118" s="3">
        <f t="shared" si="239"/>
        <v>2.1999999999999998E-4</v>
      </c>
      <c r="AP118" s="3">
        <f t="shared" si="204"/>
        <v>1.0551310181626743E-5</v>
      </c>
      <c r="AQ118" s="3">
        <f t="shared" si="205"/>
        <v>2.3966735950749747E-4</v>
      </c>
      <c r="AR118" s="3">
        <f t="shared" si="240"/>
        <v>4.7368421052631574E-5</v>
      </c>
      <c r="AS118" s="214">
        <f t="shared" si="241"/>
        <v>1.35E-2</v>
      </c>
      <c r="AT118" s="50">
        <f t="shared" si="206"/>
        <v>1.376358725522861E-2</v>
      </c>
      <c r="AU118" s="16">
        <f t="shared" si="242"/>
        <v>4.7500000000000007E-3</v>
      </c>
      <c r="AV118" s="49">
        <f t="shared" si="243"/>
        <v>3.1578947368421047E-2</v>
      </c>
      <c r="AW118" s="3">
        <f t="shared" si="244"/>
        <v>8.0000000000000002E-3</v>
      </c>
      <c r="AX118" s="49">
        <f t="shared" si="245"/>
        <v>8.4210526315789175E-4</v>
      </c>
      <c r="AY118" s="49">
        <f t="shared" si="246"/>
        <v>0.15939975018446975</v>
      </c>
      <c r="AZ118" s="49">
        <f t="shared" si="247"/>
        <v>8.4210526315789462E-5</v>
      </c>
      <c r="BA118" s="3">
        <f t="shared" si="248"/>
        <v>0.01</v>
      </c>
      <c r="BB118" s="50">
        <f t="shared" si="207"/>
        <v>0.1922478282956824</v>
      </c>
      <c r="BC118" s="3">
        <f t="shared" si="249"/>
        <v>3.8947368421052626E-2</v>
      </c>
      <c r="BD118" s="3">
        <f t="shared" si="250"/>
        <v>8.6999999999999994E-3</v>
      </c>
      <c r="BE118" s="3">
        <f t="shared" si="208"/>
        <v>8.4210526315789175E-4</v>
      </c>
      <c r="BF118" s="3">
        <f t="shared" si="209"/>
        <v>0.15939975018446975</v>
      </c>
      <c r="BG118" s="3">
        <f t="shared" si="251"/>
        <v>8.4210526315789462E-5</v>
      </c>
      <c r="BH118" s="214">
        <f t="shared" si="252"/>
        <v>1.35E-2</v>
      </c>
      <c r="BI118" s="50">
        <f t="shared" si="210"/>
        <v>0.19983566747910636</v>
      </c>
      <c r="BJ118" s="16">
        <f t="shared" si="253"/>
        <v>4.7500000000000007E-3</v>
      </c>
      <c r="BK118" s="49">
        <f t="shared" si="254"/>
        <v>3.1578947368421047E-2</v>
      </c>
      <c r="BL118" s="3">
        <f t="shared" si="255"/>
        <v>1E-3</v>
      </c>
      <c r="BM118" s="49">
        <f t="shared" si="256"/>
        <v>2.1052631578947294E-4</v>
      </c>
      <c r="BN118" s="49">
        <f t="shared" si="257"/>
        <v>7.5789473684210514E-3</v>
      </c>
      <c r="BO118" s="49">
        <f t="shared" si="258"/>
        <v>4.7368421052631574E-5</v>
      </c>
      <c r="BP118" s="3">
        <f t="shared" si="259"/>
        <v>0.01</v>
      </c>
      <c r="BQ118" s="50">
        <f t="shared" si="211"/>
        <v>4.0630958885369634E-2</v>
      </c>
      <c r="BR118" s="3">
        <f t="shared" si="260"/>
        <v>3.5263157894736837E-2</v>
      </c>
      <c r="BS118" s="3">
        <f t="shared" si="261"/>
        <v>1.175E-3</v>
      </c>
      <c r="BT118" s="3">
        <f t="shared" si="212"/>
        <v>2.1052631578947294E-4</v>
      </c>
      <c r="BU118" s="3">
        <f t="shared" si="213"/>
        <v>7.5789473684210514E-3</v>
      </c>
      <c r="BV118" s="3">
        <f t="shared" si="262"/>
        <v>4.7368421052631574E-5</v>
      </c>
      <c r="BW118" s="214">
        <f t="shared" si="263"/>
        <v>1.35E-2</v>
      </c>
      <c r="BX118" s="50">
        <f t="shared" si="214"/>
        <v>4.5134930537665492E-2</v>
      </c>
      <c r="BY118" s="16">
        <f t="shared" si="264"/>
        <v>4.7500000000000007E-3</v>
      </c>
      <c r="BZ118" s="49">
        <f t="shared" si="265"/>
        <v>5.2631578947368411E-3</v>
      </c>
      <c r="CA118" s="3">
        <f t="shared" si="266"/>
        <v>2E-3</v>
      </c>
      <c r="CB118" s="49">
        <f t="shared" si="267"/>
        <v>2.1052631578947294E-4</v>
      </c>
      <c r="CC118" s="49">
        <f t="shared" si="268"/>
        <v>0</v>
      </c>
      <c r="CD118" s="49">
        <f t="shared" si="269"/>
        <v>9.4736842105263148E-5</v>
      </c>
      <c r="CE118" s="3">
        <f t="shared" si="270"/>
        <v>0.01</v>
      </c>
      <c r="CF118" s="50">
        <f t="shared" si="215"/>
        <v>1.1574549404007792E-2</v>
      </c>
      <c r="CG118" s="3">
        <f t="shared" si="271"/>
        <v>7.1052631578947352E-3</v>
      </c>
      <c r="CH118" s="3">
        <f t="shared" si="272"/>
        <v>2.0874999999999999E-3</v>
      </c>
      <c r="CI118" s="3">
        <f t="shared" si="216"/>
        <v>2.1052631578947294E-4</v>
      </c>
      <c r="CJ118" s="3">
        <f t="shared" si="217"/>
        <v>0</v>
      </c>
      <c r="CK118" s="3">
        <f t="shared" si="273"/>
        <v>9.4736842105263148E-5</v>
      </c>
      <c r="CL118" s="214">
        <f t="shared" si="274"/>
        <v>1.35E-2</v>
      </c>
      <c r="CM118" s="50">
        <f t="shared" si="218"/>
        <v>1.5496367540250222E-2</v>
      </c>
      <c r="CS118" s="24"/>
    </row>
    <row r="119" spans="16:97" ht="11.25" customHeight="1">
      <c r="P119" s="116">
        <f t="shared" si="219"/>
        <v>1</v>
      </c>
      <c r="Q119" s="135">
        <f t="shared" si="220"/>
        <v>5.0000000000000001E-3</v>
      </c>
      <c r="R119" s="49">
        <f t="shared" si="221"/>
        <v>0.1</v>
      </c>
      <c r="S119" s="3">
        <f t="shared" si="222"/>
        <v>8.0000000000000002E-3</v>
      </c>
      <c r="T119" s="49">
        <f t="shared" si="223"/>
        <v>7.9999999999999722E-4</v>
      </c>
      <c r="U119" s="49">
        <f t="shared" si="224"/>
        <v>0</v>
      </c>
      <c r="V119" s="49">
        <f t="shared" si="225"/>
        <v>8.0000000000000007E-5</v>
      </c>
      <c r="W119" s="3">
        <f t="shared" si="226"/>
        <v>0.01</v>
      </c>
      <c r="X119" s="50">
        <f t="shared" si="199"/>
        <v>0.1016102671977591</v>
      </c>
      <c r="Y119" s="3">
        <f t="shared" si="227"/>
        <v>0.10700000000000001</v>
      </c>
      <c r="Z119" s="3">
        <f t="shared" si="228"/>
        <v>8.6999999999999994E-3</v>
      </c>
      <c r="AA119" s="3">
        <f t="shared" si="200"/>
        <v>7.9999999999999722E-4</v>
      </c>
      <c r="AB119" s="3">
        <f t="shared" si="201"/>
        <v>0</v>
      </c>
      <c r="AC119" s="3">
        <f t="shared" si="229"/>
        <v>8.0000000000000007E-5</v>
      </c>
      <c r="AD119" s="214">
        <f t="shared" si="230"/>
        <v>1.35E-2</v>
      </c>
      <c r="AE119" s="136">
        <f t="shared" si="202"/>
        <v>0.10898984539855079</v>
      </c>
      <c r="AF119" s="16">
        <f t="shared" si="231"/>
        <v>5.0000000000000001E-3</v>
      </c>
      <c r="AG119" s="49">
        <f t="shared" si="232"/>
        <v>1.5999999999999999E-3</v>
      </c>
      <c r="AH119" s="3">
        <f t="shared" si="233"/>
        <v>1.4999999999999999E-4</v>
      </c>
      <c r="AI119" s="49">
        <f t="shared" si="234"/>
        <v>1.0023744672545408E-5</v>
      </c>
      <c r="AJ119" s="49">
        <f t="shared" si="235"/>
        <v>2.2768399153212261E-4</v>
      </c>
      <c r="AK119" s="49">
        <f t="shared" si="236"/>
        <v>4.5000000000000003E-5</v>
      </c>
      <c r="AL119" s="3">
        <f t="shared" si="237"/>
        <v>0.01</v>
      </c>
      <c r="AM119" s="50">
        <f t="shared" si="203"/>
        <v>1.0168662386160064E-2</v>
      </c>
      <c r="AN119" s="3">
        <f t="shared" si="238"/>
        <v>2.3E-3</v>
      </c>
      <c r="AO119" s="3">
        <f t="shared" si="239"/>
        <v>2.1999999999999998E-4</v>
      </c>
      <c r="AP119" s="3">
        <f t="shared" si="204"/>
        <v>1.0023744672545408E-5</v>
      </c>
      <c r="AQ119" s="3">
        <f t="shared" si="205"/>
        <v>2.2768399153212261E-4</v>
      </c>
      <c r="AR119" s="3">
        <f t="shared" si="240"/>
        <v>4.5000000000000003E-5</v>
      </c>
      <c r="AS119" s="214">
        <f t="shared" si="241"/>
        <v>1.35E-2</v>
      </c>
      <c r="AT119" s="50">
        <f t="shared" si="206"/>
        <v>1.3738281754076563E-2</v>
      </c>
      <c r="AU119" s="16">
        <f t="shared" si="242"/>
        <v>5.0000000000000001E-3</v>
      </c>
      <c r="AV119" s="49">
        <f t="shared" si="243"/>
        <v>2.9999999999999995E-2</v>
      </c>
      <c r="AW119" s="3">
        <f t="shared" si="244"/>
        <v>8.0000000000000002E-3</v>
      </c>
      <c r="AX119" s="49">
        <f t="shared" si="245"/>
        <v>7.9999999999999722E-4</v>
      </c>
      <c r="AY119" s="49">
        <f t="shared" si="246"/>
        <v>0.15142976267524627</v>
      </c>
      <c r="AZ119" s="49">
        <f t="shared" si="247"/>
        <v>8.0000000000000007E-5</v>
      </c>
      <c r="BA119" s="3">
        <f t="shared" si="248"/>
        <v>0.01</v>
      </c>
      <c r="BB119" s="50">
        <f t="shared" si="207"/>
        <v>0.18267920736820759</v>
      </c>
      <c r="BC119" s="3">
        <f t="shared" si="249"/>
        <v>3.6999999999999991E-2</v>
      </c>
      <c r="BD119" s="3">
        <f t="shared" si="250"/>
        <v>8.6999999999999994E-3</v>
      </c>
      <c r="BE119" s="3">
        <f t="shared" si="208"/>
        <v>7.9999999999999722E-4</v>
      </c>
      <c r="BF119" s="3">
        <f t="shared" si="209"/>
        <v>0.15142976267524627</v>
      </c>
      <c r="BG119" s="3">
        <f t="shared" si="251"/>
        <v>8.0000000000000007E-5</v>
      </c>
      <c r="BH119" s="214">
        <f t="shared" si="252"/>
        <v>1.35E-2</v>
      </c>
      <c r="BI119" s="50">
        <f t="shared" si="210"/>
        <v>0.18991010895191976</v>
      </c>
      <c r="BJ119" s="16">
        <f t="shared" si="253"/>
        <v>5.0000000000000001E-3</v>
      </c>
      <c r="BK119" s="49">
        <f t="shared" si="254"/>
        <v>2.9999999999999995E-2</v>
      </c>
      <c r="BL119" s="3">
        <f t="shared" si="255"/>
        <v>1E-3</v>
      </c>
      <c r="BM119" s="49">
        <f t="shared" si="256"/>
        <v>1.999999999999993E-4</v>
      </c>
      <c r="BN119" s="49">
        <f t="shared" si="257"/>
        <v>7.1999999999999998E-3</v>
      </c>
      <c r="BO119" s="49">
        <f t="shared" si="258"/>
        <v>4.5000000000000003E-5</v>
      </c>
      <c r="BP119" s="3">
        <f t="shared" si="259"/>
        <v>0.01</v>
      </c>
      <c r="BQ119" s="50">
        <f t="shared" si="211"/>
        <v>3.8726761096172242E-2</v>
      </c>
      <c r="BR119" s="3">
        <f t="shared" si="260"/>
        <v>3.3499999999999995E-2</v>
      </c>
      <c r="BS119" s="3">
        <f t="shared" si="261"/>
        <v>1.175E-3</v>
      </c>
      <c r="BT119" s="3">
        <f t="shared" si="212"/>
        <v>1.999999999999993E-4</v>
      </c>
      <c r="BU119" s="3">
        <f t="shared" si="213"/>
        <v>7.1999999999999998E-3</v>
      </c>
      <c r="BV119" s="3">
        <f t="shared" si="262"/>
        <v>4.5000000000000003E-5</v>
      </c>
      <c r="BW119" s="214">
        <f t="shared" si="263"/>
        <v>1.35E-2</v>
      </c>
      <c r="BX119" s="50">
        <f t="shared" si="214"/>
        <v>4.3086455528390813E-2</v>
      </c>
      <c r="BY119" s="16">
        <f t="shared" si="264"/>
        <v>5.0000000000000001E-3</v>
      </c>
      <c r="BZ119" s="49">
        <f t="shared" si="265"/>
        <v>4.9999999999999992E-3</v>
      </c>
      <c r="CA119" s="3">
        <f t="shared" si="266"/>
        <v>2E-3</v>
      </c>
      <c r="CB119" s="49">
        <f t="shared" si="267"/>
        <v>1.999999999999993E-4</v>
      </c>
      <c r="CC119" s="49">
        <f t="shared" si="268"/>
        <v>0</v>
      </c>
      <c r="CD119" s="49">
        <f t="shared" si="269"/>
        <v>9.0000000000000006E-5</v>
      </c>
      <c r="CE119" s="3">
        <f t="shared" si="270"/>
        <v>0.01</v>
      </c>
      <c r="CF119" s="50">
        <f t="shared" si="215"/>
        <v>1.1447624207668594E-2</v>
      </c>
      <c r="CG119" s="3">
        <f t="shared" si="271"/>
        <v>6.7499999999999991E-3</v>
      </c>
      <c r="CH119" s="3">
        <f t="shared" si="272"/>
        <v>2.0874999999999999E-3</v>
      </c>
      <c r="CI119" s="3">
        <f t="shared" si="216"/>
        <v>1.999999999999993E-4</v>
      </c>
      <c r="CJ119" s="3">
        <f t="shared" si="217"/>
        <v>0</v>
      </c>
      <c r="CK119" s="3">
        <f t="shared" si="273"/>
        <v>9.0000000000000006E-5</v>
      </c>
      <c r="CL119" s="214">
        <f t="shared" si="274"/>
        <v>1.35E-2</v>
      </c>
      <c r="CM119" s="50">
        <f t="shared" si="218"/>
        <v>1.532704329771401E-2</v>
      </c>
    </row>
    <row r="120" spans="16:97" ht="11.25" customHeight="1">
      <c r="P120" s="116">
        <f t="shared" si="219"/>
        <v>1.5</v>
      </c>
      <c r="Q120" s="135">
        <f t="shared" si="220"/>
        <v>7.4999999999999997E-3</v>
      </c>
      <c r="R120" s="49">
        <f t="shared" si="221"/>
        <v>6.6666666666666666E-2</v>
      </c>
      <c r="S120" s="3">
        <f t="shared" si="222"/>
        <v>8.0000000000000002E-3</v>
      </c>
      <c r="T120" s="49">
        <f t="shared" si="223"/>
        <v>5.3333333333333152E-4</v>
      </c>
      <c r="U120" s="49">
        <f t="shared" si="224"/>
        <v>0</v>
      </c>
      <c r="V120" s="49">
        <f t="shared" si="225"/>
        <v>5.333333333333334E-5</v>
      </c>
      <c r="W120" s="3">
        <f t="shared" si="226"/>
        <v>0.01</v>
      </c>
      <c r="X120" s="50">
        <f t="shared" si="199"/>
        <v>6.8409376875136374E-2</v>
      </c>
      <c r="Y120" s="3">
        <f t="shared" si="227"/>
        <v>7.1333333333333332E-2</v>
      </c>
      <c r="Z120" s="3">
        <f t="shared" si="228"/>
        <v>8.6999999999999994E-3</v>
      </c>
      <c r="AA120" s="3">
        <f t="shared" si="200"/>
        <v>5.3333333333333152E-4</v>
      </c>
      <c r="AB120" s="3">
        <f t="shared" si="201"/>
        <v>0</v>
      </c>
      <c r="AC120" s="3">
        <f t="shared" si="229"/>
        <v>5.333333333333334E-5</v>
      </c>
      <c r="AD120" s="214">
        <f t="shared" si="230"/>
        <v>1.35E-2</v>
      </c>
      <c r="AE120" s="136">
        <f t="shared" si="202"/>
        <v>7.3639395857259871E-2</v>
      </c>
      <c r="AF120" s="16">
        <f t="shared" si="231"/>
        <v>7.4999999999999997E-3</v>
      </c>
      <c r="AG120" s="49">
        <f t="shared" si="232"/>
        <v>1.0666666666666667E-3</v>
      </c>
      <c r="AH120" s="3">
        <f t="shared" si="233"/>
        <v>1.4999999999999999E-4</v>
      </c>
      <c r="AI120" s="49">
        <f t="shared" si="234"/>
        <v>6.6824964483636056E-6</v>
      </c>
      <c r="AJ120" s="49">
        <f t="shared" si="235"/>
        <v>1.5178932768808177E-4</v>
      </c>
      <c r="AK120" s="49">
        <f t="shared" si="236"/>
        <v>3.0000000000000001E-5</v>
      </c>
      <c r="AL120" s="3">
        <f t="shared" si="237"/>
        <v>0.01</v>
      </c>
      <c r="AM120" s="50">
        <f t="shared" si="203"/>
        <v>1.0075929948230452E-2</v>
      </c>
      <c r="AN120" s="3">
        <f t="shared" si="238"/>
        <v>1.5333333333333334E-3</v>
      </c>
      <c r="AO120" s="3">
        <f t="shared" si="239"/>
        <v>2.1999999999999998E-4</v>
      </c>
      <c r="AP120" s="3">
        <f t="shared" si="204"/>
        <v>6.6824964483636056E-6</v>
      </c>
      <c r="AQ120" s="3">
        <f t="shared" si="205"/>
        <v>1.5178932768808177E-4</v>
      </c>
      <c r="AR120" s="3">
        <f t="shared" si="240"/>
        <v>3.0000000000000001E-5</v>
      </c>
      <c r="AS120" s="214">
        <f t="shared" si="241"/>
        <v>1.35E-2</v>
      </c>
      <c r="AT120" s="50">
        <f t="shared" si="206"/>
        <v>1.3607406244058465E-2</v>
      </c>
      <c r="AU120" s="16">
        <f t="shared" si="242"/>
        <v>7.4999999999999997E-3</v>
      </c>
      <c r="AV120" s="49">
        <f t="shared" si="243"/>
        <v>0.02</v>
      </c>
      <c r="AW120" s="3">
        <f t="shared" si="244"/>
        <v>8.0000000000000002E-3</v>
      </c>
      <c r="AX120" s="49">
        <f t="shared" si="245"/>
        <v>5.3333333333333152E-4</v>
      </c>
      <c r="AY120" s="49">
        <f t="shared" si="246"/>
        <v>0.10095317511683086</v>
      </c>
      <c r="AZ120" s="49">
        <f t="shared" si="247"/>
        <v>5.333333333333334E-5</v>
      </c>
      <c r="BA120" s="3">
        <f t="shared" si="248"/>
        <v>0.01</v>
      </c>
      <c r="BB120" s="50">
        <f t="shared" si="207"/>
        <v>0.12215962745463928</v>
      </c>
      <c r="BC120" s="3">
        <f t="shared" si="249"/>
        <v>2.4666666666666667E-2</v>
      </c>
      <c r="BD120" s="3">
        <f t="shared" si="250"/>
        <v>8.6999999999999994E-3</v>
      </c>
      <c r="BE120" s="3">
        <f t="shared" si="208"/>
        <v>5.3333333333333152E-4</v>
      </c>
      <c r="BF120" s="3">
        <f t="shared" si="209"/>
        <v>0.10095317511683086</v>
      </c>
      <c r="BG120" s="3">
        <f t="shared" si="251"/>
        <v>5.333333333333334E-5</v>
      </c>
      <c r="BH120" s="214">
        <f t="shared" si="252"/>
        <v>1.35E-2</v>
      </c>
      <c r="BI120" s="50">
        <f t="shared" si="210"/>
        <v>0.12717140573455274</v>
      </c>
      <c r="BJ120" s="16">
        <f t="shared" si="253"/>
        <v>7.4999999999999997E-3</v>
      </c>
      <c r="BK120" s="49">
        <f t="shared" si="254"/>
        <v>0.02</v>
      </c>
      <c r="BL120" s="3">
        <f t="shared" si="255"/>
        <v>1E-3</v>
      </c>
      <c r="BM120" s="49">
        <f t="shared" si="256"/>
        <v>1.3333333333333288E-4</v>
      </c>
      <c r="BN120" s="49">
        <f t="shared" si="257"/>
        <v>4.8000000000000004E-3</v>
      </c>
      <c r="BO120" s="49">
        <f t="shared" si="258"/>
        <v>3.0000000000000001E-5</v>
      </c>
      <c r="BP120" s="3">
        <f t="shared" si="259"/>
        <v>0.01</v>
      </c>
      <c r="BQ120" s="50">
        <f t="shared" si="211"/>
        <v>2.6882559608621931E-2</v>
      </c>
      <c r="BR120" s="3">
        <f t="shared" si="260"/>
        <v>2.2333333333333334E-2</v>
      </c>
      <c r="BS120" s="3">
        <f t="shared" si="261"/>
        <v>1.175E-3</v>
      </c>
      <c r="BT120" s="3">
        <f t="shared" si="212"/>
        <v>1.3333333333333288E-4</v>
      </c>
      <c r="BU120" s="3">
        <f t="shared" si="213"/>
        <v>4.8000000000000004E-3</v>
      </c>
      <c r="BV120" s="3">
        <f t="shared" si="262"/>
        <v>3.0000000000000001E-5</v>
      </c>
      <c r="BW120" s="214">
        <f t="shared" si="263"/>
        <v>1.35E-2</v>
      </c>
      <c r="BX120" s="50">
        <f t="shared" si="214"/>
        <v>3.0448360154712951E-2</v>
      </c>
      <c r="BY120" s="16">
        <f t="shared" si="264"/>
        <v>7.4999999999999997E-3</v>
      </c>
      <c r="BZ120" s="49">
        <f t="shared" si="265"/>
        <v>3.3333333333333331E-3</v>
      </c>
      <c r="CA120" s="3">
        <f t="shared" si="266"/>
        <v>2E-3</v>
      </c>
      <c r="CB120" s="49">
        <f t="shared" si="267"/>
        <v>1.3333333333333288E-4</v>
      </c>
      <c r="CC120" s="49">
        <f t="shared" si="268"/>
        <v>0</v>
      </c>
      <c r="CD120" s="49">
        <f t="shared" si="269"/>
        <v>6.0000000000000002E-5</v>
      </c>
      <c r="CE120" s="3">
        <f t="shared" si="270"/>
        <v>0.01</v>
      </c>
      <c r="CF120" s="50">
        <f t="shared" si="215"/>
        <v>1.0771322006967286E-2</v>
      </c>
      <c r="CG120" s="3">
        <f t="shared" si="271"/>
        <v>4.4999999999999997E-3</v>
      </c>
      <c r="CH120" s="3">
        <f t="shared" si="272"/>
        <v>2.0874999999999999E-3</v>
      </c>
      <c r="CI120" s="3">
        <f t="shared" si="216"/>
        <v>1.3333333333333288E-4</v>
      </c>
      <c r="CJ120" s="3">
        <f t="shared" si="217"/>
        <v>0</v>
      </c>
      <c r="CK120" s="3">
        <f t="shared" si="273"/>
        <v>6.0000000000000002E-5</v>
      </c>
      <c r="CL120" s="214">
        <f t="shared" si="274"/>
        <v>1.35E-2</v>
      </c>
      <c r="CM120" s="50">
        <f t="shared" si="218"/>
        <v>1.4424944853543731E-2</v>
      </c>
    </row>
    <row r="121" spans="16:97" ht="11.25" customHeight="1">
      <c r="P121" s="116">
        <f t="shared" si="219"/>
        <v>2</v>
      </c>
      <c r="Q121" s="135">
        <f t="shared" si="220"/>
        <v>0.01</v>
      </c>
      <c r="R121" s="49">
        <f t="shared" si="221"/>
        <v>0.05</v>
      </c>
      <c r="S121" s="3">
        <f t="shared" si="222"/>
        <v>8.0000000000000002E-3</v>
      </c>
      <c r="T121" s="49">
        <f t="shared" si="223"/>
        <v>3.9999999999999861E-4</v>
      </c>
      <c r="U121" s="49">
        <f t="shared" si="224"/>
        <v>0</v>
      </c>
      <c r="V121" s="49">
        <f t="shared" si="225"/>
        <v>4.0000000000000003E-5</v>
      </c>
      <c r="W121" s="3">
        <f t="shared" si="226"/>
        <v>0.01</v>
      </c>
      <c r="X121" s="50">
        <f t="shared" si="199"/>
        <v>5.2001553822938792E-2</v>
      </c>
      <c r="Y121" s="3">
        <f t="shared" si="227"/>
        <v>5.3500000000000006E-2</v>
      </c>
      <c r="Z121" s="3">
        <f t="shared" si="228"/>
        <v>8.6999999999999994E-3</v>
      </c>
      <c r="AA121" s="3">
        <f t="shared" si="200"/>
        <v>3.9999999999999861E-4</v>
      </c>
      <c r="AB121" s="3">
        <f t="shared" si="201"/>
        <v>0</v>
      </c>
      <c r="AC121" s="3">
        <f t="shared" si="229"/>
        <v>4.0000000000000003E-5</v>
      </c>
      <c r="AD121" s="214">
        <f t="shared" si="230"/>
        <v>1.35E-2</v>
      </c>
      <c r="AE121" s="136">
        <f t="shared" si="202"/>
        <v>5.6241902528275128E-2</v>
      </c>
      <c r="AF121" s="16">
        <f t="shared" si="231"/>
        <v>0.01</v>
      </c>
      <c r="AG121" s="49">
        <f t="shared" si="232"/>
        <v>7.9999999999999993E-4</v>
      </c>
      <c r="AH121" s="3">
        <f t="shared" si="233"/>
        <v>1.4999999999999999E-4</v>
      </c>
      <c r="AI121" s="49">
        <f t="shared" si="234"/>
        <v>5.0118723362727038E-6</v>
      </c>
      <c r="AJ121" s="49">
        <f t="shared" si="235"/>
        <v>1.1384199576606131E-4</v>
      </c>
      <c r="AK121" s="49">
        <f t="shared" si="236"/>
        <v>2.2500000000000001E-5</v>
      </c>
      <c r="AL121" s="3">
        <f t="shared" si="237"/>
        <v>0.01</v>
      </c>
      <c r="AM121" s="50">
        <f t="shared" si="203"/>
        <v>1.0043271313716792E-2</v>
      </c>
      <c r="AN121" s="3">
        <f t="shared" si="238"/>
        <v>1.15E-3</v>
      </c>
      <c r="AO121" s="3">
        <f t="shared" si="239"/>
        <v>2.1999999999999998E-4</v>
      </c>
      <c r="AP121" s="3">
        <f t="shared" si="204"/>
        <v>5.0118723362727038E-6</v>
      </c>
      <c r="AQ121" s="3">
        <f t="shared" si="205"/>
        <v>1.1384199576606131E-4</v>
      </c>
      <c r="AR121" s="3">
        <f t="shared" si="240"/>
        <v>2.2500000000000001E-5</v>
      </c>
      <c r="AS121" s="214">
        <f t="shared" si="241"/>
        <v>1.35E-2</v>
      </c>
      <c r="AT121" s="50">
        <f t="shared" si="206"/>
        <v>1.35613014268026E-2</v>
      </c>
      <c r="AU121" s="16">
        <f t="shared" si="242"/>
        <v>0.01</v>
      </c>
      <c r="AV121" s="49">
        <f t="shared" si="243"/>
        <v>1.4999999999999998E-2</v>
      </c>
      <c r="AW121" s="3">
        <f t="shared" si="244"/>
        <v>8.0000000000000002E-3</v>
      </c>
      <c r="AX121" s="49">
        <f t="shared" si="245"/>
        <v>3.9999999999999861E-4</v>
      </c>
      <c r="AY121" s="49">
        <f t="shared" si="246"/>
        <v>7.5714881337623136E-2</v>
      </c>
      <c r="AZ121" s="49">
        <f t="shared" si="247"/>
        <v>4.0000000000000003E-5</v>
      </c>
      <c r="BA121" s="3">
        <f t="shared" si="248"/>
        <v>0.01</v>
      </c>
      <c r="BB121" s="50">
        <f t="shared" si="207"/>
        <v>9.2010451586595016E-2</v>
      </c>
      <c r="BC121" s="3">
        <f t="shared" si="249"/>
        <v>1.8499999999999996E-2</v>
      </c>
      <c r="BD121" s="3">
        <f t="shared" si="250"/>
        <v>8.6999999999999994E-3</v>
      </c>
      <c r="BE121" s="3">
        <f t="shared" si="208"/>
        <v>3.9999999999999861E-4</v>
      </c>
      <c r="BF121" s="3">
        <f t="shared" si="209"/>
        <v>7.5714881337623136E-2</v>
      </c>
      <c r="BG121" s="3">
        <f t="shared" si="251"/>
        <v>4.0000000000000003E-5</v>
      </c>
      <c r="BH121" s="214">
        <f t="shared" si="252"/>
        <v>1.35E-2</v>
      </c>
      <c r="BI121" s="50">
        <f t="shared" si="210"/>
        <v>9.5968314409144995E-2</v>
      </c>
      <c r="BJ121" s="16">
        <f t="shared" si="253"/>
        <v>0.01</v>
      </c>
      <c r="BK121" s="49">
        <f t="shared" si="254"/>
        <v>1.4999999999999998E-2</v>
      </c>
      <c r="BL121" s="3">
        <f t="shared" si="255"/>
        <v>1E-3</v>
      </c>
      <c r="BM121" s="49">
        <f t="shared" si="256"/>
        <v>9.9999999999999652E-5</v>
      </c>
      <c r="BN121" s="49">
        <f t="shared" si="257"/>
        <v>3.5999999999999999E-3</v>
      </c>
      <c r="BO121" s="49">
        <f t="shared" si="258"/>
        <v>2.2500000000000001E-5</v>
      </c>
      <c r="BP121" s="3">
        <f t="shared" si="259"/>
        <v>0.01</v>
      </c>
      <c r="BQ121" s="50">
        <f t="shared" si="211"/>
        <v>2.1229472585299898E-2</v>
      </c>
      <c r="BR121" s="3">
        <f t="shared" si="260"/>
        <v>1.6749999999999998E-2</v>
      </c>
      <c r="BS121" s="3">
        <f t="shared" si="261"/>
        <v>1.175E-3</v>
      </c>
      <c r="BT121" s="3">
        <f t="shared" si="212"/>
        <v>9.9999999999999652E-5</v>
      </c>
      <c r="BU121" s="3">
        <f t="shared" si="213"/>
        <v>3.5999999999999999E-3</v>
      </c>
      <c r="BV121" s="3">
        <f t="shared" si="262"/>
        <v>2.2500000000000001E-5</v>
      </c>
      <c r="BW121" s="214">
        <f t="shared" si="263"/>
        <v>1.35E-2</v>
      </c>
      <c r="BX121" s="50">
        <f t="shared" si="214"/>
        <v>2.4532297716479797E-2</v>
      </c>
      <c r="BY121" s="16">
        <f t="shared" si="264"/>
        <v>0.01</v>
      </c>
      <c r="BZ121" s="49">
        <f t="shared" si="265"/>
        <v>2.4999999999999996E-3</v>
      </c>
      <c r="CA121" s="3">
        <f t="shared" si="266"/>
        <v>2E-3</v>
      </c>
      <c r="CB121" s="49">
        <f t="shared" si="267"/>
        <v>9.9999999999999652E-5</v>
      </c>
      <c r="CC121" s="49">
        <f t="shared" si="268"/>
        <v>0</v>
      </c>
      <c r="CD121" s="49">
        <f t="shared" si="269"/>
        <v>4.5000000000000003E-5</v>
      </c>
      <c r="CE121" s="3">
        <f t="shared" si="270"/>
        <v>0.01</v>
      </c>
      <c r="CF121" s="50">
        <f t="shared" si="215"/>
        <v>1.0524353899408742E-2</v>
      </c>
      <c r="CG121" s="3">
        <f t="shared" si="271"/>
        <v>3.3749999999999995E-3</v>
      </c>
      <c r="CH121" s="3">
        <f t="shared" si="272"/>
        <v>2.0874999999999999E-3</v>
      </c>
      <c r="CI121" s="3">
        <f t="shared" si="216"/>
        <v>9.9999999999999652E-5</v>
      </c>
      <c r="CJ121" s="3">
        <f t="shared" si="217"/>
        <v>0</v>
      </c>
      <c r="CK121" s="3">
        <f t="shared" si="273"/>
        <v>4.5000000000000003E-5</v>
      </c>
      <c r="CL121" s="214">
        <f t="shared" si="274"/>
        <v>1.35E-2</v>
      </c>
      <c r="CM121" s="50">
        <f t="shared" si="218"/>
        <v>1.4095577542264807E-2</v>
      </c>
    </row>
    <row r="122" spans="16:97" ht="11.25" customHeight="1">
      <c r="P122" s="116">
        <f t="shared" si="219"/>
        <v>2.5</v>
      </c>
      <c r="Q122" s="135">
        <f t="shared" si="220"/>
        <v>1.2500000000000001E-2</v>
      </c>
      <c r="R122" s="49">
        <f t="shared" si="221"/>
        <v>0.04</v>
      </c>
      <c r="S122" s="3">
        <f t="shared" si="222"/>
        <v>8.0000000000000002E-3</v>
      </c>
      <c r="T122" s="49">
        <f t="shared" si="223"/>
        <v>3.1999999999999889E-4</v>
      </c>
      <c r="U122" s="49">
        <f t="shared" si="224"/>
        <v>0</v>
      </c>
      <c r="V122" s="49">
        <f t="shared" si="225"/>
        <v>3.2000000000000005E-5</v>
      </c>
      <c r="W122" s="3">
        <f t="shared" si="226"/>
        <v>0.01</v>
      </c>
      <c r="X122" s="50">
        <f t="shared" si="199"/>
        <v>4.2304886526263137E-2</v>
      </c>
      <c r="Y122" s="3">
        <f t="shared" si="227"/>
        <v>4.2799999999999998E-2</v>
      </c>
      <c r="Z122" s="3">
        <f t="shared" si="228"/>
        <v>8.6999999999999994E-3</v>
      </c>
      <c r="AA122" s="3">
        <f t="shared" si="200"/>
        <v>3.1999999999999889E-4</v>
      </c>
      <c r="AB122" s="3">
        <f t="shared" si="201"/>
        <v>0</v>
      </c>
      <c r="AC122" s="3">
        <f t="shared" si="229"/>
        <v>3.2000000000000005E-5</v>
      </c>
      <c r="AD122" s="214">
        <f t="shared" si="230"/>
        <v>1.35E-2</v>
      </c>
      <c r="AE122" s="136">
        <f t="shared" si="202"/>
        <v>4.6013861215942309E-2</v>
      </c>
      <c r="AF122" s="16">
        <f t="shared" si="231"/>
        <v>1.2500000000000001E-2</v>
      </c>
      <c r="AG122" s="49">
        <f t="shared" si="232"/>
        <v>6.3999999999999994E-4</v>
      </c>
      <c r="AH122" s="3">
        <f t="shared" si="233"/>
        <v>1.4999999999999999E-4</v>
      </c>
      <c r="AI122" s="49">
        <f t="shared" si="234"/>
        <v>4.009497869018163E-6</v>
      </c>
      <c r="AJ122" s="49">
        <f t="shared" si="235"/>
        <v>9.107359661284905E-5</v>
      </c>
      <c r="AK122" s="49">
        <f t="shared" si="236"/>
        <v>1.8E-5</v>
      </c>
      <c r="AL122" s="3">
        <f t="shared" si="237"/>
        <v>0.01</v>
      </c>
      <c r="AM122" s="50">
        <f t="shared" si="203"/>
        <v>1.0028119023814638E-2</v>
      </c>
      <c r="AN122" s="3">
        <f t="shared" si="238"/>
        <v>9.1999999999999992E-4</v>
      </c>
      <c r="AO122" s="3">
        <f t="shared" si="239"/>
        <v>2.1999999999999998E-4</v>
      </c>
      <c r="AP122" s="3">
        <f t="shared" si="204"/>
        <v>4.009497869018163E-6</v>
      </c>
      <c r="AQ122" s="3">
        <f t="shared" si="205"/>
        <v>9.107359661284905E-5</v>
      </c>
      <c r="AR122" s="3">
        <f t="shared" si="240"/>
        <v>1.8E-5</v>
      </c>
      <c r="AS122" s="214">
        <f t="shared" si="241"/>
        <v>1.35E-2</v>
      </c>
      <c r="AT122" s="50">
        <f t="shared" si="206"/>
        <v>1.3539908333836786E-2</v>
      </c>
      <c r="AU122" s="16">
        <f t="shared" si="242"/>
        <v>1.2500000000000001E-2</v>
      </c>
      <c r="AV122" s="49">
        <f t="shared" si="243"/>
        <v>1.1999999999999999E-2</v>
      </c>
      <c r="AW122" s="3">
        <f t="shared" si="244"/>
        <v>8.0000000000000002E-3</v>
      </c>
      <c r="AX122" s="49">
        <f t="shared" si="245"/>
        <v>3.1999999999999889E-4</v>
      </c>
      <c r="AY122" s="49">
        <f t="shared" si="246"/>
        <v>6.0571905070098513E-2</v>
      </c>
      <c r="AZ122" s="49">
        <f t="shared" si="247"/>
        <v>3.2000000000000005E-5</v>
      </c>
      <c r="BA122" s="3">
        <f t="shared" si="248"/>
        <v>0.01</v>
      </c>
      <c r="BB122" s="50">
        <f t="shared" si="207"/>
        <v>7.4008316078318218E-2</v>
      </c>
      <c r="BC122" s="3">
        <f t="shared" si="249"/>
        <v>1.4799999999999997E-2</v>
      </c>
      <c r="BD122" s="3">
        <f t="shared" si="250"/>
        <v>8.6999999999999994E-3</v>
      </c>
      <c r="BE122" s="3">
        <f t="shared" si="208"/>
        <v>3.1999999999999889E-4</v>
      </c>
      <c r="BF122" s="3">
        <f t="shared" si="209"/>
        <v>6.0571905070098513E-2</v>
      </c>
      <c r="BG122" s="3">
        <f t="shared" si="251"/>
        <v>3.2000000000000005E-5</v>
      </c>
      <c r="BH122" s="214">
        <f t="shared" si="252"/>
        <v>1.35E-2</v>
      </c>
      <c r="BI122" s="50">
        <f t="shared" si="210"/>
        <v>7.7377034817449591E-2</v>
      </c>
      <c r="BJ122" s="16">
        <f t="shared" si="253"/>
        <v>1.2500000000000001E-2</v>
      </c>
      <c r="BK122" s="49">
        <f t="shared" si="254"/>
        <v>1.1999999999999999E-2</v>
      </c>
      <c r="BL122" s="3">
        <f t="shared" si="255"/>
        <v>1E-3</v>
      </c>
      <c r="BM122" s="49">
        <f t="shared" si="256"/>
        <v>7.9999999999999722E-5</v>
      </c>
      <c r="BN122" s="49">
        <f t="shared" si="257"/>
        <v>2.8799999999999997E-3</v>
      </c>
      <c r="BO122" s="49">
        <f t="shared" si="258"/>
        <v>1.8E-5</v>
      </c>
      <c r="BP122" s="3">
        <f t="shared" si="259"/>
        <v>0.01</v>
      </c>
      <c r="BQ122" s="50">
        <f t="shared" si="211"/>
        <v>1.8022261900216632E-2</v>
      </c>
      <c r="BR122" s="3">
        <f t="shared" si="260"/>
        <v>1.3399999999999999E-2</v>
      </c>
      <c r="BS122" s="3">
        <f t="shared" si="261"/>
        <v>1.175E-3</v>
      </c>
      <c r="BT122" s="3">
        <f t="shared" si="212"/>
        <v>7.9999999999999722E-5</v>
      </c>
      <c r="BU122" s="3">
        <f t="shared" si="213"/>
        <v>2.8799999999999997E-3</v>
      </c>
      <c r="BV122" s="3">
        <f t="shared" si="262"/>
        <v>1.8E-5</v>
      </c>
      <c r="BW122" s="214">
        <f t="shared" si="263"/>
        <v>1.35E-2</v>
      </c>
      <c r="BX122" s="50">
        <f t="shared" si="214"/>
        <v>2.124336482292765E-2</v>
      </c>
      <c r="BY122" s="16">
        <f t="shared" si="264"/>
        <v>1.2500000000000001E-2</v>
      </c>
      <c r="BZ122" s="49">
        <f t="shared" si="265"/>
        <v>1.9999999999999996E-3</v>
      </c>
      <c r="CA122" s="3">
        <f t="shared" si="266"/>
        <v>2E-3</v>
      </c>
      <c r="CB122" s="49">
        <f t="shared" si="267"/>
        <v>7.9999999999999722E-5</v>
      </c>
      <c r="CC122" s="49">
        <f t="shared" si="268"/>
        <v>0</v>
      </c>
      <c r="CD122" s="49">
        <f t="shared" si="269"/>
        <v>3.6000000000000001E-5</v>
      </c>
      <c r="CE122" s="3">
        <f t="shared" si="270"/>
        <v>0.01</v>
      </c>
      <c r="CF122" s="50">
        <f t="shared" si="215"/>
        <v>1.0408059185073844E-2</v>
      </c>
      <c r="CG122" s="3">
        <f t="shared" si="271"/>
        <v>2.6999999999999993E-3</v>
      </c>
      <c r="CH122" s="3">
        <f t="shared" si="272"/>
        <v>2.0874999999999999E-3</v>
      </c>
      <c r="CI122" s="3">
        <f t="shared" si="216"/>
        <v>7.9999999999999722E-5</v>
      </c>
      <c r="CJ122" s="3">
        <f t="shared" si="217"/>
        <v>0</v>
      </c>
      <c r="CK122" s="3">
        <f t="shared" si="273"/>
        <v>3.6000000000000001E-5</v>
      </c>
      <c r="CL122" s="214">
        <f t="shared" si="274"/>
        <v>1.35E-2</v>
      </c>
      <c r="CM122" s="50">
        <f t="shared" si="218"/>
        <v>1.3940493257055145E-2</v>
      </c>
    </row>
    <row r="123" spans="16:97" ht="11.25" customHeight="1">
      <c r="P123" s="116">
        <f t="shared" si="219"/>
        <v>3</v>
      </c>
      <c r="Q123" s="135">
        <f t="shared" si="220"/>
        <v>1.4999999999999999E-2</v>
      </c>
      <c r="R123" s="49">
        <f t="shared" si="221"/>
        <v>3.3333333333333333E-2</v>
      </c>
      <c r="S123" s="3">
        <f t="shared" si="222"/>
        <v>8.0000000000000002E-3</v>
      </c>
      <c r="T123" s="49">
        <f t="shared" si="223"/>
        <v>2.6666666666666576E-4</v>
      </c>
      <c r="U123" s="49">
        <f t="shared" si="224"/>
        <v>0</v>
      </c>
      <c r="V123" s="49">
        <f t="shared" si="225"/>
        <v>2.666666666666667E-5</v>
      </c>
      <c r="W123" s="3">
        <f t="shared" si="226"/>
        <v>0.01</v>
      </c>
      <c r="X123" s="50">
        <f t="shared" si="199"/>
        <v>3.5957762876896428E-2</v>
      </c>
      <c r="Y123" s="3">
        <f t="shared" si="227"/>
        <v>3.5666666666666666E-2</v>
      </c>
      <c r="Z123" s="3">
        <f t="shared" si="228"/>
        <v>8.6999999999999994E-3</v>
      </c>
      <c r="AA123" s="3">
        <f t="shared" si="200"/>
        <v>2.6666666666666576E-4</v>
      </c>
      <c r="AB123" s="3">
        <f t="shared" si="201"/>
        <v>0</v>
      </c>
      <c r="AC123" s="3">
        <f t="shared" si="229"/>
        <v>2.666666666666667E-5</v>
      </c>
      <c r="AD123" s="214">
        <f t="shared" si="230"/>
        <v>1.35E-2</v>
      </c>
      <c r="AE123" s="136">
        <f t="shared" si="202"/>
        <v>3.9359181337466298E-2</v>
      </c>
      <c r="AF123" s="16">
        <f t="shared" si="231"/>
        <v>1.4999999999999999E-2</v>
      </c>
      <c r="AG123" s="49">
        <f t="shared" si="232"/>
        <v>5.3333333333333336E-4</v>
      </c>
      <c r="AH123" s="3">
        <f t="shared" si="233"/>
        <v>1.4999999999999999E-4</v>
      </c>
      <c r="AI123" s="49">
        <f t="shared" si="234"/>
        <v>3.3412482241818028E-6</v>
      </c>
      <c r="AJ123" s="49">
        <f t="shared" si="235"/>
        <v>7.5894663844040884E-5</v>
      </c>
      <c r="AK123" s="49">
        <f t="shared" si="236"/>
        <v>1.5E-5</v>
      </c>
      <c r="AL123" s="3">
        <f t="shared" si="237"/>
        <v>0.01</v>
      </c>
      <c r="AM123" s="50">
        <f t="shared" si="203"/>
        <v>1.001987854619066E-2</v>
      </c>
      <c r="AN123" s="3">
        <f t="shared" si="238"/>
        <v>7.6666666666666669E-4</v>
      </c>
      <c r="AO123" s="3">
        <f t="shared" si="239"/>
        <v>2.1999999999999998E-4</v>
      </c>
      <c r="AP123" s="3">
        <f t="shared" si="204"/>
        <v>3.3412482241818028E-6</v>
      </c>
      <c r="AQ123" s="3">
        <f t="shared" si="205"/>
        <v>7.5894663844040884E-5</v>
      </c>
      <c r="AR123" s="3">
        <f t="shared" si="240"/>
        <v>1.5E-5</v>
      </c>
      <c r="AS123" s="214">
        <f t="shared" si="241"/>
        <v>1.35E-2</v>
      </c>
      <c r="AT123" s="50">
        <f t="shared" si="206"/>
        <v>1.3528273214742165E-2</v>
      </c>
      <c r="AU123" s="16">
        <f t="shared" si="242"/>
        <v>1.4999999999999999E-2</v>
      </c>
      <c r="AV123" s="49">
        <f t="shared" si="243"/>
        <v>0.01</v>
      </c>
      <c r="AW123" s="3">
        <f t="shared" si="244"/>
        <v>8.0000000000000002E-3</v>
      </c>
      <c r="AX123" s="49">
        <f t="shared" si="245"/>
        <v>2.6666666666666576E-4</v>
      </c>
      <c r="AY123" s="49">
        <f t="shared" si="246"/>
        <v>5.0476587558415428E-2</v>
      </c>
      <c r="AZ123" s="49">
        <f t="shared" si="247"/>
        <v>2.666666666666667E-5</v>
      </c>
      <c r="BA123" s="3">
        <f t="shared" si="248"/>
        <v>0.01</v>
      </c>
      <c r="BB123" s="50">
        <f t="shared" si="207"/>
        <v>6.2078528050881362E-2</v>
      </c>
      <c r="BC123" s="3">
        <f t="shared" si="249"/>
        <v>1.2333333333333333E-2</v>
      </c>
      <c r="BD123" s="3">
        <f t="shared" si="250"/>
        <v>8.6999999999999994E-3</v>
      </c>
      <c r="BE123" s="3">
        <f t="shared" si="208"/>
        <v>2.6666666666666576E-4</v>
      </c>
      <c r="BF123" s="3">
        <f t="shared" si="209"/>
        <v>5.0476587558415428E-2</v>
      </c>
      <c r="BG123" s="3">
        <f t="shared" si="251"/>
        <v>2.666666666666667E-5</v>
      </c>
      <c r="BH123" s="214">
        <f t="shared" si="252"/>
        <v>1.35E-2</v>
      </c>
      <c r="BI123" s="50">
        <f t="shared" si="210"/>
        <v>6.5089143558089313E-2</v>
      </c>
      <c r="BJ123" s="16">
        <f t="shared" si="253"/>
        <v>1.4999999999999999E-2</v>
      </c>
      <c r="BK123" s="49">
        <f t="shared" si="254"/>
        <v>0.01</v>
      </c>
      <c r="BL123" s="3">
        <f t="shared" si="255"/>
        <v>1E-3</v>
      </c>
      <c r="BM123" s="49">
        <f t="shared" si="256"/>
        <v>6.6666666666666439E-5</v>
      </c>
      <c r="BN123" s="49">
        <f t="shared" si="257"/>
        <v>2.4000000000000002E-3</v>
      </c>
      <c r="BO123" s="49">
        <f t="shared" si="258"/>
        <v>1.5E-5</v>
      </c>
      <c r="BP123" s="3">
        <f t="shared" si="259"/>
        <v>0.01</v>
      </c>
      <c r="BQ123" s="50">
        <f t="shared" si="211"/>
        <v>1.6013057258930218E-2</v>
      </c>
      <c r="BR123" s="3">
        <f t="shared" si="260"/>
        <v>1.1166666666666667E-2</v>
      </c>
      <c r="BS123" s="3">
        <f t="shared" si="261"/>
        <v>1.175E-3</v>
      </c>
      <c r="BT123" s="3">
        <f t="shared" si="212"/>
        <v>6.6666666666666439E-5</v>
      </c>
      <c r="BU123" s="3">
        <f t="shared" si="213"/>
        <v>2.4000000000000002E-3</v>
      </c>
      <c r="BV123" s="3">
        <f t="shared" si="262"/>
        <v>1.5E-5</v>
      </c>
      <c r="BW123" s="214">
        <f t="shared" si="263"/>
        <v>1.35E-2</v>
      </c>
      <c r="BX123" s="50">
        <f t="shared" si="214"/>
        <v>1.9222347093364477E-2</v>
      </c>
      <c r="BY123" s="16">
        <f t="shared" si="264"/>
        <v>1.4999999999999999E-2</v>
      </c>
      <c r="BZ123" s="49">
        <f t="shared" si="265"/>
        <v>1.6666666666666666E-3</v>
      </c>
      <c r="CA123" s="3">
        <f t="shared" si="266"/>
        <v>2E-3</v>
      </c>
      <c r="CB123" s="49">
        <f t="shared" si="267"/>
        <v>6.6666666666666439E-5</v>
      </c>
      <c r="CC123" s="49">
        <f t="shared" si="268"/>
        <v>0</v>
      </c>
      <c r="CD123" s="49">
        <f t="shared" si="269"/>
        <v>3.0000000000000001E-5</v>
      </c>
      <c r="CE123" s="3">
        <f t="shared" si="270"/>
        <v>0.01</v>
      </c>
      <c r="CF123" s="50">
        <f t="shared" si="215"/>
        <v>1.0344338763035772E-2</v>
      </c>
      <c r="CG123" s="3">
        <f t="shared" si="271"/>
        <v>2.2499999999999998E-3</v>
      </c>
      <c r="CH123" s="3">
        <f t="shared" si="272"/>
        <v>2.0874999999999999E-3</v>
      </c>
      <c r="CI123" s="3">
        <f t="shared" si="216"/>
        <v>6.6666666666666439E-5</v>
      </c>
      <c r="CJ123" s="3">
        <f t="shared" si="217"/>
        <v>0</v>
      </c>
      <c r="CK123" s="3">
        <f t="shared" si="273"/>
        <v>3.0000000000000001E-5</v>
      </c>
      <c r="CL123" s="214">
        <f t="shared" si="274"/>
        <v>1.35E-2</v>
      </c>
      <c r="CM123" s="50">
        <f t="shared" si="218"/>
        <v>1.3855522389807048E-2</v>
      </c>
    </row>
    <row r="124" spans="16:97" ht="11.25" customHeight="1">
      <c r="P124" s="116">
        <f t="shared" si="219"/>
        <v>3.5</v>
      </c>
      <c r="Q124" s="135">
        <f t="shared" si="220"/>
        <v>1.7500000000000002E-2</v>
      </c>
      <c r="R124" s="49">
        <f t="shared" si="221"/>
        <v>2.8571428571428571E-2</v>
      </c>
      <c r="S124" s="3">
        <f t="shared" si="222"/>
        <v>8.0000000000000002E-3</v>
      </c>
      <c r="T124" s="49">
        <f t="shared" si="223"/>
        <v>2.2857142857142775E-4</v>
      </c>
      <c r="U124" s="49">
        <f t="shared" si="224"/>
        <v>0</v>
      </c>
      <c r="V124" s="49">
        <f t="shared" si="225"/>
        <v>2.2857142857142858E-5</v>
      </c>
      <c r="W124" s="3">
        <f t="shared" si="226"/>
        <v>0.01</v>
      </c>
      <c r="X124" s="50">
        <f t="shared" si="199"/>
        <v>3.1518891516818602E-2</v>
      </c>
      <c r="Y124" s="3">
        <f t="shared" si="227"/>
        <v>3.0571428571428569E-2</v>
      </c>
      <c r="Z124" s="3">
        <f t="shared" si="228"/>
        <v>8.6999999999999994E-3</v>
      </c>
      <c r="AA124" s="3">
        <f t="shared" si="200"/>
        <v>2.2857142857142775E-4</v>
      </c>
      <c r="AB124" s="3">
        <f t="shared" si="201"/>
        <v>0</v>
      </c>
      <c r="AC124" s="3">
        <f t="shared" si="229"/>
        <v>2.2857142857142858E-5</v>
      </c>
      <c r="AD124" s="214">
        <f t="shared" si="230"/>
        <v>1.35E-2</v>
      </c>
      <c r="AE124" s="136">
        <f t="shared" si="202"/>
        <v>3.4735867953010466E-2</v>
      </c>
      <c r="AF124" s="16">
        <f t="shared" si="231"/>
        <v>1.7500000000000002E-2</v>
      </c>
      <c r="AG124" s="49">
        <f t="shared" si="232"/>
        <v>4.5714285714285708E-4</v>
      </c>
      <c r="AH124" s="3">
        <f t="shared" si="233"/>
        <v>1.4999999999999999E-4</v>
      </c>
      <c r="AI124" s="49">
        <f t="shared" si="234"/>
        <v>2.8639270492986875E-6</v>
      </c>
      <c r="AJ124" s="49">
        <f t="shared" si="235"/>
        <v>6.5052569009177883E-5</v>
      </c>
      <c r="AK124" s="49">
        <f t="shared" si="236"/>
        <v>1.2857142857142857E-5</v>
      </c>
      <c r="AL124" s="3">
        <f t="shared" si="237"/>
        <v>0.01</v>
      </c>
      <c r="AM124" s="50">
        <f t="shared" si="203"/>
        <v>1.001490652130646E-2</v>
      </c>
      <c r="AN124" s="3">
        <f t="shared" si="238"/>
        <v>6.5714285714285701E-4</v>
      </c>
      <c r="AO124" s="3">
        <f t="shared" si="239"/>
        <v>2.1999999999999998E-4</v>
      </c>
      <c r="AP124" s="3">
        <f t="shared" si="204"/>
        <v>2.8639270492986875E-6</v>
      </c>
      <c r="AQ124" s="3">
        <f t="shared" si="205"/>
        <v>6.5052569009177883E-5</v>
      </c>
      <c r="AR124" s="3">
        <f t="shared" si="240"/>
        <v>1.2857142857142857E-5</v>
      </c>
      <c r="AS124" s="214">
        <f t="shared" si="241"/>
        <v>1.35E-2</v>
      </c>
      <c r="AT124" s="50">
        <f t="shared" si="206"/>
        <v>1.3521252766359602E-2</v>
      </c>
      <c r="AU124" s="16">
        <f t="shared" si="242"/>
        <v>1.7500000000000002E-2</v>
      </c>
      <c r="AV124" s="49">
        <f t="shared" si="243"/>
        <v>8.5714285714285701E-3</v>
      </c>
      <c r="AW124" s="3">
        <f t="shared" si="244"/>
        <v>8.0000000000000002E-3</v>
      </c>
      <c r="AX124" s="49">
        <f t="shared" si="245"/>
        <v>2.2857142857142775E-4</v>
      </c>
      <c r="AY124" s="49">
        <f t="shared" si="246"/>
        <v>4.3265646478641791E-2</v>
      </c>
      <c r="AZ124" s="49">
        <f t="shared" si="247"/>
        <v>2.2857142857142858E-5</v>
      </c>
      <c r="BA124" s="3">
        <f t="shared" si="248"/>
        <v>0.01</v>
      </c>
      <c r="BB124" s="50">
        <f t="shared" si="207"/>
        <v>5.361746045541399E-2</v>
      </c>
      <c r="BC124" s="3">
        <f t="shared" si="249"/>
        <v>1.057142857142857E-2</v>
      </c>
      <c r="BD124" s="3">
        <f t="shared" si="250"/>
        <v>8.6999999999999994E-3</v>
      </c>
      <c r="BE124" s="3">
        <f t="shared" si="208"/>
        <v>2.2857142857142775E-4</v>
      </c>
      <c r="BF124" s="3">
        <f t="shared" si="209"/>
        <v>4.3265646478641791E-2</v>
      </c>
      <c r="BG124" s="3">
        <f t="shared" si="251"/>
        <v>2.2857142857142858E-5</v>
      </c>
      <c r="BH124" s="214">
        <f t="shared" si="252"/>
        <v>1.35E-2</v>
      </c>
      <c r="BI124" s="50">
        <f t="shared" si="210"/>
        <v>5.6400661801103459E-2</v>
      </c>
      <c r="BJ124" s="16">
        <f t="shared" si="253"/>
        <v>1.7500000000000002E-2</v>
      </c>
      <c r="BK124" s="49">
        <f t="shared" si="254"/>
        <v>8.5714285714285701E-3</v>
      </c>
      <c r="BL124" s="3">
        <f t="shared" si="255"/>
        <v>1E-3</v>
      </c>
      <c r="BM124" s="49">
        <f t="shared" si="256"/>
        <v>5.7142857142856938E-5</v>
      </c>
      <c r="BN124" s="49">
        <f t="shared" si="257"/>
        <v>2.0571428571428572E-3</v>
      </c>
      <c r="BO124" s="49">
        <f t="shared" si="258"/>
        <v>1.2857142857142857E-5</v>
      </c>
      <c r="BP124" s="3">
        <f t="shared" si="259"/>
        <v>0.01</v>
      </c>
      <c r="BQ124" s="50">
        <f t="shared" si="211"/>
        <v>1.4669173633918196E-2</v>
      </c>
      <c r="BR124" s="3">
        <f t="shared" si="260"/>
        <v>9.5714285714285693E-3</v>
      </c>
      <c r="BS124" s="3">
        <f t="shared" si="261"/>
        <v>1.175E-3</v>
      </c>
      <c r="BT124" s="3">
        <f t="shared" si="212"/>
        <v>5.7142857142856938E-5</v>
      </c>
      <c r="BU124" s="3">
        <f t="shared" si="213"/>
        <v>2.0571428571428572E-3</v>
      </c>
      <c r="BV124" s="3">
        <f t="shared" si="262"/>
        <v>1.2857142857142857E-5</v>
      </c>
      <c r="BW124" s="214">
        <f t="shared" si="263"/>
        <v>1.35E-2</v>
      </c>
      <c r="BX124" s="50">
        <f t="shared" si="214"/>
        <v>1.7893761725066903E-2</v>
      </c>
      <c r="BY124" s="16">
        <f t="shared" si="264"/>
        <v>1.7500000000000002E-2</v>
      </c>
      <c r="BZ124" s="49">
        <f t="shared" si="265"/>
        <v>1.4285714285714284E-3</v>
      </c>
      <c r="CA124" s="3">
        <f t="shared" si="266"/>
        <v>2E-3</v>
      </c>
      <c r="CB124" s="49">
        <f t="shared" si="267"/>
        <v>5.7142857142856938E-5</v>
      </c>
      <c r="CC124" s="49">
        <f t="shared" si="268"/>
        <v>0</v>
      </c>
      <c r="CD124" s="49">
        <f t="shared" si="269"/>
        <v>2.5714285714285714E-5</v>
      </c>
      <c r="CE124" s="3">
        <f t="shared" si="270"/>
        <v>0.01</v>
      </c>
      <c r="CF124" s="50">
        <f t="shared" si="215"/>
        <v>1.0305726959475752E-2</v>
      </c>
      <c r="CG124" s="3">
        <f t="shared" si="271"/>
        <v>1.9285714285714284E-3</v>
      </c>
      <c r="CH124" s="3">
        <f t="shared" si="272"/>
        <v>2.0874999999999999E-3</v>
      </c>
      <c r="CI124" s="3">
        <f t="shared" si="216"/>
        <v>5.7142857142856938E-5</v>
      </c>
      <c r="CJ124" s="3">
        <f t="shared" si="217"/>
        <v>0</v>
      </c>
      <c r="CK124" s="3">
        <f t="shared" si="273"/>
        <v>2.5714285714285714E-5</v>
      </c>
      <c r="CL124" s="214">
        <f t="shared" si="274"/>
        <v>1.35E-2</v>
      </c>
      <c r="CM124" s="50">
        <f t="shared" si="218"/>
        <v>1.3804034870246437E-2</v>
      </c>
    </row>
    <row r="125" spans="16:97">
      <c r="P125" s="116">
        <f t="shared" si="219"/>
        <v>4</v>
      </c>
      <c r="Q125" s="135">
        <f t="shared" si="220"/>
        <v>0.02</v>
      </c>
      <c r="R125" s="49">
        <f t="shared" si="221"/>
        <v>2.5000000000000001E-2</v>
      </c>
      <c r="S125" s="3">
        <f t="shared" si="222"/>
        <v>8.0000000000000002E-3</v>
      </c>
      <c r="T125" s="49">
        <f t="shared" si="223"/>
        <v>1.999999999999993E-4</v>
      </c>
      <c r="U125" s="49">
        <f t="shared" si="224"/>
        <v>0</v>
      </c>
      <c r="V125" s="49">
        <f t="shared" si="225"/>
        <v>2.0000000000000002E-5</v>
      </c>
      <c r="W125" s="3">
        <f t="shared" si="226"/>
        <v>0.01</v>
      </c>
      <c r="X125" s="50">
        <f t="shared" si="199"/>
        <v>2.8267302665800995E-2</v>
      </c>
      <c r="Y125" s="3">
        <f t="shared" si="227"/>
        <v>2.6750000000000003E-2</v>
      </c>
      <c r="Z125" s="3">
        <f t="shared" si="228"/>
        <v>8.6999999999999994E-3</v>
      </c>
      <c r="AA125" s="3">
        <f t="shared" si="200"/>
        <v>1.999999999999993E-4</v>
      </c>
      <c r="AB125" s="3">
        <f t="shared" si="201"/>
        <v>0</v>
      </c>
      <c r="AC125" s="3">
        <f t="shared" si="229"/>
        <v>2.0000000000000002E-5</v>
      </c>
      <c r="AD125" s="214">
        <f t="shared" si="230"/>
        <v>1.35E-2</v>
      </c>
      <c r="AE125" s="136">
        <f t="shared" si="202"/>
        <v>3.1372645728404869E-2</v>
      </c>
      <c r="AF125" s="16">
        <f t="shared" si="231"/>
        <v>0.02</v>
      </c>
      <c r="AG125" s="49">
        <f t="shared" si="232"/>
        <v>3.9999999999999996E-4</v>
      </c>
      <c r="AH125" s="3">
        <f t="shared" si="233"/>
        <v>1.4999999999999999E-4</v>
      </c>
      <c r="AI125" s="49">
        <f t="shared" si="234"/>
        <v>2.5059361681363519E-6</v>
      </c>
      <c r="AJ125" s="49">
        <f t="shared" si="235"/>
        <v>5.6920997883030653E-5</v>
      </c>
      <c r="AK125" s="49">
        <f t="shared" si="236"/>
        <v>1.1250000000000001E-5</v>
      </c>
      <c r="AL125" s="3">
        <f t="shared" si="237"/>
        <v>0.01</v>
      </c>
      <c r="AM125" s="50">
        <f t="shared" si="203"/>
        <v>1.0011678164535237E-2</v>
      </c>
      <c r="AN125" s="3">
        <f t="shared" si="238"/>
        <v>5.7499999999999999E-4</v>
      </c>
      <c r="AO125" s="3">
        <f t="shared" si="239"/>
        <v>2.1999999999999998E-4</v>
      </c>
      <c r="AP125" s="3">
        <f t="shared" si="204"/>
        <v>2.5059361681363519E-6</v>
      </c>
      <c r="AQ125" s="3">
        <f t="shared" si="205"/>
        <v>5.6920997883030653E-5</v>
      </c>
      <c r="AR125" s="3">
        <f t="shared" si="240"/>
        <v>1.1250000000000001E-5</v>
      </c>
      <c r="AS125" s="214">
        <f t="shared" si="241"/>
        <v>1.35E-2</v>
      </c>
      <c r="AT125" s="50">
        <f t="shared" si="206"/>
        <v>1.3516694274013507E-2</v>
      </c>
      <c r="AU125" s="16">
        <f t="shared" si="242"/>
        <v>0.02</v>
      </c>
      <c r="AV125" s="49">
        <f t="shared" si="243"/>
        <v>7.4999999999999989E-3</v>
      </c>
      <c r="AW125" s="3">
        <f t="shared" si="244"/>
        <v>8.0000000000000002E-3</v>
      </c>
      <c r="AX125" s="49">
        <f t="shared" si="245"/>
        <v>1.999999999999993E-4</v>
      </c>
      <c r="AY125" s="49">
        <f t="shared" si="246"/>
        <v>3.7857440668811568E-2</v>
      </c>
      <c r="AZ125" s="49">
        <f t="shared" si="247"/>
        <v>2.0000000000000002E-5</v>
      </c>
      <c r="BA125" s="3">
        <f t="shared" si="248"/>
        <v>0.01</v>
      </c>
      <c r="BB125" s="50">
        <f t="shared" si="207"/>
        <v>4.7323152898895965E-2</v>
      </c>
      <c r="BC125" s="3">
        <f t="shared" si="249"/>
        <v>9.2499999999999978E-3</v>
      </c>
      <c r="BD125" s="3">
        <f t="shared" si="250"/>
        <v>8.6999999999999994E-3</v>
      </c>
      <c r="BE125" s="3">
        <f t="shared" si="208"/>
        <v>1.999999999999993E-4</v>
      </c>
      <c r="BF125" s="3">
        <f t="shared" si="209"/>
        <v>3.7857440668811568E-2</v>
      </c>
      <c r="BG125" s="3">
        <f t="shared" si="251"/>
        <v>2.0000000000000002E-5</v>
      </c>
      <c r="BH125" s="214">
        <f t="shared" si="252"/>
        <v>1.35E-2</v>
      </c>
      <c r="BI125" s="50">
        <f t="shared" si="210"/>
        <v>4.9959326883307051E-2</v>
      </c>
      <c r="BJ125" s="16">
        <f t="shared" si="253"/>
        <v>0.02</v>
      </c>
      <c r="BK125" s="49">
        <f t="shared" si="254"/>
        <v>7.4999999999999989E-3</v>
      </c>
      <c r="BL125" s="3">
        <f t="shared" si="255"/>
        <v>1E-3</v>
      </c>
      <c r="BM125" s="49">
        <f t="shared" si="256"/>
        <v>4.9999999999999826E-5</v>
      </c>
      <c r="BN125" s="49">
        <f t="shared" si="257"/>
        <v>1.8E-3</v>
      </c>
      <c r="BO125" s="49">
        <f t="shared" si="258"/>
        <v>1.1250000000000001E-5</v>
      </c>
      <c r="BP125" s="3">
        <f t="shared" si="259"/>
        <v>0.01</v>
      </c>
      <c r="BQ125" s="50">
        <f t="shared" si="211"/>
        <v>1.3726712154135817E-2</v>
      </c>
      <c r="BR125" s="3">
        <f t="shared" si="260"/>
        <v>8.3749999999999988E-3</v>
      </c>
      <c r="BS125" s="3">
        <f t="shared" si="261"/>
        <v>1.175E-3</v>
      </c>
      <c r="BT125" s="3">
        <f t="shared" si="212"/>
        <v>4.9999999999999826E-5</v>
      </c>
      <c r="BU125" s="3">
        <f t="shared" si="213"/>
        <v>1.8E-3</v>
      </c>
      <c r="BV125" s="3">
        <f t="shared" si="262"/>
        <v>1.1250000000000001E-5</v>
      </c>
      <c r="BW125" s="214">
        <f t="shared" si="263"/>
        <v>1.35E-2</v>
      </c>
      <c r="BX125" s="50">
        <f t="shared" si="214"/>
        <v>1.6975905765599077E-2</v>
      </c>
      <c r="BY125" s="16">
        <f t="shared" si="264"/>
        <v>0.02</v>
      </c>
      <c r="BZ125" s="49">
        <f t="shared" si="265"/>
        <v>1.2499999999999998E-3</v>
      </c>
      <c r="CA125" s="3">
        <f t="shared" si="266"/>
        <v>2E-3</v>
      </c>
      <c r="CB125" s="49">
        <f t="shared" si="267"/>
        <v>4.9999999999999826E-5</v>
      </c>
      <c r="CC125" s="49">
        <f t="shared" si="268"/>
        <v>0</v>
      </c>
      <c r="CD125" s="49">
        <f t="shared" si="269"/>
        <v>2.2500000000000001E-5</v>
      </c>
      <c r="CE125" s="3">
        <f t="shared" si="270"/>
        <v>0.01</v>
      </c>
      <c r="CF125" s="50">
        <f t="shared" si="215"/>
        <v>1.0280588808526486E-2</v>
      </c>
      <c r="CG125" s="3">
        <f t="shared" si="271"/>
        <v>1.6874999999999998E-3</v>
      </c>
      <c r="CH125" s="3">
        <f t="shared" si="272"/>
        <v>2.0874999999999999E-3</v>
      </c>
      <c r="CI125" s="3">
        <f t="shared" si="216"/>
        <v>4.9999999999999826E-5</v>
      </c>
      <c r="CJ125" s="3">
        <f t="shared" si="217"/>
        <v>0</v>
      </c>
      <c r="CK125" s="3">
        <f t="shared" si="273"/>
        <v>2.2500000000000001E-5</v>
      </c>
      <c r="CL125" s="214">
        <f t="shared" si="274"/>
        <v>1.35E-2</v>
      </c>
      <c r="CM125" s="50">
        <f t="shared" si="218"/>
        <v>1.3770514469329023E-2</v>
      </c>
    </row>
    <row r="126" spans="16:97">
      <c r="P126" s="116">
        <f t="shared" si="219"/>
        <v>4.5000000000000009</v>
      </c>
      <c r="Q126" s="135">
        <f t="shared" si="220"/>
        <v>2.2500000000000003E-2</v>
      </c>
      <c r="R126" s="49">
        <f t="shared" si="221"/>
        <v>2.222222222222222E-2</v>
      </c>
      <c r="S126" s="3">
        <f t="shared" si="222"/>
        <v>8.0000000000000002E-3</v>
      </c>
      <c r="T126" s="49">
        <f t="shared" si="223"/>
        <v>1.7777777777777714E-4</v>
      </c>
      <c r="U126" s="49">
        <f t="shared" si="224"/>
        <v>0</v>
      </c>
      <c r="V126" s="49">
        <f t="shared" si="225"/>
        <v>1.7777777777777777E-5</v>
      </c>
      <c r="W126" s="3">
        <f t="shared" si="226"/>
        <v>0.01</v>
      </c>
      <c r="X126" s="50">
        <f t="shared" si="199"/>
        <v>2.5802331601027507E-2</v>
      </c>
      <c r="Y126" s="3">
        <f t="shared" si="227"/>
        <v>2.3777777777777776E-2</v>
      </c>
      <c r="Z126" s="3">
        <f t="shared" si="228"/>
        <v>8.6999999999999994E-3</v>
      </c>
      <c r="AA126" s="3">
        <f t="shared" si="200"/>
        <v>1.7777777777777714E-4</v>
      </c>
      <c r="AB126" s="3">
        <f t="shared" si="201"/>
        <v>0</v>
      </c>
      <c r="AC126" s="3">
        <f t="shared" si="229"/>
        <v>1.7777777777777777E-5</v>
      </c>
      <c r="AD126" s="214">
        <f t="shared" si="230"/>
        <v>1.35E-2</v>
      </c>
      <c r="AE126" s="136">
        <f t="shared" si="202"/>
        <v>2.8841098419177643E-2</v>
      </c>
      <c r="AF126" s="16">
        <f t="shared" si="231"/>
        <v>2.2500000000000003E-2</v>
      </c>
      <c r="AG126" s="49">
        <f t="shared" si="232"/>
        <v>3.5555555555555552E-4</v>
      </c>
      <c r="AH126" s="3">
        <f t="shared" si="233"/>
        <v>1.4999999999999999E-4</v>
      </c>
      <c r="AI126" s="49">
        <f t="shared" si="234"/>
        <v>2.2274988161212013E-6</v>
      </c>
      <c r="AJ126" s="49">
        <f t="shared" si="235"/>
        <v>5.0596442562693911E-5</v>
      </c>
      <c r="AK126" s="49">
        <f t="shared" si="236"/>
        <v>9.9999999999999991E-6</v>
      </c>
      <c r="AL126" s="3">
        <f t="shared" si="237"/>
        <v>0.01</v>
      </c>
      <c r="AM126" s="50">
        <f t="shared" si="203"/>
        <v>1.0009464212110275E-2</v>
      </c>
      <c r="AN126" s="3">
        <f t="shared" si="238"/>
        <v>5.1111111111111105E-4</v>
      </c>
      <c r="AO126" s="3">
        <f t="shared" si="239"/>
        <v>2.1999999999999998E-4</v>
      </c>
      <c r="AP126" s="3">
        <f t="shared" si="204"/>
        <v>2.2274988161212013E-6</v>
      </c>
      <c r="AQ126" s="3">
        <f t="shared" si="205"/>
        <v>5.0596442562693911E-5</v>
      </c>
      <c r="AR126" s="3">
        <f t="shared" si="240"/>
        <v>9.9999999999999991E-6</v>
      </c>
      <c r="AS126" s="214">
        <f t="shared" si="241"/>
        <v>1.35E-2</v>
      </c>
      <c r="AT126" s="50">
        <f t="shared" si="206"/>
        <v>1.3513568098153309E-2</v>
      </c>
      <c r="AU126" s="16">
        <f t="shared" si="242"/>
        <v>2.2500000000000003E-2</v>
      </c>
      <c r="AV126" s="49">
        <f t="shared" si="243"/>
        <v>6.6666666666666654E-3</v>
      </c>
      <c r="AW126" s="3">
        <f t="shared" si="244"/>
        <v>8.0000000000000002E-3</v>
      </c>
      <c r="AX126" s="49">
        <f t="shared" si="245"/>
        <v>1.7777777777777714E-4</v>
      </c>
      <c r="AY126" s="49">
        <f t="shared" si="246"/>
        <v>3.365105837227695E-2</v>
      </c>
      <c r="AZ126" s="49">
        <f t="shared" si="247"/>
        <v>1.7777777777777777E-5</v>
      </c>
      <c r="BA126" s="3">
        <f t="shared" si="248"/>
        <v>0.01</v>
      </c>
      <c r="BB126" s="50">
        <f t="shared" si="207"/>
        <v>4.2472179887880407E-2</v>
      </c>
      <c r="BC126" s="3">
        <f t="shared" si="249"/>
        <v>8.222222222222221E-3</v>
      </c>
      <c r="BD126" s="3">
        <f t="shared" si="250"/>
        <v>8.6999999999999994E-3</v>
      </c>
      <c r="BE126" s="3">
        <f t="shared" si="208"/>
        <v>1.7777777777777714E-4</v>
      </c>
      <c r="BF126" s="3">
        <f t="shared" si="209"/>
        <v>3.365105837227695E-2</v>
      </c>
      <c r="BG126" s="3">
        <f t="shared" si="251"/>
        <v>1.7777777777777777E-5</v>
      </c>
      <c r="BH126" s="214">
        <f t="shared" si="252"/>
        <v>1.35E-2</v>
      </c>
      <c r="BI126" s="50">
        <f t="shared" si="210"/>
        <v>4.5013684877801614E-2</v>
      </c>
      <c r="BJ126" s="16">
        <f t="shared" si="253"/>
        <v>2.2500000000000003E-2</v>
      </c>
      <c r="BK126" s="49">
        <f t="shared" si="254"/>
        <v>6.6666666666666654E-3</v>
      </c>
      <c r="BL126" s="3">
        <f t="shared" si="255"/>
        <v>1E-3</v>
      </c>
      <c r="BM126" s="49">
        <f t="shared" si="256"/>
        <v>4.4444444444444284E-5</v>
      </c>
      <c r="BN126" s="49">
        <f t="shared" si="257"/>
        <v>1.5999999999999999E-3</v>
      </c>
      <c r="BO126" s="49">
        <f t="shared" si="258"/>
        <v>9.9999999999999991E-6</v>
      </c>
      <c r="BP126" s="3">
        <f t="shared" si="259"/>
        <v>0.01</v>
      </c>
      <c r="BQ126" s="50">
        <f t="shared" si="211"/>
        <v>1.3041267879360293E-2</v>
      </c>
      <c r="BR126" s="3">
        <f t="shared" si="260"/>
        <v>7.4444444444444428E-3</v>
      </c>
      <c r="BS126" s="3">
        <f t="shared" si="261"/>
        <v>1.175E-3</v>
      </c>
      <c r="BT126" s="3">
        <f t="shared" si="212"/>
        <v>4.4444444444444284E-5</v>
      </c>
      <c r="BU126" s="3">
        <f t="shared" si="213"/>
        <v>1.5999999999999999E-3</v>
      </c>
      <c r="BV126" s="3">
        <f t="shared" si="262"/>
        <v>9.9999999999999991E-6</v>
      </c>
      <c r="BW126" s="214">
        <f t="shared" si="263"/>
        <v>1.35E-2</v>
      </c>
      <c r="BX126" s="50">
        <f t="shared" si="214"/>
        <v>1.6316820346947741E-2</v>
      </c>
      <c r="BY126" s="16">
        <f t="shared" si="264"/>
        <v>2.2500000000000003E-2</v>
      </c>
      <c r="BZ126" s="49">
        <f t="shared" si="265"/>
        <v>1.1111111111111109E-3</v>
      </c>
      <c r="CA126" s="3">
        <f t="shared" si="266"/>
        <v>2E-3</v>
      </c>
      <c r="CB126" s="49">
        <f t="shared" si="267"/>
        <v>4.4444444444444284E-5</v>
      </c>
      <c r="CC126" s="49">
        <f t="shared" si="268"/>
        <v>0</v>
      </c>
      <c r="CD126" s="49">
        <f t="shared" si="269"/>
        <v>1.9999999999999998E-5</v>
      </c>
      <c r="CE126" s="3">
        <f t="shared" si="270"/>
        <v>0.01</v>
      </c>
      <c r="CF126" s="50">
        <f t="shared" si="215"/>
        <v>1.0263318597898795E-2</v>
      </c>
      <c r="CG126" s="3">
        <f t="shared" si="271"/>
        <v>1.4999999999999996E-3</v>
      </c>
      <c r="CH126" s="3">
        <f t="shared" si="272"/>
        <v>2.0874999999999999E-3</v>
      </c>
      <c r="CI126" s="3">
        <f t="shared" si="216"/>
        <v>4.4444444444444284E-5</v>
      </c>
      <c r="CJ126" s="3">
        <f t="shared" si="217"/>
        <v>0</v>
      </c>
      <c r="CK126" s="3">
        <f t="shared" si="273"/>
        <v>1.9999999999999998E-5</v>
      </c>
      <c r="CL126" s="214">
        <f t="shared" si="274"/>
        <v>1.35E-2</v>
      </c>
      <c r="CM126" s="50">
        <f t="shared" si="218"/>
        <v>1.3747485766203771E-2</v>
      </c>
    </row>
    <row r="127" spans="16:97">
      <c r="P127" s="116">
        <f t="shared" si="219"/>
        <v>5</v>
      </c>
      <c r="Q127" s="135">
        <f t="shared" si="220"/>
        <v>2.5000000000000001E-2</v>
      </c>
      <c r="R127" s="49">
        <f t="shared" si="221"/>
        <v>0.02</v>
      </c>
      <c r="S127" s="3">
        <f t="shared" si="222"/>
        <v>8.0000000000000002E-3</v>
      </c>
      <c r="T127" s="49">
        <f t="shared" si="223"/>
        <v>1.5999999999999944E-4</v>
      </c>
      <c r="U127" s="49">
        <f t="shared" si="224"/>
        <v>0</v>
      </c>
      <c r="V127" s="49">
        <f t="shared" si="225"/>
        <v>1.6000000000000003E-5</v>
      </c>
      <c r="W127" s="3">
        <f t="shared" si="226"/>
        <v>0.01</v>
      </c>
      <c r="X127" s="50">
        <f t="shared" si="199"/>
        <v>2.3883589679945517E-2</v>
      </c>
      <c r="Y127" s="3">
        <f t="shared" si="227"/>
        <v>2.1399999999999999E-2</v>
      </c>
      <c r="Z127" s="3">
        <f t="shared" si="228"/>
        <v>8.6999999999999994E-3</v>
      </c>
      <c r="AA127" s="3">
        <f t="shared" si="200"/>
        <v>1.5999999999999944E-4</v>
      </c>
      <c r="AB127" s="3">
        <f t="shared" si="201"/>
        <v>0</v>
      </c>
      <c r="AC127" s="3">
        <f t="shared" si="229"/>
        <v>1.6000000000000003E-5</v>
      </c>
      <c r="AD127" s="214">
        <f t="shared" si="230"/>
        <v>1.35E-2</v>
      </c>
      <c r="AE127" s="136">
        <f t="shared" si="202"/>
        <v>2.6884453797687613E-2</v>
      </c>
      <c r="AF127" s="16">
        <f t="shared" si="231"/>
        <v>2.5000000000000001E-2</v>
      </c>
      <c r="AG127" s="49">
        <f t="shared" si="232"/>
        <v>3.1999999999999997E-4</v>
      </c>
      <c r="AH127" s="3">
        <f t="shared" si="233"/>
        <v>1.4999999999999999E-4</v>
      </c>
      <c r="AI127" s="49">
        <f t="shared" si="234"/>
        <v>2.0047489345090815E-6</v>
      </c>
      <c r="AJ127" s="49">
        <f t="shared" si="235"/>
        <v>4.5536798306424525E-5</v>
      </c>
      <c r="AK127" s="49">
        <f t="shared" si="236"/>
        <v>9.0000000000000002E-6</v>
      </c>
      <c r="AL127" s="3">
        <f t="shared" si="237"/>
        <v>0.01</v>
      </c>
      <c r="AM127" s="50">
        <f t="shared" si="203"/>
        <v>1.0007880284503222E-2</v>
      </c>
      <c r="AN127" s="3">
        <f t="shared" si="238"/>
        <v>4.5999999999999996E-4</v>
      </c>
      <c r="AO127" s="3">
        <f t="shared" si="239"/>
        <v>2.1999999999999998E-4</v>
      </c>
      <c r="AP127" s="3">
        <f t="shared" si="204"/>
        <v>2.0047489345090815E-6</v>
      </c>
      <c r="AQ127" s="3">
        <f t="shared" si="205"/>
        <v>4.5536798306424525E-5</v>
      </c>
      <c r="AR127" s="3">
        <f t="shared" si="240"/>
        <v>9.0000000000000002E-6</v>
      </c>
      <c r="AS127" s="214">
        <f t="shared" si="241"/>
        <v>1.35E-2</v>
      </c>
      <c r="AT127" s="50">
        <f t="shared" si="206"/>
        <v>1.3511331519216591E-2</v>
      </c>
      <c r="AU127" s="16">
        <f t="shared" si="242"/>
        <v>2.5000000000000001E-2</v>
      </c>
      <c r="AV127" s="49">
        <f t="shared" si="243"/>
        <v>5.9999999999999993E-3</v>
      </c>
      <c r="AW127" s="3">
        <f t="shared" si="244"/>
        <v>8.0000000000000002E-3</v>
      </c>
      <c r="AX127" s="49">
        <f t="shared" si="245"/>
        <v>1.5999999999999944E-4</v>
      </c>
      <c r="AY127" s="49">
        <f t="shared" si="246"/>
        <v>3.0285952535049256E-2</v>
      </c>
      <c r="AZ127" s="49">
        <f t="shared" si="247"/>
        <v>1.6000000000000003E-5</v>
      </c>
      <c r="BA127" s="3">
        <f t="shared" si="248"/>
        <v>0.01</v>
      </c>
      <c r="BB127" s="50">
        <f t="shared" si="207"/>
        <v>3.8630398809578234E-2</v>
      </c>
      <c r="BC127" s="3">
        <f t="shared" si="249"/>
        <v>7.3999999999999986E-3</v>
      </c>
      <c r="BD127" s="3">
        <f t="shared" si="250"/>
        <v>8.6999999999999994E-3</v>
      </c>
      <c r="BE127" s="3">
        <f t="shared" si="208"/>
        <v>1.5999999999999944E-4</v>
      </c>
      <c r="BF127" s="3">
        <f t="shared" si="209"/>
        <v>3.0285952535049256E-2</v>
      </c>
      <c r="BG127" s="3">
        <f t="shared" si="251"/>
        <v>1.6000000000000003E-5</v>
      </c>
      <c r="BH127" s="214">
        <f t="shared" si="252"/>
        <v>1.35E-2</v>
      </c>
      <c r="BI127" s="50">
        <f t="shared" si="210"/>
        <v>4.1112727704266973E-2</v>
      </c>
      <c r="BJ127" s="16">
        <f t="shared" si="253"/>
        <v>2.5000000000000001E-2</v>
      </c>
      <c r="BK127" s="49">
        <f t="shared" si="254"/>
        <v>5.9999999999999993E-3</v>
      </c>
      <c r="BL127" s="3">
        <f t="shared" si="255"/>
        <v>1E-3</v>
      </c>
      <c r="BM127" s="49">
        <f t="shared" si="256"/>
        <v>3.9999999999999861E-5</v>
      </c>
      <c r="BN127" s="49">
        <f t="shared" si="257"/>
        <v>1.4399999999999999E-3</v>
      </c>
      <c r="BO127" s="49">
        <f t="shared" si="258"/>
        <v>9.0000000000000002E-6</v>
      </c>
      <c r="BP127" s="3">
        <f t="shared" si="259"/>
        <v>0.01</v>
      </c>
      <c r="BQ127" s="50">
        <f t="shared" si="211"/>
        <v>1.2527987907082285E-2</v>
      </c>
      <c r="BR127" s="3">
        <f t="shared" si="260"/>
        <v>6.6999999999999994E-3</v>
      </c>
      <c r="BS127" s="3">
        <f t="shared" si="261"/>
        <v>1.175E-3</v>
      </c>
      <c r="BT127" s="3">
        <f t="shared" si="212"/>
        <v>3.9999999999999861E-5</v>
      </c>
      <c r="BU127" s="3">
        <f t="shared" si="213"/>
        <v>1.4399999999999999E-3</v>
      </c>
      <c r="BV127" s="3">
        <f t="shared" si="262"/>
        <v>9.0000000000000002E-6</v>
      </c>
      <c r="BW127" s="214">
        <f t="shared" si="263"/>
        <v>1.35E-2</v>
      </c>
      <c r="BX127" s="50">
        <f t="shared" si="214"/>
        <v>1.5828553503084229E-2</v>
      </c>
      <c r="BY127" s="16">
        <f t="shared" si="264"/>
        <v>2.5000000000000001E-2</v>
      </c>
      <c r="BZ127" s="49">
        <f t="shared" si="265"/>
        <v>9.999999999999998E-4</v>
      </c>
      <c r="CA127" s="3">
        <f t="shared" si="266"/>
        <v>2E-3</v>
      </c>
      <c r="CB127" s="49">
        <f t="shared" si="267"/>
        <v>3.9999999999999861E-5</v>
      </c>
      <c r="CC127" s="49">
        <f t="shared" si="268"/>
        <v>0</v>
      </c>
      <c r="CD127" s="49">
        <f t="shared" si="269"/>
        <v>1.8E-5</v>
      </c>
      <c r="CE127" s="3">
        <f t="shared" si="270"/>
        <v>0.01</v>
      </c>
      <c r="CF127" s="50">
        <f t="shared" si="215"/>
        <v>1.0250947468405054E-2</v>
      </c>
      <c r="CG127" s="3">
        <f t="shared" si="271"/>
        <v>1.3499999999999996E-3</v>
      </c>
      <c r="CH127" s="3">
        <f t="shared" si="272"/>
        <v>2.0874999999999999E-3</v>
      </c>
      <c r="CI127" s="3">
        <f t="shared" si="216"/>
        <v>3.9999999999999861E-5</v>
      </c>
      <c r="CJ127" s="3">
        <f t="shared" si="217"/>
        <v>0</v>
      </c>
      <c r="CK127" s="3">
        <f t="shared" si="273"/>
        <v>1.8E-5</v>
      </c>
      <c r="CL127" s="214">
        <f t="shared" si="274"/>
        <v>1.35E-2</v>
      </c>
      <c r="CM127" s="50">
        <f t="shared" si="218"/>
        <v>1.3730989776778656E-2</v>
      </c>
    </row>
    <row r="128" spans="16:97">
      <c r="P128" s="116">
        <f t="shared" si="219"/>
        <v>5.4999999999999991</v>
      </c>
      <c r="Q128" s="135">
        <f t="shared" si="220"/>
        <v>2.7499999999999997E-2</v>
      </c>
      <c r="R128" s="49">
        <f t="shared" si="221"/>
        <v>1.8181818181818184E-2</v>
      </c>
      <c r="S128" s="3">
        <f t="shared" si="222"/>
        <v>8.0000000000000002E-3</v>
      </c>
      <c r="T128" s="49">
        <f t="shared" si="223"/>
        <v>1.4545454545454497E-4</v>
      </c>
      <c r="U128" s="49">
        <f t="shared" si="224"/>
        <v>0</v>
      </c>
      <c r="V128" s="49">
        <f t="shared" si="225"/>
        <v>1.454545454545455E-5</v>
      </c>
      <c r="W128" s="3">
        <f t="shared" si="226"/>
        <v>0.01</v>
      </c>
      <c r="X128" s="50">
        <f t="shared" si="199"/>
        <v>2.2358200669778477E-2</v>
      </c>
      <c r="Y128" s="3">
        <f t="shared" si="227"/>
        <v>1.9454545454545457E-2</v>
      </c>
      <c r="Z128" s="3">
        <f t="shared" si="228"/>
        <v>8.6999999999999994E-3</v>
      </c>
      <c r="AA128" s="3">
        <f t="shared" si="200"/>
        <v>1.4545454545454497E-4</v>
      </c>
      <c r="AB128" s="3">
        <f t="shared" si="201"/>
        <v>0</v>
      </c>
      <c r="AC128" s="3">
        <f t="shared" si="229"/>
        <v>1.454545454545455E-5</v>
      </c>
      <c r="AD128" s="214">
        <f t="shared" si="230"/>
        <v>1.35E-2</v>
      </c>
      <c r="AE128" s="136">
        <f t="shared" si="202"/>
        <v>2.5339696359077551E-2</v>
      </c>
      <c r="AF128" s="16">
        <f t="shared" si="231"/>
        <v>2.7499999999999997E-2</v>
      </c>
      <c r="AG128" s="49">
        <f t="shared" si="232"/>
        <v>2.9090909090909091E-4</v>
      </c>
      <c r="AH128" s="3">
        <f t="shared" si="233"/>
        <v>1.4999999999999999E-4</v>
      </c>
      <c r="AI128" s="49">
        <f t="shared" si="234"/>
        <v>1.8224990313718925E-6</v>
      </c>
      <c r="AJ128" s="49">
        <f t="shared" si="235"/>
        <v>4.1397089369476843E-5</v>
      </c>
      <c r="AK128" s="49">
        <f t="shared" si="236"/>
        <v>8.1818181818181829E-6</v>
      </c>
      <c r="AL128" s="3">
        <f t="shared" si="237"/>
        <v>0.01</v>
      </c>
      <c r="AM128" s="50">
        <f t="shared" si="203"/>
        <v>1.0006708195829744E-2</v>
      </c>
      <c r="AN128" s="3">
        <f t="shared" si="238"/>
        <v>4.1818181818181819E-4</v>
      </c>
      <c r="AO128" s="3">
        <f t="shared" si="239"/>
        <v>2.1999999999999998E-4</v>
      </c>
      <c r="AP128" s="3">
        <f t="shared" si="204"/>
        <v>1.8224990313718925E-6</v>
      </c>
      <c r="AQ128" s="3">
        <f t="shared" si="205"/>
        <v>4.1397089369476843E-5</v>
      </c>
      <c r="AR128" s="3">
        <f t="shared" si="240"/>
        <v>8.1818181818181829E-6</v>
      </c>
      <c r="AS128" s="214">
        <f t="shared" si="241"/>
        <v>1.35E-2</v>
      </c>
      <c r="AT128" s="50">
        <f t="shared" si="206"/>
        <v>1.350967646541342E-2</v>
      </c>
      <c r="AU128" s="16">
        <f t="shared" si="242"/>
        <v>2.7499999999999997E-2</v>
      </c>
      <c r="AV128" s="49">
        <f t="shared" si="243"/>
        <v>5.454545454545455E-3</v>
      </c>
      <c r="AW128" s="3">
        <f t="shared" si="244"/>
        <v>8.0000000000000002E-3</v>
      </c>
      <c r="AX128" s="49">
        <f t="shared" si="245"/>
        <v>1.4545454545454497E-4</v>
      </c>
      <c r="AY128" s="49">
        <f t="shared" si="246"/>
        <v>2.7532684122772055E-2</v>
      </c>
      <c r="AZ128" s="49">
        <f t="shared" si="247"/>
        <v>1.454545454545455E-5</v>
      </c>
      <c r="BA128" s="3">
        <f t="shared" si="248"/>
        <v>0.01</v>
      </c>
      <c r="BB128" s="50">
        <f t="shared" si="207"/>
        <v>3.5521471939513417E-2</v>
      </c>
      <c r="BC128" s="3">
        <f t="shared" si="249"/>
        <v>6.7272727272727276E-3</v>
      </c>
      <c r="BD128" s="3">
        <f t="shared" si="250"/>
        <v>8.6999999999999994E-3</v>
      </c>
      <c r="BE128" s="3">
        <f t="shared" si="208"/>
        <v>1.4545454545454497E-4</v>
      </c>
      <c r="BF128" s="3">
        <f t="shared" si="209"/>
        <v>2.7532684122772055E-2</v>
      </c>
      <c r="BG128" s="3">
        <f t="shared" si="251"/>
        <v>1.454545454545455E-5</v>
      </c>
      <c r="BH128" s="214">
        <f t="shared" si="252"/>
        <v>1.35E-2</v>
      </c>
      <c r="BI128" s="50">
        <f t="shared" si="210"/>
        <v>3.7969363240167753E-2</v>
      </c>
      <c r="BJ128" s="16">
        <f t="shared" si="253"/>
        <v>2.7499999999999997E-2</v>
      </c>
      <c r="BK128" s="49">
        <f t="shared" si="254"/>
        <v>5.454545454545455E-3</v>
      </c>
      <c r="BL128" s="3">
        <f t="shared" si="255"/>
        <v>1E-3</v>
      </c>
      <c r="BM128" s="49">
        <f t="shared" si="256"/>
        <v>3.6363636363636242E-5</v>
      </c>
      <c r="BN128" s="49">
        <f t="shared" si="257"/>
        <v>1.3090909090909093E-3</v>
      </c>
      <c r="BO128" s="49">
        <f t="shared" si="258"/>
        <v>8.1818181818181829E-6</v>
      </c>
      <c r="BP128" s="3">
        <f t="shared" si="259"/>
        <v>0.01</v>
      </c>
      <c r="BQ128" s="50">
        <f t="shared" si="211"/>
        <v>1.213425180809055E-2</v>
      </c>
      <c r="BR128" s="3">
        <f t="shared" si="260"/>
        <v>6.0909090909090913E-3</v>
      </c>
      <c r="BS128" s="3">
        <f t="shared" si="261"/>
        <v>1.175E-3</v>
      </c>
      <c r="BT128" s="3">
        <f t="shared" si="212"/>
        <v>3.6363636363636242E-5</v>
      </c>
      <c r="BU128" s="3">
        <f t="shared" si="213"/>
        <v>1.3090909090909093E-3</v>
      </c>
      <c r="BV128" s="3">
        <f t="shared" si="262"/>
        <v>8.1818181818181829E-6</v>
      </c>
      <c r="BW128" s="214">
        <f t="shared" si="263"/>
        <v>1.35E-2</v>
      </c>
      <c r="BX128" s="50">
        <f t="shared" si="214"/>
        <v>1.5457367048575256E-2</v>
      </c>
      <c r="BY128" s="16">
        <f t="shared" si="264"/>
        <v>2.7499999999999997E-2</v>
      </c>
      <c r="BZ128" s="49">
        <f t="shared" si="265"/>
        <v>9.0909090909090909E-4</v>
      </c>
      <c r="CA128" s="3">
        <f t="shared" si="266"/>
        <v>2E-3</v>
      </c>
      <c r="CB128" s="49">
        <f t="shared" si="267"/>
        <v>3.6363636363636242E-5</v>
      </c>
      <c r="CC128" s="49">
        <f t="shared" si="268"/>
        <v>0</v>
      </c>
      <c r="CD128" s="49">
        <f t="shared" si="269"/>
        <v>1.6363636363636366E-5</v>
      </c>
      <c r="CE128" s="3">
        <f t="shared" si="270"/>
        <v>0.01</v>
      </c>
      <c r="CF128" s="50">
        <f t="shared" si="215"/>
        <v>1.0241784613343307E-2</v>
      </c>
      <c r="CG128" s="3">
        <f t="shared" si="271"/>
        <v>1.2272727272727272E-3</v>
      </c>
      <c r="CH128" s="3">
        <f t="shared" si="272"/>
        <v>2.0874999999999999E-3</v>
      </c>
      <c r="CI128" s="3">
        <f t="shared" si="216"/>
        <v>3.6363636363636242E-5</v>
      </c>
      <c r="CJ128" s="3">
        <f t="shared" si="217"/>
        <v>0</v>
      </c>
      <c r="CK128" s="3">
        <f t="shared" si="273"/>
        <v>1.6363636363636366E-5</v>
      </c>
      <c r="CL128" s="214">
        <f t="shared" si="274"/>
        <v>1.35E-2</v>
      </c>
      <c r="CM128" s="50">
        <f t="shared" si="218"/>
        <v>1.3718771842920165E-2</v>
      </c>
    </row>
    <row r="129" spans="16:91">
      <c r="P129" s="116">
        <f t="shared" si="219"/>
        <v>6</v>
      </c>
      <c r="Q129" s="135">
        <f t="shared" si="220"/>
        <v>0.03</v>
      </c>
      <c r="R129" s="49">
        <f t="shared" si="221"/>
        <v>1.6666666666666666E-2</v>
      </c>
      <c r="S129" s="3">
        <f t="shared" si="222"/>
        <v>8.0000000000000002E-3</v>
      </c>
      <c r="T129" s="49">
        <f t="shared" si="223"/>
        <v>1.3333333333333288E-4</v>
      </c>
      <c r="U129" s="49">
        <f t="shared" si="224"/>
        <v>0</v>
      </c>
      <c r="V129" s="49">
        <f t="shared" si="225"/>
        <v>1.3333333333333335E-5</v>
      </c>
      <c r="W129" s="3">
        <f t="shared" si="226"/>
        <v>0.01</v>
      </c>
      <c r="X129" s="50">
        <f t="shared" si="199"/>
        <v>2.1124397690295876E-2</v>
      </c>
      <c r="Y129" s="3">
        <f t="shared" si="227"/>
        <v>1.7833333333333333E-2</v>
      </c>
      <c r="Z129" s="3">
        <f t="shared" si="228"/>
        <v>8.6999999999999994E-3</v>
      </c>
      <c r="AA129" s="3">
        <f t="shared" si="200"/>
        <v>1.3333333333333288E-4</v>
      </c>
      <c r="AB129" s="3">
        <f t="shared" si="201"/>
        <v>0</v>
      </c>
      <c r="AC129" s="3">
        <f t="shared" si="229"/>
        <v>1.3333333333333335E-5</v>
      </c>
      <c r="AD129" s="214">
        <f t="shared" si="230"/>
        <v>1.35E-2</v>
      </c>
      <c r="AE129" s="136">
        <f t="shared" si="202"/>
        <v>2.4098574416112021E-2</v>
      </c>
      <c r="AF129" s="16">
        <f t="shared" si="231"/>
        <v>0.03</v>
      </c>
      <c r="AG129" s="49">
        <f t="shared" si="232"/>
        <v>2.6666666666666668E-4</v>
      </c>
      <c r="AH129" s="3">
        <f t="shared" si="233"/>
        <v>1.4999999999999999E-4</v>
      </c>
      <c r="AI129" s="49">
        <f t="shared" si="234"/>
        <v>1.6706241120909014E-6</v>
      </c>
      <c r="AJ129" s="49">
        <f t="shared" si="235"/>
        <v>3.7947331922020442E-5</v>
      </c>
      <c r="AK129" s="49">
        <f t="shared" si="236"/>
        <v>7.5000000000000002E-6</v>
      </c>
      <c r="AL129" s="3">
        <f t="shared" si="237"/>
        <v>0.01</v>
      </c>
      <c r="AM129" s="50">
        <f t="shared" si="203"/>
        <v>1.0005816634343394E-2</v>
      </c>
      <c r="AN129" s="3">
        <f t="shared" si="238"/>
        <v>3.8333333333333334E-4</v>
      </c>
      <c r="AO129" s="3">
        <f t="shared" si="239"/>
        <v>2.1999999999999998E-4</v>
      </c>
      <c r="AP129" s="3">
        <f t="shared" si="204"/>
        <v>1.6706241120909014E-6</v>
      </c>
      <c r="AQ129" s="3">
        <f t="shared" si="205"/>
        <v>3.7947331922020442E-5</v>
      </c>
      <c r="AR129" s="3">
        <f t="shared" si="240"/>
        <v>7.5000000000000002E-6</v>
      </c>
      <c r="AS129" s="214">
        <f t="shared" si="241"/>
        <v>1.35E-2</v>
      </c>
      <c r="AT129" s="50">
        <f t="shared" si="206"/>
        <v>1.3508417525497855E-2</v>
      </c>
      <c r="AU129" s="16">
        <f t="shared" si="242"/>
        <v>0.03</v>
      </c>
      <c r="AV129" s="49">
        <f t="shared" si="243"/>
        <v>5.0000000000000001E-3</v>
      </c>
      <c r="AW129" s="3">
        <f t="shared" si="244"/>
        <v>8.0000000000000002E-3</v>
      </c>
      <c r="AX129" s="49">
        <f t="shared" si="245"/>
        <v>1.3333333333333288E-4</v>
      </c>
      <c r="AY129" s="49">
        <f t="shared" si="246"/>
        <v>2.5238293779207714E-2</v>
      </c>
      <c r="AZ129" s="49">
        <f t="shared" si="247"/>
        <v>1.3333333333333335E-5</v>
      </c>
      <c r="BA129" s="3">
        <f t="shared" si="248"/>
        <v>0.01</v>
      </c>
      <c r="BB129" s="50">
        <f t="shared" si="207"/>
        <v>3.2961127275034391E-2</v>
      </c>
      <c r="BC129" s="3">
        <f t="shared" si="249"/>
        <v>6.1666666666666667E-3</v>
      </c>
      <c r="BD129" s="3">
        <f t="shared" si="250"/>
        <v>8.6999999999999994E-3</v>
      </c>
      <c r="BE129" s="3">
        <f t="shared" si="208"/>
        <v>1.3333333333333288E-4</v>
      </c>
      <c r="BF129" s="3">
        <f t="shared" si="209"/>
        <v>2.5238293779207714E-2</v>
      </c>
      <c r="BG129" s="3">
        <f t="shared" si="251"/>
        <v>1.3333333333333335E-5</v>
      </c>
      <c r="BH129" s="214">
        <f t="shared" si="252"/>
        <v>1.35E-2</v>
      </c>
      <c r="BI129" s="50">
        <f t="shared" si="210"/>
        <v>3.5392148172742915E-2</v>
      </c>
      <c r="BJ129" s="16">
        <f t="shared" si="253"/>
        <v>0.03</v>
      </c>
      <c r="BK129" s="49">
        <f t="shared" si="254"/>
        <v>5.0000000000000001E-3</v>
      </c>
      <c r="BL129" s="3">
        <f t="shared" si="255"/>
        <v>1E-3</v>
      </c>
      <c r="BM129" s="49">
        <f t="shared" si="256"/>
        <v>3.333333333333322E-5</v>
      </c>
      <c r="BN129" s="49">
        <f t="shared" si="257"/>
        <v>1.2000000000000001E-3</v>
      </c>
      <c r="BO129" s="49">
        <f t="shared" si="258"/>
        <v>7.5000000000000002E-6</v>
      </c>
      <c r="BP129" s="3">
        <f t="shared" si="259"/>
        <v>0.01</v>
      </c>
      <c r="BQ129" s="50">
        <f t="shared" si="211"/>
        <v>1.1826009500014976E-2</v>
      </c>
      <c r="BR129" s="3">
        <f t="shared" si="260"/>
        <v>5.5833333333333334E-3</v>
      </c>
      <c r="BS129" s="3">
        <f t="shared" si="261"/>
        <v>1.175E-3</v>
      </c>
      <c r="BT129" s="3">
        <f t="shared" si="212"/>
        <v>3.333333333333322E-5</v>
      </c>
      <c r="BU129" s="3">
        <f t="shared" si="213"/>
        <v>1.2000000000000001E-3</v>
      </c>
      <c r="BV129" s="3">
        <f t="shared" si="262"/>
        <v>7.5000000000000002E-6</v>
      </c>
      <c r="BW129" s="214">
        <f t="shared" si="263"/>
        <v>1.35E-2</v>
      </c>
      <c r="BX129" s="50">
        <f t="shared" si="214"/>
        <v>1.5168969170462588E-2</v>
      </c>
      <c r="BY129" s="16">
        <f t="shared" si="264"/>
        <v>0.03</v>
      </c>
      <c r="BZ129" s="49">
        <f t="shared" si="265"/>
        <v>8.3333333333333328E-4</v>
      </c>
      <c r="CA129" s="3">
        <f t="shared" si="266"/>
        <v>2E-3</v>
      </c>
      <c r="CB129" s="49">
        <f t="shared" si="267"/>
        <v>3.333333333333322E-5</v>
      </c>
      <c r="CC129" s="49">
        <f t="shared" si="268"/>
        <v>0</v>
      </c>
      <c r="CD129" s="49">
        <f t="shared" si="269"/>
        <v>1.5E-5</v>
      </c>
      <c r="CE129" s="3">
        <f t="shared" si="270"/>
        <v>0.01</v>
      </c>
      <c r="CF129" s="50">
        <f t="shared" si="215"/>
        <v>1.0234810018320375E-2</v>
      </c>
      <c r="CG129" s="3">
        <f t="shared" si="271"/>
        <v>1.1249999999999999E-3</v>
      </c>
      <c r="CH129" s="3">
        <f t="shared" si="272"/>
        <v>2.0874999999999999E-3</v>
      </c>
      <c r="CI129" s="3">
        <f t="shared" si="216"/>
        <v>3.333333333333322E-5</v>
      </c>
      <c r="CJ129" s="3">
        <f t="shared" si="217"/>
        <v>0</v>
      </c>
      <c r="CK129" s="3">
        <f t="shared" si="273"/>
        <v>1.5E-5</v>
      </c>
      <c r="CL129" s="214">
        <f t="shared" si="274"/>
        <v>1.35E-2</v>
      </c>
      <c r="CM129" s="50">
        <f t="shared" si="218"/>
        <v>1.3709471811893815E-2</v>
      </c>
    </row>
    <row r="130" spans="16:91">
      <c r="P130" s="116">
        <f t="shared" si="219"/>
        <v>6.5</v>
      </c>
      <c r="Q130" s="135">
        <f t="shared" si="220"/>
        <v>3.2500000000000001E-2</v>
      </c>
      <c r="R130" s="49">
        <f t="shared" si="221"/>
        <v>1.5384615384615384E-2</v>
      </c>
      <c r="S130" s="3">
        <f t="shared" si="222"/>
        <v>8.0000000000000002E-3</v>
      </c>
      <c r="T130" s="49">
        <f t="shared" si="223"/>
        <v>1.2307692307692264E-4</v>
      </c>
      <c r="U130" s="49">
        <f t="shared" si="224"/>
        <v>0</v>
      </c>
      <c r="V130" s="49">
        <f t="shared" si="225"/>
        <v>1.2307692307692308E-5</v>
      </c>
      <c r="W130" s="3">
        <f t="shared" si="226"/>
        <v>0.01</v>
      </c>
      <c r="X130" s="50">
        <f t="shared" si="199"/>
        <v>2.011190374353828E-2</v>
      </c>
      <c r="Y130" s="3">
        <f t="shared" si="227"/>
        <v>1.6461538461538461E-2</v>
      </c>
      <c r="Z130" s="3">
        <f t="shared" si="228"/>
        <v>8.6999999999999994E-3</v>
      </c>
      <c r="AA130" s="3">
        <f t="shared" si="200"/>
        <v>1.2307692307692264E-4</v>
      </c>
      <c r="AB130" s="3">
        <f t="shared" si="201"/>
        <v>0</v>
      </c>
      <c r="AC130" s="3">
        <f t="shared" si="229"/>
        <v>1.2307692307692308E-5</v>
      </c>
      <c r="AD130" s="214">
        <f t="shared" si="230"/>
        <v>1.35E-2</v>
      </c>
      <c r="AE130" s="136">
        <f t="shared" si="202"/>
        <v>2.3086567933214137E-2</v>
      </c>
      <c r="AF130" s="16">
        <f t="shared" si="231"/>
        <v>3.2500000000000001E-2</v>
      </c>
      <c r="AG130" s="49">
        <f t="shared" si="232"/>
        <v>2.4615384615384614E-4</v>
      </c>
      <c r="AH130" s="3">
        <f t="shared" si="233"/>
        <v>1.4999999999999999E-4</v>
      </c>
      <c r="AI130" s="49">
        <f t="shared" si="234"/>
        <v>1.5421145650069857E-6</v>
      </c>
      <c r="AJ130" s="49">
        <f t="shared" si="235"/>
        <v>3.5028306389557325E-5</v>
      </c>
      <c r="AK130" s="49">
        <f t="shared" si="236"/>
        <v>6.9230769230769234E-6</v>
      </c>
      <c r="AL130" s="3">
        <f t="shared" si="237"/>
        <v>0.01</v>
      </c>
      <c r="AM130" s="50">
        <f t="shared" si="203"/>
        <v>1.0005122734889666E-2</v>
      </c>
      <c r="AN130" s="3">
        <f t="shared" si="238"/>
        <v>3.5384615384615381E-4</v>
      </c>
      <c r="AO130" s="3">
        <f t="shared" si="239"/>
        <v>2.1999999999999998E-4</v>
      </c>
      <c r="AP130" s="3">
        <f t="shared" si="204"/>
        <v>1.5421145650069857E-6</v>
      </c>
      <c r="AQ130" s="3">
        <f t="shared" si="205"/>
        <v>3.5028306389557325E-5</v>
      </c>
      <c r="AR130" s="3">
        <f t="shared" si="240"/>
        <v>6.9230769230769234E-6</v>
      </c>
      <c r="AS130" s="214">
        <f t="shared" si="241"/>
        <v>1.35E-2</v>
      </c>
      <c r="AT130" s="50">
        <f t="shared" si="206"/>
        <v>1.3507437693022064E-2</v>
      </c>
      <c r="AU130" s="16">
        <f t="shared" si="242"/>
        <v>3.2500000000000001E-2</v>
      </c>
      <c r="AV130" s="49">
        <f t="shared" si="243"/>
        <v>4.6153846153846149E-3</v>
      </c>
      <c r="AW130" s="3">
        <f t="shared" si="244"/>
        <v>8.0000000000000002E-3</v>
      </c>
      <c r="AX130" s="49">
        <f t="shared" si="245"/>
        <v>1.2307692307692264E-4</v>
      </c>
      <c r="AY130" s="49">
        <f t="shared" si="246"/>
        <v>2.3296886565422503E-2</v>
      </c>
      <c r="AZ130" s="49">
        <f t="shared" si="247"/>
        <v>1.2307692307692308E-5</v>
      </c>
      <c r="BA130" s="3">
        <f t="shared" si="248"/>
        <v>0.01</v>
      </c>
      <c r="BB130" s="50">
        <f t="shared" si="207"/>
        <v>3.0821760085777784E-2</v>
      </c>
      <c r="BC130" s="3">
        <f t="shared" si="249"/>
        <v>5.6923076923076918E-3</v>
      </c>
      <c r="BD130" s="3">
        <f t="shared" si="250"/>
        <v>8.6999999999999994E-3</v>
      </c>
      <c r="BE130" s="3">
        <f t="shared" si="208"/>
        <v>1.2307692307692264E-4</v>
      </c>
      <c r="BF130" s="3">
        <f t="shared" si="209"/>
        <v>2.3296886565422503E-2</v>
      </c>
      <c r="BG130" s="3">
        <f t="shared" si="251"/>
        <v>1.2307692307692308E-5</v>
      </c>
      <c r="BH130" s="214">
        <f t="shared" si="252"/>
        <v>1.35E-2</v>
      </c>
      <c r="BI130" s="50">
        <f t="shared" si="210"/>
        <v>3.3248526054310175E-2</v>
      </c>
      <c r="BJ130" s="16">
        <f t="shared" si="253"/>
        <v>3.2500000000000001E-2</v>
      </c>
      <c r="BK130" s="49">
        <f t="shared" si="254"/>
        <v>4.6153846153846149E-3</v>
      </c>
      <c r="BL130" s="3">
        <f t="shared" si="255"/>
        <v>1E-3</v>
      </c>
      <c r="BM130" s="49">
        <f t="shared" si="256"/>
        <v>3.0769230769230659E-5</v>
      </c>
      <c r="BN130" s="49">
        <f t="shared" si="257"/>
        <v>1.1076923076923076E-3</v>
      </c>
      <c r="BO130" s="49">
        <f t="shared" si="258"/>
        <v>6.9230769230769234E-6</v>
      </c>
      <c r="BP130" s="3">
        <f t="shared" si="259"/>
        <v>0.01</v>
      </c>
      <c r="BQ130" s="50">
        <f t="shared" si="211"/>
        <v>1.1580448760351398E-2</v>
      </c>
      <c r="BR130" s="3">
        <f t="shared" si="260"/>
        <v>5.153846153846153E-3</v>
      </c>
      <c r="BS130" s="3">
        <f t="shared" si="261"/>
        <v>1.175E-3</v>
      </c>
      <c r="BT130" s="3">
        <f t="shared" si="212"/>
        <v>3.0769230769230659E-5</v>
      </c>
      <c r="BU130" s="3">
        <f t="shared" si="213"/>
        <v>1.1076923076923076E-3</v>
      </c>
      <c r="BV130" s="3">
        <f t="shared" si="262"/>
        <v>6.9230769230769234E-6</v>
      </c>
      <c r="BW130" s="214">
        <f t="shared" si="263"/>
        <v>1.35E-2</v>
      </c>
      <c r="BX130" s="50">
        <f t="shared" si="214"/>
        <v>1.4940676324171828E-2</v>
      </c>
      <c r="BY130" s="16">
        <f t="shared" si="264"/>
        <v>3.2500000000000001E-2</v>
      </c>
      <c r="BZ130" s="49">
        <f t="shared" si="265"/>
        <v>7.6923076923076912E-4</v>
      </c>
      <c r="CA130" s="3">
        <f t="shared" si="266"/>
        <v>2E-3</v>
      </c>
      <c r="CB130" s="49">
        <f t="shared" si="267"/>
        <v>3.0769230769230659E-5</v>
      </c>
      <c r="CC130" s="49">
        <f t="shared" si="268"/>
        <v>0</v>
      </c>
      <c r="CD130" s="49">
        <f t="shared" si="269"/>
        <v>1.3846153846153847E-5</v>
      </c>
      <c r="CE130" s="3">
        <f t="shared" si="270"/>
        <v>0.01</v>
      </c>
      <c r="CF130" s="50">
        <f t="shared" si="215"/>
        <v>1.0229378852891133E-2</v>
      </c>
      <c r="CG130" s="3">
        <f t="shared" si="271"/>
        <v>1.0384615384615384E-3</v>
      </c>
      <c r="CH130" s="3">
        <f t="shared" si="272"/>
        <v>2.0874999999999999E-3</v>
      </c>
      <c r="CI130" s="3">
        <f t="shared" si="216"/>
        <v>3.0769230769230659E-5</v>
      </c>
      <c r="CJ130" s="3">
        <f t="shared" si="217"/>
        <v>0</v>
      </c>
      <c r="CK130" s="3">
        <f t="shared" si="273"/>
        <v>1.3846153846153847E-5</v>
      </c>
      <c r="CL130" s="214">
        <f t="shared" si="274"/>
        <v>1.35E-2</v>
      </c>
      <c r="CM130" s="50">
        <f t="shared" si="218"/>
        <v>1.3702229833273348E-2</v>
      </c>
    </row>
    <row r="131" spans="16:91">
      <c r="P131" s="116">
        <f t="shared" si="219"/>
        <v>7</v>
      </c>
      <c r="Q131" s="135">
        <f t="shared" si="220"/>
        <v>3.5000000000000003E-2</v>
      </c>
      <c r="R131" s="49">
        <f t="shared" si="221"/>
        <v>1.4285714285714285E-2</v>
      </c>
      <c r="S131" s="3">
        <f t="shared" si="222"/>
        <v>8.0000000000000002E-3</v>
      </c>
      <c r="T131" s="49">
        <f t="shared" si="223"/>
        <v>1.1428571428571388E-4</v>
      </c>
      <c r="U131" s="49">
        <f t="shared" si="224"/>
        <v>0</v>
      </c>
      <c r="V131" s="49">
        <f t="shared" si="225"/>
        <v>1.1428571428571429E-5</v>
      </c>
      <c r="W131" s="3">
        <f t="shared" si="226"/>
        <v>0.01</v>
      </c>
      <c r="X131" s="50">
        <f t="shared" si="199"/>
        <v>1.9270706541594289E-2</v>
      </c>
      <c r="Y131" s="3">
        <f t="shared" si="227"/>
        <v>1.5285714285714284E-2</v>
      </c>
      <c r="Z131" s="3">
        <f t="shared" si="228"/>
        <v>8.6999999999999994E-3</v>
      </c>
      <c r="AA131" s="3">
        <f t="shared" si="200"/>
        <v>1.1428571428571388E-4</v>
      </c>
      <c r="AB131" s="3">
        <f t="shared" si="201"/>
        <v>0</v>
      </c>
      <c r="AC131" s="3">
        <f t="shared" si="229"/>
        <v>1.1428571428571429E-5</v>
      </c>
      <c r="AD131" s="214">
        <f t="shared" si="230"/>
        <v>1.35E-2</v>
      </c>
      <c r="AE131" s="136">
        <f t="shared" si="202"/>
        <v>2.2250845615666943E-2</v>
      </c>
      <c r="AF131" s="16">
        <f t="shared" si="231"/>
        <v>3.5000000000000003E-2</v>
      </c>
      <c r="AG131" s="49">
        <f t="shared" si="232"/>
        <v>2.2857142857142854E-4</v>
      </c>
      <c r="AH131" s="3">
        <f t="shared" si="233"/>
        <v>1.4999999999999999E-4</v>
      </c>
      <c r="AI131" s="49">
        <f t="shared" si="234"/>
        <v>1.4319635246493438E-6</v>
      </c>
      <c r="AJ131" s="49">
        <f t="shared" si="235"/>
        <v>3.2526284504588941E-5</v>
      </c>
      <c r="AK131" s="49">
        <f t="shared" si="236"/>
        <v>6.4285714285714286E-6</v>
      </c>
      <c r="AL131" s="3">
        <f t="shared" si="237"/>
        <v>0.01</v>
      </c>
      <c r="AM131" s="50">
        <f t="shared" si="203"/>
        <v>1.0004572112670619E-2</v>
      </c>
      <c r="AN131" s="3">
        <f t="shared" si="238"/>
        <v>3.285714285714285E-4</v>
      </c>
      <c r="AO131" s="3">
        <f t="shared" si="239"/>
        <v>2.1999999999999998E-4</v>
      </c>
      <c r="AP131" s="3">
        <f t="shared" si="204"/>
        <v>1.4319635246493438E-6</v>
      </c>
      <c r="AQ131" s="3">
        <f t="shared" si="205"/>
        <v>3.2526284504588941E-5</v>
      </c>
      <c r="AR131" s="3">
        <f t="shared" si="240"/>
        <v>6.4285714285714286E-6</v>
      </c>
      <c r="AS131" s="214">
        <f t="shared" si="241"/>
        <v>1.35E-2</v>
      </c>
      <c r="AT131" s="50">
        <f t="shared" si="206"/>
        <v>1.3506660175370772E-2</v>
      </c>
      <c r="AU131" s="16">
        <f t="shared" si="242"/>
        <v>3.5000000000000003E-2</v>
      </c>
      <c r="AV131" s="49">
        <f t="shared" si="243"/>
        <v>4.2857142857142851E-3</v>
      </c>
      <c r="AW131" s="3">
        <f t="shared" si="244"/>
        <v>8.0000000000000002E-3</v>
      </c>
      <c r="AX131" s="49">
        <f t="shared" si="245"/>
        <v>1.1428571428571388E-4</v>
      </c>
      <c r="AY131" s="49">
        <f t="shared" si="246"/>
        <v>2.1632823239320895E-2</v>
      </c>
      <c r="AZ131" s="49">
        <f t="shared" si="247"/>
        <v>1.1428571428571429E-5</v>
      </c>
      <c r="BA131" s="3">
        <f t="shared" si="248"/>
        <v>0.01</v>
      </c>
      <c r="BB131" s="50">
        <f t="shared" si="207"/>
        <v>2.9012204611541862E-2</v>
      </c>
      <c r="BC131" s="3">
        <f t="shared" si="249"/>
        <v>5.2857142857142851E-3</v>
      </c>
      <c r="BD131" s="3">
        <f t="shared" si="250"/>
        <v>8.6999999999999994E-3</v>
      </c>
      <c r="BE131" s="3">
        <f t="shared" si="208"/>
        <v>1.1428571428571388E-4</v>
      </c>
      <c r="BF131" s="3">
        <f t="shared" si="209"/>
        <v>2.1632823239320895E-2</v>
      </c>
      <c r="BG131" s="3">
        <f t="shared" si="251"/>
        <v>1.1428571428571429E-5</v>
      </c>
      <c r="BH131" s="214">
        <f t="shared" si="252"/>
        <v>1.35E-2</v>
      </c>
      <c r="BI131" s="50">
        <f t="shared" si="210"/>
        <v>3.1443817562449579E-2</v>
      </c>
      <c r="BJ131" s="16">
        <f t="shared" si="253"/>
        <v>3.5000000000000003E-2</v>
      </c>
      <c r="BK131" s="49">
        <f t="shared" si="254"/>
        <v>4.2857142857142851E-3</v>
      </c>
      <c r="BL131" s="3">
        <f t="shared" si="255"/>
        <v>1E-3</v>
      </c>
      <c r="BM131" s="49">
        <f t="shared" si="256"/>
        <v>2.8571428571428469E-5</v>
      </c>
      <c r="BN131" s="49">
        <f t="shared" si="257"/>
        <v>1.0285714285714286E-3</v>
      </c>
      <c r="BO131" s="49">
        <f t="shared" si="258"/>
        <v>6.4285714285714286E-6</v>
      </c>
      <c r="BP131" s="3">
        <f t="shared" si="259"/>
        <v>0.01</v>
      </c>
      <c r="BQ131" s="50">
        <f t="shared" si="211"/>
        <v>1.1381834815859445E-2</v>
      </c>
      <c r="BR131" s="3">
        <f t="shared" si="260"/>
        <v>4.7857142857142846E-3</v>
      </c>
      <c r="BS131" s="3">
        <f t="shared" si="261"/>
        <v>1.175E-3</v>
      </c>
      <c r="BT131" s="3">
        <f t="shared" si="212"/>
        <v>2.8571428571428469E-5</v>
      </c>
      <c r="BU131" s="3">
        <f t="shared" si="213"/>
        <v>1.0285714285714286E-3</v>
      </c>
      <c r="BV131" s="3">
        <f t="shared" si="262"/>
        <v>6.4285714285714286E-6</v>
      </c>
      <c r="BW131" s="214">
        <f t="shared" si="263"/>
        <v>1.35E-2</v>
      </c>
      <c r="BX131" s="50">
        <f t="shared" si="214"/>
        <v>1.4757020224908797E-2</v>
      </c>
      <c r="BY131" s="16">
        <f t="shared" si="264"/>
        <v>3.5000000000000003E-2</v>
      </c>
      <c r="BZ131" s="49">
        <f t="shared" si="265"/>
        <v>7.1428571428571418E-4</v>
      </c>
      <c r="CA131" s="3">
        <f t="shared" si="266"/>
        <v>2E-3</v>
      </c>
      <c r="CB131" s="49">
        <f t="shared" si="267"/>
        <v>2.8571428571428469E-5</v>
      </c>
      <c r="CC131" s="49">
        <f t="shared" si="268"/>
        <v>0</v>
      </c>
      <c r="CD131" s="49">
        <f t="shared" si="269"/>
        <v>1.2857142857142857E-5</v>
      </c>
      <c r="CE131" s="3">
        <f t="shared" si="270"/>
        <v>0.01</v>
      </c>
      <c r="CF131" s="50">
        <f t="shared" si="215"/>
        <v>1.022506733673751E-2</v>
      </c>
      <c r="CG131" s="3">
        <f t="shared" si="271"/>
        <v>9.6428571428571418E-4</v>
      </c>
      <c r="CH131" s="3">
        <f t="shared" si="272"/>
        <v>2.0874999999999999E-3</v>
      </c>
      <c r="CI131" s="3">
        <f t="shared" si="216"/>
        <v>2.8571428571428469E-5</v>
      </c>
      <c r="CJ131" s="3">
        <f t="shared" si="217"/>
        <v>0</v>
      </c>
      <c r="CK131" s="3">
        <f t="shared" si="273"/>
        <v>1.2857142857142857E-5</v>
      </c>
      <c r="CL131" s="214">
        <f t="shared" si="274"/>
        <v>1.35E-2</v>
      </c>
      <c r="CM131" s="50">
        <f t="shared" si="218"/>
        <v>1.3696480820351076E-2</v>
      </c>
    </row>
    <row r="132" spans="16:91">
      <c r="P132" s="116">
        <f t="shared" si="219"/>
        <v>7.5</v>
      </c>
      <c r="Q132" s="135">
        <f t="shared" si="220"/>
        <v>3.7499999999999999E-2</v>
      </c>
      <c r="R132" s="49">
        <f t="shared" si="221"/>
        <v>1.3333333333333334E-2</v>
      </c>
      <c r="S132" s="3">
        <f t="shared" si="222"/>
        <v>8.0000000000000002E-3</v>
      </c>
      <c r="T132" s="49">
        <f t="shared" si="223"/>
        <v>1.066666666666663E-4</v>
      </c>
      <c r="U132" s="49">
        <f t="shared" si="224"/>
        <v>0</v>
      </c>
      <c r="V132" s="49">
        <f t="shared" si="225"/>
        <v>1.0666666666666667E-5</v>
      </c>
      <c r="W132" s="3">
        <f t="shared" si="226"/>
        <v>0.01</v>
      </c>
      <c r="X132" s="50">
        <f t="shared" si="199"/>
        <v>1.8564312908852236E-2</v>
      </c>
      <c r="Y132" s="3">
        <f t="shared" si="227"/>
        <v>1.4266666666666667E-2</v>
      </c>
      <c r="Z132" s="3">
        <f t="shared" si="228"/>
        <v>8.6999999999999994E-3</v>
      </c>
      <c r="AA132" s="3">
        <f t="shared" si="200"/>
        <v>1.066666666666663E-4</v>
      </c>
      <c r="AB132" s="3">
        <f t="shared" si="201"/>
        <v>0</v>
      </c>
      <c r="AC132" s="3">
        <f t="shared" si="229"/>
        <v>1.0666666666666667E-5</v>
      </c>
      <c r="AD132" s="214">
        <f t="shared" si="230"/>
        <v>1.35E-2</v>
      </c>
      <c r="AE132" s="136">
        <f t="shared" si="202"/>
        <v>2.1553023567214159E-2</v>
      </c>
      <c r="AF132" s="16">
        <f t="shared" si="231"/>
        <v>3.7499999999999999E-2</v>
      </c>
      <c r="AG132" s="49">
        <f t="shared" si="232"/>
        <v>2.1333333333333333E-4</v>
      </c>
      <c r="AH132" s="3">
        <f t="shared" si="233"/>
        <v>1.4999999999999999E-4</v>
      </c>
      <c r="AI132" s="49">
        <f t="shared" si="234"/>
        <v>1.3364992896727211E-6</v>
      </c>
      <c r="AJ132" s="49">
        <f t="shared" si="235"/>
        <v>3.0357865537616352E-5</v>
      </c>
      <c r="AK132" s="49">
        <f t="shared" si="236"/>
        <v>6.0000000000000002E-6</v>
      </c>
      <c r="AL132" s="3">
        <f t="shared" si="237"/>
        <v>0.01</v>
      </c>
      <c r="AM132" s="50">
        <f t="shared" si="203"/>
        <v>1.0004127876675003E-2</v>
      </c>
      <c r="AN132" s="3">
        <f t="shared" si="238"/>
        <v>3.0666666666666668E-4</v>
      </c>
      <c r="AO132" s="3">
        <f t="shared" si="239"/>
        <v>2.1999999999999998E-4</v>
      </c>
      <c r="AP132" s="3">
        <f t="shared" si="204"/>
        <v>1.3364992896727211E-6</v>
      </c>
      <c r="AQ132" s="3">
        <f t="shared" si="205"/>
        <v>3.0357865537616352E-5</v>
      </c>
      <c r="AR132" s="3">
        <f t="shared" si="240"/>
        <v>6.0000000000000002E-6</v>
      </c>
      <c r="AS132" s="214">
        <f t="shared" si="241"/>
        <v>1.35E-2</v>
      </c>
      <c r="AT132" s="50">
        <f t="shared" si="206"/>
        <v>1.350603288118438E-2</v>
      </c>
      <c r="AU132" s="16">
        <f t="shared" si="242"/>
        <v>3.7499999999999999E-2</v>
      </c>
      <c r="AV132" s="49">
        <f t="shared" si="243"/>
        <v>4.0000000000000001E-3</v>
      </c>
      <c r="AW132" s="3">
        <f t="shared" si="244"/>
        <v>8.0000000000000002E-3</v>
      </c>
      <c r="AX132" s="49">
        <f t="shared" si="245"/>
        <v>1.066666666666663E-4</v>
      </c>
      <c r="AY132" s="49">
        <f t="shared" si="246"/>
        <v>2.0190635023366172E-2</v>
      </c>
      <c r="AZ132" s="49">
        <f t="shared" si="247"/>
        <v>1.0666666666666667E-5</v>
      </c>
      <c r="BA132" s="3">
        <f t="shared" si="248"/>
        <v>0.01</v>
      </c>
      <c r="BB132" s="50">
        <f t="shared" si="207"/>
        <v>2.746559635606426E-2</v>
      </c>
      <c r="BC132" s="3">
        <f t="shared" si="249"/>
        <v>4.933333333333333E-3</v>
      </c>
      <c r="BD132" s="3">
        <f t="shared" si="250"/>
        <v>8.6999999999999994E-3</v>
      </c>
      <c r="BE132" s="3">
        <f t="shared" si="208"/>
        <v>1.066666666666663E-4</v>
      </c>
      <c r="BF132" s="3">
        <f t="shared" si="209"/>
        <v>2.0190635023366172E-2</v>
      </c>
      <c r="BG132" s="3">
        <f t="shared" si="251"/>
        <v>1.0666666666666667E-5</v>
      </c>
      <c r="BH132" s="214">
        <f t="shared" si="252"/>
        <v>1.35E-2</v>
      </c>
      <c r="BI132" s="50">
        <f t="shared" si="210"/>
        <v>2.9908611760830518E-2</v>
      </c>
      <c r="BJ132" s="16">
        <f t="shared" si="253"/>
        <v>3.7499999999999999E-2</v>
      </c>
      <c r="BK132" s="49">
        <f t="shared" si="254"/>
        <v>4.0000000000000001E-3</v>
      </c>
      <c r="BL132" s="3">
        <f t="shared" si="255"/>
        <v>1E-3</v>
      </c>
      <c r="BM132" s="49">
        <f t="shared" si="256"/>
        <v>2.6666666666666575E-5</v>
      </c>
      <c r="BN132" s="49">
        <f t="shared" si="257"/>
        <v>9.6000000000000002E-4</v>
      </c>
      <c r="BO132" s="49">
        <f t="shared" si="258"/>
        <v>6.0000000000000002E-6</v>
      </c>
      <c r="BP132" s="3">
        <f t="shared" si="259"/>
        <v>0.01</v>
      </c>
      <c r="BQ132" s="50">
        <f t="shared" si="211"/>
        <v>1.1219040977037405E-2</v>
      </c>
      <c r="BR132" s="3">
        <f t="shared" si="260"/>
        <v>4.4666666666666665E-3</v>
      </c>
      <c r="BS132" s="3">
        <f t="shared" si="261"/>
        <v>1.175E-3</v>
      </c>
      <c r="BT132" s="3">
        <f t="shared" si="212"/>
        <v>2.6666666666666575E-5</v>
      </c>
      <c r="BU132" s="3">
        <f t="shared" si="213"/>
        <v>9.6000000000000002E-4</v>
      </c>
      <c r="BV132" s="3">
        <f t="shared" si="262"/>
        <v>6.0000000000000002E-6</v>
      </c>
      <c r="BW132" s="214">
        <f t="shared" si="263"/>
        <v>1.35E-2</v>
      </c>
      <c r="BX132" s="50">
        <f t="shared" si="214"/>
        <v>1.4607173081895224E-2</v>
      </c>
      <c r="BY132" s="16">
        <f t="shared" si="264"/>
        <v>3.7499999999999999E-2</v>
      </c>
      <c r="BZ132" s="49">
        <f t="shared" si="265"/>
        <v>6.6666666666666664E-4</v>
      </c>
      <c r="CA132" s="3">
        <f t="shared" si="266"/>
        <v>2E-3</v>
      </c>
      <c r="CB132" s="49">
        <f t="shared" si="267"/>
        <v>2.6666666666666575E-5</v>
      </c>
      <c r="CC132" s="49">
        <f t="shared" si="268"/>
        <v>0</v>
      </c>
      <c r="CD132" s="49">
        <f t="shared" si="269"/>
        <v>1.2E-5</v>
      </c>
      <c r="CE132" s="3">
        <f t="shared" si="270"/>
        <v>0.01</v>
      </c>
      <c r="CF132" s="50">
        <f t="shared" si="215"/>
        <v>1.0221587700113477E-2</v>
      </c>
      <c r="CG132" s="3">
        <f t="shared" si="271"/>
        <v>8.9999999999999998E-4</v>
      </c>
      <c r="CH132" s="3">
        <f t="shared" si="272"/>
        <v>2.0874999999999999E-3</v>
      </c>
      <c r="CI132" s="3">
        <f t="shared" si="216"/>
        <v>2.6666666666666575E-5</v>
      </c>
      <c r="CJ132" s="3">
        <f t="shared" si="217"/>
        <v>0</v>
      </c>
      <c r="CK132" s="3">
        <f t="shared" si="273"/>
        <v>1.2E-5</v>
      </c>
      <c r="CL132" s="214">
        <f t="shared" si="274"/>
        <v>1.35E-2</v>
      </c>
      <c r="CM132" s="50">
        <f t="shared" si="218"/>
        <v>1.3691841050826988E-2</v>
      </c>
    </row>
    <row r="133" spans="16:91">
      <c r="P133" s="116">
        <f t="shared" si="219"/>
        <v>8</v>
      </c>
      <c r="Q133" s="135">
        <f t="shared" si="220"/>
        <v>0.04</v>
      </c>
      <c r="R133" s="49">
        <f t="shared" si="221"/>
        <v>1.2500000000000001E-2</v>
      </c>
      <c r="S133" s="3">
        <f t="shared" si="222"/>
        <v>8.0000000000000002E-3</v>
      </c>
      <c r="T133" s="49">
        <f t="shared" si="223"/>
        <v>9.9999999999999652E-5</v>
      </c>
      <c r="U133" s="49">
        <f t="shared" si="224"/>
        <v>0</v>
      </c>
      <c r="V133" s="49">
        <f t="shared" si="225"/>
        <v>1.0000000000000001E-5</v>
      </c>
      <c r="W133" s="3">
        <f t="shared" si="226"/>
        <v>0.01</v>
      </c>
      <c r="X133" s="50">
        <f t="shared" si="199"/>
        <v>1.7965525319344269E-2</v>
      </c>
      <c r="Y133" s="3">
        <f t="shared" si="227"/>
        <v>1.3375000000000001E-2</v>
      </c>
      <c r="Z133" s="3">
        <f t="shared" si="228"/>
        <v>8.6999999999999994E-3</v>
      </c>
      <c r="AA133" s="3">
        <f t="shared" si="200"/>
        <v>9.9999999999999652E-5</v>
      </c>
      <c r="AB133" s="3">
        <f t="shared" si="201"/>
        <v>0</v>
      </c>
      <c r="AC133" s="3">
        <f t="shared" si="229"/>
        <v>1.0000000000000001E-5</v>
      </c>
      <c r="AD133" s="214">
        <f t="shared" si="230"/>
        <v>1.35E-2</v>
      </c>
      <c r="AE133" s="136">
        <f t="shared" si="202"/>
        <v>2.0964630333015651E-2</v>
      </c>
      <c r="AF133" s="16">
        <f t="shared" si="231"/>
        <v>0.04</v>
      </c>
      <c r="AG133" s="49">
        <f t="shared" si="232"/>
        <v>1.9999999999999998E-4</v>
      </c>
      <c r="AH133" s="3">
        <f t="shared" si="233"/>
        <v>1.4999999999999999E-4</v>
      </c>
      <c r="AI133" s="49">
        <f t="shared" si="234"/>
        <v>1.2529680840681759E-6</v>
      </c>
      <c r="AJ133" s="49">
        <f t="shared" si="235"/>
        <v>2.8460498941515326E-5</v>
      </c>
      <c r="AK133" s="49">
        <f t="shared" si="236"/>
        <v>5.6250000000000004E-6</v>
      </c>
      <c r="AL133" s="3">
        <f t="shared" si="237"/>
        <v>0.01</v>
      </c>
      <c r="AM133" s="50">
        <f t="shared" si="203"/>
        <v>1.000376428738492E-2</v>
      </c>
      <c r="AN133" s="3">
        <f t="shared" si="238"/>
        <v>2.875E-4</v>
      </c>
      <c r="AO133" s="3">
        <f t="shared" si="239"/>
        <v>2.1999999999999998E-4</v>
      </c>
      <c r="AP133" s="3">
        <f t="shared" si="204"/>
        <v>1.2529680840681759E-6</v>
      </c>
      <c r="AQ133" s="3">
        <f t="shared" si="205"/>
        <v>2.8460498941515326E-5</v>
      </c>
      <c r="AR133" s="3">
        <f t="shared" si="240"/>
        <v>5.6250000000000004E-6</v>
      </c>
      <c r="AS133" s="214">
        <f t="shared" si="241"/>
        <v>1.35E-2</v>
      </c>
      <c r="AT133" s="50">
        <f t="shared" si="206"/>
        <v>1.3505519465177463E-2</v>
      </c>
      <c r="AU133" s="16">
        <f t="shared" si="242"/>
        <v>0.04</v>
      </c>
      <c r="AV133" s="49">
        <f t="shared" si="243"/>
        <v>3.7499999999999994E-3</v>
      </c>
      <c r="AW133" s="3">
        <f t="shared" si="244"/>
        <v>8.0000000000000002E-3</v>
      </c>
      <c r="AX133" s="49">
        <f t="shared" si="245"/>
        <v>9.9999999999999652E-5</v>
      </c>
      <c r="AY133" s="49">
        <f t="shared" si="246"/>
        <v>1.8928720334405784E-2</v>
      </c>
      <c r="AZ133" s="49">
        <f t="shared" si="247"/>
        <v>1.0000000000000001E-5</v>
      </c>
      <c r="BA133" s="3">
        <f t="shared" si="248"/>
        <v>0.01</v>
      </c>
      <c r="BB133" s="50">
        <f t="shared" si="207"/>
        <v>2.6131785244660796E-2</v>
      </c>
      <c r="BC133" s="3">
        <f t="shared" si="249"/>
        <v>4.6249999999999989E-3</v>
      </c>
      <c r="BD133" s="3">
        <f t="shared" si="250"/>
        <v>8.6999999999999994E-3</v>
      </c>
      <c r="BE133" s="3">
        <f t="shared" si="208"/>
        <v>9.9999999999999652E-5</v>
      </c>
      <c r="BF133" s="3">
        <f t="shared" si="209"/>
        <v>1.8928720334405784E-2</v>
      </c>
      <c r="BG133" s="3">
        <f t="shared" si="251"/>
        <v>1.0000000000000001E-5</v>
      </c>
      <c r="BH133" s="214">
        <f t="shared" si="252"/>
        <v>1.35E-2</v>
      </c>
      <c r="BI133" s="50">
        <f t="shared" si="210"/>
        <v>2.8590882911485642E-2</v>
      </c>
      <c r="BJ133" s="16">
        <f t="shared" si="253"/>
        <v>0.04</v>
      </c>
      <c r="BK133" s="49">
        <f t="shared" si="254"/>
        <v>3.7499999999999994E-3</v>
      </c>
      <c r="BL133" s="3">
        <f t="shared" si="255"/>
        <v>1E-3</v>
      </c>
      <c r="BM133" s="49">
        <f t="shared" si="256"/>
        <v>2.4999999999999913E-5</v>
      </c>
      <c r="BN133" s="49">
        <f t="shared" si="257"/>
        <v>8.9999999999999998E-4</v>
      </c>
      <c r="BO133" s="49">
        <f t="shared" si="258"/>
        <v>5.6250000000000004E-6</v>
      </c>
      <c r="BP133" s="3">
        <f t="shared" si="259"/>
        <v>0.01</v>
      </c>
      <c r="BQ133" s="50">
        <f t="shared" si="211"/>
        <v>1.1084027094906662E-2</v>
      </c>
      <c r="BR133" s="3">
        <f t="shared" si="260"/>
        <v>4.1874999999999994E-3</v>
      </c>
      <c r="BS133" s="3">
        <f t="shared" si="261"/>
        <v>1.175E-3</v>
      </c>
      <c r="BT133" s="3">
        <f t="shared" si="212"/>
        <v>2.4999999999999913E-5</v>
      </c>
      <c r="BU133" s="3">
        <f t="shared" si="213"/>
        <v>8.9999999999999998E-4</v>
      </c>
      <c r="BV133" s="3">
        <f t="shared" si="262"/>
        <v>5.6250000000000004E-6</v>
      </c>
      <c r="BW133" s="214">
        <f t="shared" si="263"/>
        <v>1.35E-2</v>
      </c>
      <c r="BX133" s="50">
        <f t="shared" si="214"/>
        <v>1.4483380575356879E-2</v>
      </c>
      <c r="BY133" s="16">
        <f t="shared" si="264"/>
        <v>0.04</v>
      </c>
      <c r="BZ133" s="49">
        <f t="shared" si="265"/>
        <v>6.249999999999999E-4</v>
      </c>
      <c r="CA133" s="3">
        <f t="shared" si="266"/>
        <v>2E-3</v>
      </c>
      <c r="CB133" s="49">
        <f t="shared" si="267"/>
        <v>2.4999999999999913E-5</v>
      </c>
      <c r="CC133" s="49">
        <f t="shared" si="268"/>
        <v>0</v>
      </c>
      <c r="CD133" s="49">
        <f t="shared" si="269"/>
        <v>1.1250000000000001E-5</v>
      </c>
      <c r="CE133" s="3">
        <f t="shared" si="270"/>
        <v>0.01</v>
      </c>
      <c r="CF133" s="50">
        <f t="shared" si="215"/>
        <v>1.0218738990819758E-2</v>
      </c>
      <c r="CG133" s="3">
        <f t="shared" si="271"/>
        <v>8.4374999999999988E-4</v>
      </c>
      <c r="CH133" s="3">
        <f t="shared" si="272"/>
        <v>2.0874999999999999E-3</v>
      </c>
      <c r="CI133" s="3">
        <f t="shared" si="216"/>
        <v>2.4999999999999913E-5</v>
      </c>
      <c r="CJ133" s="3">
        <f t="shared" si="217"/>
        <v>0</v>
      </c>
      <c r="CK133" s="3">
        <f t="shared" si="273"/>
        <v>1.1250000000000001E-5</v>
      </c>
      <c r="CL133" s="214">
        <f t="shared" si="274"/>
        <v>1.35E-2</v>
      </c>
      <c r="CM133" s="50">
        <f t="shared" si="218"/>
        <v>1.3688042569155021E-2</v>
      </c>
    </row>
    <row r="134" spans="16:91">
      <c r="P134" s="116">
        <f t="shared" si="219"/>
        <v>8.5</v>
      </c>
      <c r="Q134" s="135">
        <f t="shared" si="220"/>
        <v>4.2500000000000003E-2</v>
      </c>
      <c r="R134" s="49">
        <f t="shared" si="221"/>
        <v>1.1764705882352941E-2</v>
      </c>
      <c r="S134" s="3">
        <f t="shared" si="222"/>
        <v>8.0000000000000002E-3</v>
      </c>
      <c r="T134" s="49">
        <f t="shared" si="223"/>
        <v>9.4117647058823196E-5</v>
      </c>
      <c r="U134" s="49">
        <f t="shared" si="224"/>
        <v>0</v>
      </c>
      <c r="V134" s="49">
        <f t="shared" si="225"/>
        <v>9.4117647058823538E-6</v>
      </c>
      <c r="W134" s="3">
        <f t="shared" si="226"/>
        <v>0.01</v>
      </c>
      <c r="X134" s="50">
        <f t="shared" si="199"/>
        <v>1.7453704021870114E-2</v>
      </c>
      <c r="Y134" s="3">
        <f t="shared" si="227"/>
        <v>1.2588235294117647E-2</v>
      </c>
      <c r="Z134" s="3">
        <f t="shared" si="228"/>
        <v>8.6999999999999994E-3</v>
      </c>
      <c r="AA134" s="3">
        <f t="shared" si="200"/>
        <v>9.4117647058823196E-5</v>
      </c>
      <c r="AB134" s="3">
        <f t="shared" si="201"/>
        <v>0</v>
      </c>
      <c r="AC134" s="3">
        <f t="shared" si="229"/>
        <v>9.4117647058823538E-6</v>
      </c>
      <c r="AD134" s="214">
        <f t="shared" si="230"/>
        <v>1.35E-2</v>
      </c>
      <c r="AE134" s="136">
        <f t="shared" si="202"/>
        <v>2.0464167823439152E-2</v>
      </c>
      <c r="AF134" s="16">
        <f t="shared" si="231"/>
        <v>4.2500000000000003E-2</v>
      </c>
      <c r="AG134" s="49">
        <f t="shared" si="232"/>
        <v>1.8823529411764704E-4</v>
      </c>
      <c r="AH134" s="3">
        <f t="shared" si="233"/>
        <v>1.4999999999999999E-4</v>
      </c>
      <c r="AI134" s="49">
        <f t="shared" si="234"/>
        <v>1.1792640791229891E-6</v>
      </c>
      <c r="AJ134" s="49">
        <f t="shared" si="235"/>
        <v>2.6786351944955601E-5</v>
      </c>
      <c r="AK134" s="49">
        <f t="shared" si="236"/>
        <v>5.2941176470588239E-6</v>
      </c>
      <c r="AL134" s="3">
        <f t="shared" si="237"/>
        <v>0.01</v>
      </c>
      <c r="AM134" s="50">
        <f t="shared" si="203"/>
        <v>1.0003462943462518E-2</v>
      </c>
      <c r="AN134" s="3">
        <f t="shared" si="238"/>
        <v>2.7058823529411762E-4</v>
      </c>
      <c r="AO134" s="3">
        <f t="shared" si="239"/>
        <v>2.1999999999999998E-4</v>
      </c>
      <c r="AP134" s="3">
        <f t="shared" si="204"/>
        <v>1.1792640791229891E-6</v>
      </c>
      <c r="AQ134" s="3">
        <f t="shared" si="205"/>
        <v>2.6786351944955601E-5</v>
      </c>
      <c r="AR134" s="3">
        <f t="shared" si="240"/>
        <v>5.2941176470588239E-6</v>
      </c>
      <c r="AS134" s="214">
        <f t="shared" si="241"/>
        <v>1.35E-2</v>
      </c>
      <c r="AT134" s="50">
        <f t="shared" si="206"/>
        <v>1.3505093943761315E-2</v>
      </c>
      <c r="AU134" s="16">
        <f t="shared" si="242"/>
        <v>4.2500000000000003E-2</v>
      </c>
      <c r="AV134" s="49">
        <f t="shared" si="243"/>
        <v>3.5294117647058816E-3</v>
      </c>
      <c r="AW134" s="3">
        <f t="shared" si="244"/>
        <v>8.0000000000000002E-3</v>
      </c>
      <c r="AX134" s="49">
        <f t="shared" si="245"/>
        <v>9.4117647058823196E-5</v>
      </c>
      <c r="AY134" s="49">
        <f t="shared" si="246"/>
        <v>1.7815266197087797E-2</v>
      </c>
      <c r="AZ134" s="49">
        <f t="shared" si="247"/>
        <v>9.4117647058823538E-6</v>
      </c>
      <c r="BA134" s="3">
        <f t="shared" si="248"/>
        <v>0.01</v>
      </c>
      <c r="BB134" s="50">
        <f t="shared" si="207"/>
        <v>2.4972425707957734E-2</v>
      </c>
      <c r="BC134" s="3">
        <f t="shared" si="249"/>
        <v>4.3529411764705872E-3</v>
      </c>
      <c r="BD134" s="3">
        <f t="shared" si="250"/>
        <v>8.6999999999999994E-3</v>
      </c>
      <c r="BE134" s="3">
        <f t="shared" si="208"/>
        <v>9.4117647058823196E-5</v>
      </c>
      <c r="BF134" s="3">
        <f t="shared" si="209"/>
        <v>1.7815266197087797E-2</v>
      </c>
      <c r="BG134" s="3">
        <f t="shared" si="251"/>
        <v>9.4117647058823538E-6</v>
      </c>
      <c r="BH134" s="214">
        <f t="shared" si="252"/>
        <v>1.35E-2</v>
      </c>
      <c r="BI134" s="50">
        <f t="shared" si="210"/>
        <v>2.7450887124188063E-2</v>
      </c>
      <c r="BJ134" s="16">
        <f t="shared" si="253"/>
        <v>4.2500000000000003E-2</v>
      </c>
      <c r="BK134" s="49">
        <f t="shared" si="254"/>
        <v>3.5294117647058816E-3</v>
      </c>
      <c r="BL134" s="3">
        <f t="shared" si="255"/>
        <v>1E-3</v>
      </c>
      <c r="BM134" s="49">
        <f t="shared" si="256"/>
        <v>2.3529411764705799E-5</v>
      </c>
      <c r="BN134" s="49">
        <f t="shared" si="257"/>
        <v>8.4705882352941169E-4</v>
      </c>
      <c r="BO134" s="49">
        <f t="shared" si="258"/>
        <v>5.2941176470588239E-6</v>
      </c>
      <c r="BP134" s="3">
        <f t="shared" si="259"/>
        <v>0.01</v>
      </c>
      <c r="BQ134" s="50">
        <f t="shared" si="211"/>
        <v>1.0970871798890081E-2</v>
      </c>
      <c r="BR134" s="3">
        <f t="shared" si="260"/>
        <v>3.9411764705882344E-3</v>
      </c>
      <c r="BS134" s="3">
        <f t="shared" si="261"/>
        <v>1.175E-3</v>
      </c>
      <c r="BT134" s="3">
        <f t="shared" si="212"/>
        <v>2.3529411764705799E-5</v>
      </c>
      <c r="BU134" s="3">
        <f t="shared" si="213"/>
        <v>8.4705882352941169E-4</v>
      </c>
      <c r="BV134" s="3">
        <f t="shared" si="262"/>
        <v>5.2941176470588239E-6</v>
      </c>
      <c r="BW134" s="214">
        <f t="shared" si="263"/>
        <v>1.35E-2</v>
      </c>
      <c r="BX134" s="50">
        <f t="shared" si="214"/>
        <v>1.4379976794572957E-2</v>
      </c>
      <c r="BY134" s="16">
        <f t="shared" si="264"/>
        <v>4.2500000000000003E-2</v>
      </c>
      <c r="BZ134" s="49">
        <f t="shared" si="265"/>
        <v>5.8823529411764701E-4</v>
      </c>
      <c r="CA134" s="3">
        <f t="shared" si="266"/>
        <v>2E-3</v>
      </c>
      <c r="CB134" s="49">
        <f t="shared" si="267"/>
        <v>2.3529411764705799E-5</v>
      </c>
      <c r="CC134" s="49">
        <f t="shared" si="268"/>
        <v>0</v>
      </c>
      <c r="CD134" s="49">
        <f t="shared" si="269"/>
        <v>1.0588235294117648E-5</v>
      </c>
      <c r="CE134" s="3">
        <f t="shared" si="270"/>
        <v>0.01</v>
      </c>
      <c r="CF134" s="50">
        <f t="shared" si="215"/>
        <v>1.0216377448297903E-2</v>
      </c>
      <c r="CG134" s="3">
        <f t="shared" si="271"/>
        <v>7.9411764705882341E-4</v>
      </c>
      <c r="CH134" s="3">
        <f t="shared" si="272"/>
        <v>2.0874999999999999E-3</v>
      </c>
      <c r="CI134" s="3">
        <f t="shared" si="216"/>
        <v>2.3529411764705799E-5</v>
      </c>
      <c r="CJ134" s="3">
        <f t="shared" si="217"/>
        <v>0</v>
      </c>
      <c r="CK134" s="3">
        <f t="shared" si="273"/>
        <v>1.0588235294117648E-5</v>
      </c>
      <c r="CL134" s="214">
        <f t="shared" si="274"/>
        <v>1.35E-2</v>
      </c>
      <c r="CM134" s="50">
        <f t="shared" si="218"/>
        <v>1.3684893681484317E-2</v>
      </c>
    </row>
    <row r="135" spans="16:91">
      <c r="P135" s="116">
        <f t="shared" si="219"/>
        <v>9.0000000000000018</v>
      </c>
      <c r="Q135" s="135">
        <f t="shared" si="220"/>
        <v>4.5000000000000005E-2</v>
      </c>
      <c r="R135" s="49">
        <f t="shared" si="221"/>
        <v>1.111111111111111E-2</v>
      </c>
      <c r="S135" s="3">
        <f t="shared" si="222"/>
        <v>8.0000000000000002E-3</v>
      </c>
      <c r="T135" s="49">
        <f t="shared" si="223"/>
        <v>8.8888888888888568E-5</v>
      </c>
      <c r="U135" s="49">
        <f t="shared" si="224"/>
        <v>0</v>
      </c>
      <c r="V135" s="49">
        <f t="shared" si="225"/>
        <v>8.8888888888888883E-6</v>
      </c>
      <c r="W135" s="3">
        <f t="shared" si="226"/>
        <v>0.01</v>
      </c>
      <c r="X135" s="50">
        <f t="shared" si="199"/>
        <v>1.7012938576634714E-2</v>
      </c>
      <c r="Y135" s="3">
        <f t="shared" si="227"/>
        <v>1.1888888888888888E-2</v>
      </c>
      <c r="Z135" s="3">
        <f t="shared" si="228"/>
        <v>8.6999999999999994E-3</v>
      </c>
      <c r="AA135" s="3">
        <f t="shared" si="200"/>
        <v>8.8888888888888568E-5</v>
      </c>
      <c r="AB135" s="3">
        <f t="shared" si="201"/>
        <v>0</v>
      </c>
      <c r="AC135" s="3">
        <f t="shared" si="229"/>
        <v>8.8888888888888883E-6</v>
      </c>
      <c r="AD135" s="214">
        <f t="shared" si="230"/>
        <v>1.35E-2</v>
      </c>
      <c r="AE135" s="136">
        <f t="shared" si="202"/>
        <v>2.0035150099417094E-2</v>
      </c>
      <c r="AF135" s="16">
        <f t="shared" si="231"/>
        <v>4.5000000000000005E-2</v>
      </c>
      <c r="AG135" s="49">
        <f t="shared" si="232"/>
        <v>1.7777777777777776E-4</v>
      </c>
      <c r="AH135" s="3">
        <f t="shared" si="233"/>
        <v>1.4999999999999999E-4</v>
      </c>
      <c r="AI135" s="49">
        <f t="shared" si="234"/>
        <v>1.1137494080606007E-6</v>
      </c>
      <c r="AJ135" s="49">
        <f t="shared" si="235"/>
        <v>2.5298221281346956E-5</v>
      </c>
      <c r="AK135" s="49">
        <f t="shared" si="236"/>
        <v>4.9999999999999996E-6</v>
      </c>
      <c r="AL135" s="3">
        <f t="shared" si="237"/>
        <v>0.01</v>
      </c>
      <c r="AM135" s="50">
        <f t="shared" si="203"/>
        <v>1.0003210407333192E-2</v>
      </c>
      <c r="AN135" s="3">
        <f t="shared" si="238"/>
        <v>2.5555555555555553E-4</v>
      </c>
      <c r="AO135" s="3">
        <f t="shared" si="239"/>
        <v>2.1999999999999998E-4</v>
      </c>
      <c r="AP135" s="3">
        <f t="shared" si="204"/>
        <v>1.1137494080606007E-6</v>
      </c>
      <c r="AQ135" s="3">
        <f t="shared" si="205"/>
        <v>2.5298221281346956E-5</v>
      </c>
      <c r="AR135" s="3">
        <f t="shared" si="240"/>
        <v>4.9999999999999996E-6</v>
      </c>
      <c r="AS135" s="214">
        <f t="shared" si="241"/>
        <v>1.35E-2</v>
      </c>
      <c r="AT135" s="50">
        <f t="shared" si="206"/>
        <v>1.3504737342349783E-2</v>
      </c>
      <c r="AU135" s="16">
        <f t="shared" si="242"/>
        <v>4.5000000000000005E-2</v>
      </c>
      <c r="AV135" s="49">
        <f t="shared" si="243"/>
        <v>3.3333333333333327E-3</v>
      </c>
      <c r="AW135" s="3">
        <f t="shared" si="244"/>
        <v>8.0000000000000002E-3</v>
      </c>
      <c r="AX135" s="49">
        <f t="shared" si="245"/>
        <v>8.8888888888888568E-5</v>
      </c>
      <c r="AY135" s="49">
        <f t="shared" si="246"/>
        <v>1.6825529186138475E-2</v>
      </c>
      <c r="AZ135" s="49">
        <f t="shared" si="247"/>
        <v>8.8888888888888883E-6</v>
      </c>
      <c r="BA135" s="3">
        <f t="shared" si="248"/>
        <v>0.01</v>
      </c>
      <c r="BB135" s="50">
        <f t="shared" si="207"/>
        <v>2.3957702646687937E-2</v>
      </c>
      <c r="BC135" s="3">
        <f t="shared" si="249"/>
        <v>4.1111111111111105E-3</v>
      </c>
      <c r="BD135" s="3">
        <f t="shared" si="250"/>
        <v>8.6999999999999994E-3</v>
      </c>
      <c r="BE135" s="3">
        <f t="shared" si="208"/>
        <v>8.8888888888888568E-5</v>
      </c>
      <c r="BF135" s="3">
        <f t="shared" si="209"/>
        <v>1.6825529186138475E-2</v>
      </c>
      <c r="BG135" s="3">
        <f t="shared" si="251"/>
        <v>8.8888888888888883E-6</v>
      </c>
      <c r="BH135" s="214">
        <f t="shared" si="252"/>
        <v>1.35E-2</v>
      </c>
      <c r="BI135" s="50">
        <f t="shared" si="210"/>
        <v>2.6457757965661161E-2</v>
      </c>
      <c r="BJ135" s="16">
        <f t="shared" si="253"/>
        <v>4.5000000000000005E-2</v>
      </c>
      <c r="BK135" s="49">
        <f t="shared" si="254"/>
        <v>3.3333333333333327E-3</v>
      </c>
      <c r="BL135" s="3">
        <f t="shared" si="255"/>
        <v>1E-3</v>
      </c>
      <c r="BM135" s="49">
        <f t="shared" si="256"/>
        <v>2.2222222222222142E-5</v>
      </c>
      <c r="BN135" s="49">
        <f t="shared" si="257"/>
        <v>7.9999999999999993E-4</v>
      </c>
      <c r="BO135" s="49">
        <f t="shared" si="258"/>
        <v>4.9999999999999996E-6</v>
      </c>
      <c r="BP135" s="3">
        <f t="shared" si="259"/>
        <v>0.01</v>
      </c>
      <c r="BQ135" s="50">
        <f t="shared" si="211"/>
        <v>1.0875139860034383E-2</v>
      </c>
      <c r="BR135" s="3">
        <f t="shared" si="260"/>
        <v>3.7222222222222214E-3</v>
      </c>
      <c r="BS135" s="3">
        <f t="shared" si="261"/>
        <v>1.175E-3</v>
      </c>
      <c r="BT135" s="3">
        <f t="shared" si="212"/>
        <v>2.2222222222222142E-5</v>
      </c>
      <c r="BU135" s="3">
        <f t="shared" si="213"/>
        <v>7.9999999999999993E-4</v>
      </c>
      <c r="BV135" s="3">
        <f t="shared" si="262"/>
        <v>4.9999999999999996E-6</v>
      </c>
      <c r="BW135" s="214">
        <f t="shared" si="263"/>
        <v>1.35E-2</v>
      </c>
      <c r="BX135" s="50">
        <f t="shared" si="214"/>
        <v>1.4292747297445721E-2</v>
      </c>
      <c r="BY135" s="16">
        <f t="shared" si="264"/>
        <v>4.5000000000000005E-2</v>
      </c>
      <c r="BZ135" s="49">
        <f t="shared" si="265"/>
        <v>5.5555555555555545E-4</v>
      </c>
      <c r="CA135" s="3">
        <f t="shared" si="266"/>
        <v>2E-3</v>
      </c>
      <c r="CB135" s="49">
        <f t="shared" si="267"/>
        <v>2.2222222222222142E-5</v>
      </c>
      <c r="CC135" s="49">
        <f t="shared" si="268"/>
        <v>0</v>
      </c>
      <c r="CD135" s="49">
        <f t="shared" si="269"/>
        <v>9.9999999999999991E-6</v>
      </c>
      <c r="CE135" s="3">
        <f t="shared" si="270"/>
        <v>0.01</v>
      </c>
      <c r="CF135" s="50">
        <f t="shared" si="215"/>
        <v>1.0214398032213834E-2</v>
      </c>
      <c r="CG135" s="3">
        <f t="shared" si="271"/>
        <v>7.499999999999998E-4</v>
      </c>
      <c r="CH135" s="3">
        <f t="shared" si="272"/>
        <v>2.0874999999999999E-3</v>
      </c>
      <c r="CI135" s="3">
        <f t="shared" si="216"/>
        <v>2.2222222222222142E-5</v>
      </c>
      <c r="CJ135" s="3">
        <f t="shared" si="217"/>
        <v>0</v>
      </c>
      <c r="CK135" s="3">
        <f t="shared" si="273"/>
        <v>9.9999999999999991E-6</v>
      </c>
      <c r="CL135" s="214">
        <f t="shared" si="274"/>
        <v>1.35E-2</v>
      </c>
      <c r="CM135" s="50">
        <f t="shared" si="218"/>
        <v>1.3682254324872559E-2</v>
      </c>
    </row>
    <row r="136" spans="16:91">
      <c r="P136" s="116">
        <f t="shared" si="219"/>
        <v>9.5000000000000018</v>
      </c>
      <c r="Q136" s="135">
        <f t="shared" si="220"/>
        <v>4.7500000000000007E-2</v>
      </c>
      <c r="R136" s="49">
        <f t="shared" si="221"/>
        <v>1.0526315789473682E-2</v>
      </c>
      <c r="S136" s="3">
        <f t="shared" si="222"/>
        <v>8.0000000000000002E-3</v>
      </c>
      <c r="T136" s="49">
        <f t="shared" si="223"/>
        <v>8.4210526315789177E-5</v>
      </c>
      <c r="U136" s="49">
        <f t="shared" si="224"/>
        <v>0</v>
      </c>
      <c r="V136" s="49">
        <f t="shared" si="225"/>
        <v>8.4210526315789465E-6</v>
      </c>
      <c r="W136" s="3">
        <f t="shared" si="226"/>
        <v>0.01</v>
      </c>
      <c r="X136" s="50">
        <f t="shared" si="199"/>
        <v>1.6630794918228903E-2</v>
      </c>
      <c r="Y136" s="3">
        <f t="shared" si="227"/>
        <v>1.126315789473684E-2</v>
      </c>
      <c r="Z136" s="3">
        <f t="shared" si="228"/>
        <v>8.6999999999999994E-3</v>
      </c>
      <c r="AA136" s="3">
        <f t="shared" si="200"/>
        <v>8.4210526315789177E-5</v>
      </c>
      <c r="AB136" s="3">
        <f t="shared" si="201"/>
        <v>0</v>
      </c>
      <c r="AC136" s="3">
        <f t="shared" si="229"/>
        <v>8.4210526315789465E-6</v>
      </c>
      <c r="AD136" s="214">
        <f t="shared" si="230"/>
        <v>1.35E-2</v>
      </c>
      <c r="AE136" s="136">
        <f t="shared" si="202"/>
        <v>1.9664761401990867E-2</v>
      </c>
      <c r="AF136" s="16">
        <f t="shared" si="231"/>
        <v>4.7500000000000007E-2</v>
      </c>
      <c r="AG136" s="49">
        <f t="shared" si="232"/>
        <v>1.6842105263157892E-4</v>
      </c>
      <c r="AH136" s="3">
        <f t="shared" si="233"/>
        <v>1.4999999999999999E-4</v>
      </c>
      <c r="AI136" s="49">
        <f t="shared" si="234"/>
        <v>1.0551310181626743E-6</v>
      </c>
      <c r="AJ136" s="49">
        <f t="shared" si="235"/>
        <v>2.3966735950749748E-5</v>
      </c>
      <c r="AK136" s="49">
        <f t="shared" si="236"/>
        <v>4.7368421052631569E-6</v>
      </c>
      <c r="AL136" s="3">
        <f t="shared" si="237"/>
        <v>0.01</v>
      </c>
      <c r="AM136" s="50">
        <f t="shared" si="203"/>
        <v>1.0002996681035973E-2</v>
      </c>
      <c r="AN136" s="3">
        <f t="shared" si="238"/>
        <v>2.421052631578947E-4</v>
      </c>
      <c r="AO136" s="3">
        <f t="shared" si="239"/>
        <v>2.1999999999999998E-4</v>
      </c>
      <c r="AP136" s="3">
        <f t="shared" si="204"/>
        <v>1.0551310181626743E-6</v>
      </c>
      <c r="AQ136" s="3">
        <f t="shared" si="205"/>
        <v>2.3966735950749748E-5</v>
      </c>
      <c r="AR136" s="3">
        <f t="shared" si="240"/>
        <v>4.7368421052631569E-6</v>
      </c>
      <c r="AS136" s="214">
        <f t="shared" si="241"/>
        <v>1.35E-2</v>
      </c>
      <c r="AT136" s="50">
        <f t="shared" si="206"/>
        <v>1.350443554323256E-2</v>
      </c>
      <c r="AU136" s="16">
        <f t="shared" si="242"/>
        <v>4.7500000000000007E-2</v>
      </c>
      <c r="AV136" s="49">
        <f t="shared" si="243"/>
        <v>3.1578947368421043E-3</v>
      </c>
      <c r="AW136" s="3">
        <f t="shared" si="244"/>
        <v>8.0000000000000002E-3</v>
      </c>
      <c r="AX136" s="49">
        <f t="shared" si="245"/>
        <v>8.4210526315789177E-5</v>
      </c>
      <c r="AY136" s="49">
        <f t="shared" si="246"/>
        <v>1.5939975018446975E-2</v>
      </c>
      <c r="AZ136" s="49">
        <f t="shared" si="247"/>
        <v>8.4210526315789465E-6</v>
      </c>
      <c r="BA136" s="3">
        <f t="shared" si="248"/>
        <v>0.01</v>
      </c>
      <c r="BB136" s="50">
        <f t="shared" si="207"/>
        <v>2.3064090592175138E-2</v>
      </c>
      <c r="BC136" s="3">
        <f t="shared" si="249"/>
        <v>3.894736842105262E-3</v>
      </c>
      <c r="BD136" s="3">
        <f t="shared" si="250"/>
        <v>8.6999999999999994E-3</v>
      </c>
      <c r="BE136" s="3">
        <f t="shared" si="208"/>
        <v>8.4210526315789177E-5</v>
      </c>
      <c r="BF136" s="3">
        <f t="shared" si="209"/>
        <v>1.5939975018446975E-2</v>
      </c>
      <c r="BG136" s="3">
        <f t="shared" si="251"/>
        <v>8.4210526315789465E-6</v>
      </c>
      <c r="BH136" s="214">
        <f t="shared" si="252"/>
        <v>1.35E-2</v>
      </c>
      <c r="BI136" s="50">
        <f t="shared" si="210"/>
        <v>2.558717530264331E-2</v>
      </c>
      <c r="BJ136" s="16">
        <f t="shared" si="253"/>
        <v>4.7500000000000007E-2</v>
      </c>
      <c r="BK136" s="49">
        <f t="shared" si="254"/>
        <v>3.1578947368421043E-3</v>
      </c>
      <c r="BL136" s="3">
        <f t="shared" si="255"/>
        <v>1E-3</v>
      </c>
      <c r="BM136" s="49">
        <f t="shared" si="256"/>
        <v>2.1052631578947294E-5</v>
      </c>
      <c r="BN136" s="49">
        <f t="shared" si="257"/>
        <v>7.5789473684210519E-4</v>
      </c>
      <c r="BO136" s="49">
        <f t="shared" si="258"/>
        <v>4.7368421052631569E-6</v>
      </c>
      <c r="BP136" s="3">
        <f t="shared" si="259"/>
        <v>0.01</v>
      </c>
      <c r="BQ136" s="50">
        <f t="shared" si="211"/>
        <v>1.0793458583764797E-2</v>
      </c>
      <c r="BR136" s="3">
        <f t="shared" si="260"/>
        <v>3.526315789473683E-3</v>
      </c>
      <c r="BS136" s="3">
        <f t="shared" si="261"/>
        <v>1.175E-3</v>
      </c>
      <c r="BT136" s="3">
        <f t="shared" si="212"/>
        <v>2.1052631578947294E-5</v>
      </c>
      <c r="BU136" s="3">
        <f t="shared" si="213"/>
        <v>7.5789473684210519E-4</v>
      </c>
      <c r="BV136" s="3">
        <f t="shared" si="262"/>
        <v>4.7368421052631569E-6</v>
      </c>
      <c r="BW136" s="214">
        <f t="shared" si="263"/>
        <v>1.35E-2</v>
      </c>
      <c r="BX136" s="50">
        <f t="shared" si="214"/>
        <v>1.4218506894058843E-2</v>
      </c>
      <c r="BY136" s="16">
        <f t="shared" si="264"/>
        <v>4.7500000000000007E-2</v>
      </c>
      <c r="BZ136" s="49">
        <f t="shared" si="265"/>
        <v>5.2631578947368409E-4</v>
      </c>
      <c r="CA136" s="3">
        <f t="shared" si="266"/>
        <v>2E-3</v>
      </c>
      <c r="CB136" s="49">
        <f t="shared" si="267"/>
        <v>2.1052631578947294E-5</v>
      </c>
      <c r="CC136" s="49">
        <f t="shared" si="268"/>
        <v>0</v>
      </c>
      <c r="CD136" s="49">
        <f t="shared" si="269"/>
        <v>9.4736842105263138E-6</v>
      </c>
      <c r="CE136" s="3">
        <f t="shared" si="270"/>
        <v>0.01</v>
      </c>
      <c r="CF136" s="50">
        <f t="shared" si="215"/>
        <v>1.0212722552730891E-2</v>
      </c>
      <c r="CG136" s="3">
        <f t="shared" si="271"/>
        <v>7.1052631578947352E-4</v>
      </c>
      <c r="CH136" s="3">
        <f t="shared" si="272"/>
        <v>2.0874999999999999E-3</v>
      </c>
      <c r="CI136" s="3">
        <f t="shared" si="216"/>
        <v>2.1052631578947294E-5</v>
      </c>
      <c r="CJ136" s="3">
        <f t="shared" si="217"/>
        <v>0</v>
      </c>
      <c r="CK136" s="3">
        <f t="shared" si="273"/>
        <v>9.4736842105263138E-6</v>
      </c>
      <c r="CL136" s="214">
        <f t="shared" si="274"/>
        <v>1.35E-2</v>
      </c>
      <c r="CM136" s="50">
        <f t="shared" si="218"/>
        <v>1.3680020239638727E-2</v>
      </c>
    </row>
    <row r="137" spans="16:91">
      <c r="P137" s="116">
        <f t="shared" si="219"/>
        <v>10</v>
      </c>
      <c r="Q137" s="135">
        <f t="shared" si="220"/>
        <v>0.05</v>
      </c>
      <c r="R137" s="49">
        <f t="shared" si="221"/>
        <v>0.01</v>
      </c>
      <c r="S137" s="3">
        <f t="shared" si="222"/>
        <v>8.0000000000000002E-3</v>
      </c>
      <c r="T137" s="49">
        <f t="shared" si="223"/>
        <v>7.9999999999999722E-5</v>
      </c>
      <c r="U137" s="49">
        <f t="shared" si="224"/>
        <v>0</v>
      </c>
      <c r="V137" s="49">
        <f t="shared" si="225"/>
        <v>8.0000000000000013E-6</v>
      </c>
      <c r="W137" s="3">
        <f t="shared" si="226"/>
        <v>0.01</v>
      </c>
      <c r="X137" s="50">
        <f t="shared" si="199"/>
        <v>1.629743734456433E-2</v>
      </c>
      <c r="Y137" s="3">
        <f t="shared" si="227"/>
        <v>1.0699999999999999E-2</v>
      </c>
      <c r="Z137" s="3">
        <f t="shared" si="228"/>
        <v>8.6999999999999994E-3</v>
      </c>
      <c r="AA137" s="3">
        <f t="shared" si="200"/>
        <v>7.9999999999999722E-5</v>
      </c>
      <c r="AB137" s="3">
        <f t="shared" si="201"/>
        <v>0</v>
      </c>
      <c r="AC137" s="3">
        <f t="shared" si="229"/>
        <v>8.0000000000000013E-6</v>
      </c>
      <c r="AD137" s="214">
        <f t="shared" si="230"/>
        <v>1.35E-2</v>
      </c>
      <c r="AE137" s="136">
        <f t="shared" si="202"/>
        <v>1.9342917670299897E-2</v>
      </c>
      <c r="AF137" s="16">
        <f t="shared" si="231"/>
        <v>0.05</v>
      </c>
      <c r="AG137" s="49">
        <f t="shared" si="232"/>
        <v>1.5999999999999999E-4</v>
      </c>
      <c r="AH137" s="3">
        <f t="shared" si="233"/>
        <v>1.4999999999999999E-4</v>
      </c>
      <c r="AI137" s="49">
        <f t="shared" si="234"/>
        <v>1.0023744672545408E-6</v>
      </c>
      <c r="AJ137" s="49">
        <f t="shared" si="235"/>
        <v>2.2768399153212262E-5</v>
      </c>
      <c r="AK137" s="49">
        <f t="shared" si="236"/>
        <v>4.5000000000000001E-6</v>
      </c>
      <c r="AL137" s="3">
        <f t="shared" si="237"/>
        <v>0.01</v>
      </c>
      <c r="AM137" s="50">
        <f t="shared" si="203"/>
        <v>1.0002814201375384E-2</v>
      </c>
      <c r="AN137" s="3">
        <f t="shared" si="238"/>
        <v>2.2999999999999998E-4</v>
      </c>
      <c r="AO137" s="3">
        <f t="shared" si="239"/>
        <v>2.1999999999999998E-4</v>
      </c>
      <c r="AP137" s="3">
        <f t="shared" si="204"/>
        <v>1.0023744672545408E-6</v>
      </c>
      <c r="AQ137" s="3">
        <f t="shared" si="205"/>
        <v>2.2768399153212262E-5</v>
      </c>
      <c r="AR137" s="3">
        <f t="shared" si="240"/>
        <v>4.5000000000000001E-6</v>
      </c>
      <c r="AS137" s="214">
        <f t="shared" si="241"/>
        <v>1.35E-2</v>
      </c>
      <c r="AT137" s="50">
        <f t="shared" si="206"/>
        <v>1.3504177866702731E-2</v>
      </c>
      <c r="AU137" s="16">
        <f t="shared" si="242"/>
        <v>0.05</v>
      </c>
      <c r="AV137" s="49">
        <f t="shared" si="243"/>
        <v>2.9999999999999996E-3</v>
      </c>
      <c r="AW137" s="3">
        <f t="shared" si="244"/>
        <v>8.0000000000000002E-3</v>
      </c>
      <c r="AX137" s="49">
        <f t="shared" si="245"/>
        <v>7.9999999999999722E-5</v>
      </c>
      <c r="AY137" s="49">
        <f t="shared" si="246"/>
        <v>1.5142976267524628E-2</v>
      </c>
      <c r="AZ137" s="49">
        <f t="shared" si="247"/>
        <v>8.0000000000000013E-6</v>
      </c>
      <c r="BA137" s="3">
        <f t="shared" si="248"/>
        <v>0.01</v>
      </c>
      <c r="BB137" s="50">
        <f t="shared" si="207"/>
        <v>2.22727844699931E-2</v>
      </c>
      <c r="BC137" s="3">
        <f t="shared" si="249"/>
        <v>3.6999999999999993E-3</v>
      </c>
      <c r="BD137" s="3">
        <f t="shared" si="250"/>
        <v>8.6999999999999994E-3</v>
      </c>
      <c r="BE137" s="3">
        <f t="shared" si="208"/>
        <v>7.9999999999999722E-5</v>
      </c>
      <c r="BF137" s="3">
        <f t="shared" si="209"/>
        <v>1.5142976267524628E-2</v>
      </c>
      <c r="BG137" s="3">
        <f t="shared" si="251"/>
        <v>8.0000000000000013E-6</v>
      </c>
      <c r="BH137" s="214">
        <f t="shared" si="252"/>
        <v>1.35E-2</v>
      </c>
      <c r="BI137" s="50">
        <f t="shared" si="210"/>
        <v>2.4819731965138148E-2</v>
      </c>
      <c r="BJ137" s="16">
        <f t="shared" si="253"/>
        <v>0.05</v>
      </c>
      <c r="BK137" s="49">
        <f t="shared" si="254"/>
        <v>2.9999999999999996E-3</v>
      </c>
      <c r="BL137" s="3">
        <f t="shared" si="255"/>
        <v>1E-3</v>
      </c>
      <c r="BM137" s="49">
        <f t="shared" si="256"/>
        <v>1.999999999999993E-5</v>
      </c>
      <c r="BN137" s="49">
        <f t="shared" si="257"/>
        <v>7.1999999999999994E-4</v>
      </c>
      <c r="BO137" s="49">
        <f t="shared" si="258"/>
        <v>4.5000000000000001E-6</v>
      </c>
      <c r="BP137" s="3">
        <f t="shared" si="259"/>
        <v>0.01</v>
      </c>
      <c r="BQ137" s="50">
        <f t="shared" si="211"/>
        <v>1.0723228070408649E-2</v>
      </c>
      <c r="BR137" s="3">
        <f t="shared" si="260"/>
        <v>3.3499999999999997E-3</v>
      </c>
      <c r="BS137" s="3">
        <f t="shared" si="261"/>
        <v>1.175E-3</v>
      </c>
      <c r="BT137" s="3">
        <f t="shared" si="212"/>
        <v>1.999999999999993E-5</v>
      </c>
      <c r="BU137" s="3">
        <f t="shared" si="213"/>
        <v>7.1999999999999994E-4</v>
      </c>
      <c r="BV137" s="3">
        <f t="shared" si="262"/>
        <v>4.5000000000000001E-6</v>
      </c>
      <c r="BW137" s="214">
        <f t="shared" si="263"/>
        <v>1.35E-2</v>
      </c>
      <c r="BX137" s="50">
        <f t="shared" si="214"/>
        <v>1.4154813501067402E-2</v>
      </c>
      <c r="BY137" s="16">
        <f t="shared" si="264"/>
        <v>0.05</v>
      </c>
      <c r="BZ137" s="49">
        <f t="shared" si="265"/>
        <v>4.999999999999999E-4</v>
      </c>
      <c r="CA137" s="3">
        <f t="shared" si="266"/>
        <v>2E-3</v>
      </c>
      <c r="CB137" s="49">
        <f t="shared" si="267"/>
        <v>1.999999999999993E-5</v>
      </c>
      <c r="CC137" s="49">
        <f t="shared" si="268"/>
        <v>0</v>
      </c>
      <c r="CD137" s="49">
        <f t="shared" si="269"/>
        <v>9.0000000000000002E-6</v>
      </c>
      <c r="CE137" s="3">
        <f t="shared" si="270"/>
        <v>0.01</v>
      </c>
      <c r="CF137" s="50">
        <f t="shared" si="215"/>
        <v>1.0211291837960563E-2</v>
      </c>
      <c r="CG137" s="3">
        <f t="shared" si="271"/>
        <v>6.7499999999999982E-4</v>
      </c>
      <c r="CH137" s="3">
        <f t="shared" si="272"/>
        <v>2.0874999999999999E-3</v>
      </c>
      <c r="CI137" s="3">
        <f t="shared" si="216"/>
        <v>1.999999999999993E-5</v>
      </c>
      <c r="CJ137" s="3">
        <f t="shared" si="217"/>
        <v>0</v>
      </c>
      <c r="CK137" s="3">
        <f t="shared" si="273"/>
        <v>9.0000000000000002E-6</v>
      </c>
      <c r="CL137" s="214">
        <f t="shared" si="274"/>
        <v>1.35E-2</v>
      </c>
      <c r="CM137" s="50">
        <f t="shared" si="218"/>
        <v>1.367811252512568E-2</v>
      </c>
    </row>
    <row r="138" spans="16:91">
      <c r="P138" s="116">
        <f t="shared" si="219"/>
        <v>15</v>
      </c>
      <c r="Q138" s="135">
        <f t="shared" si="220"/>
        <v>7.4999999999999997E-2</v>
      </c>
      <c r="R138" s="49">
        <f t="shared" si="221"/>
        <v>6.6666666666666671E-3</v>
      </c>
      <c r="S138" s="3">
        <f t="shared" si="222"/>
        <v>8.0000000000000002E-3</v>
      </c>
      <c r="T138" s="49">
        <f t="shared" si="223"/>
        <v>5.333333333333315E-5</v>
      </c>
      <c r="U138" s="49">
        <f t="shared" si="224"/>
        <v>0</v>
      </c>
      <c r="V138" s="49">
        <f t="shared" si="225"/>
        <v>5.3333333333333337E-6</v>
      </c>
      <c r="W138" s="3">
        <f t="shared" si="226"/>
        <v>0.01</v>
      </c>
      <c r="X138" s="50">
        <f t="shared" si="199"/>
        <v>1.4462310619138439E-2</v>
      </c>
      <c r="Y138" s="3">
        <f t="shared" si="227"/>
        <v>7.1333333333333335E-3</v>
      </c>
      <c r="Z138" s="3">
        <f t="shared" si="228"/>
        <v>8.6999999999999994E-3</v>
      </c>
      <c r="AA138" s="3">
        <f t="shared" si="200"/>
        <v>5.333333333333315E-5</v>
      </c>
      <c r="AB138" s="3">
        <f t="shared" si="201"/>
        <v>0</v>
      </c>
      <c r="AC138" s="3">
        <f t="shared" si="229"/>
        <v>5.3333333333333337E-6</v>
      </c>
      <c r="AD138" s="214">
        <f t="shared" si="230"/>
        <v>1.35E-2</v>
      </c>
      <c r="AE138" s="136">
        <f t="shared" si="202"/>
        <v>1.7595118818076284E-2</v>
      </c>
      <c r="AF138" s="16">
        <f t="shared" si="231"/>
        <v>7.4999999999999997E-2</v>
      </c>
      <c r="AG138" s="49">
        <f t="shared" si="232"/>
        <v>1.0666666666666667E-4</v>
      </c>
      <c r="AH138" s="3">
        <f t="shared" si="233"/>
        <v>1.4999999999999999E-4</v>
      </c>
      <c r="AI138" s="49">
        <f t="shared" si="234"/>
        <v>6.6824964483636054E-7</v>
      </c>
      <c r="AJ138" s="49">
        <f t="shared" si="235"/>
        <v>1.5178932768808176E-5</v>
      </c>
      <c r="AK138" s="49">
        <f t="shared" si="236"/>
        <v>3.0000000000000001E-6</v>
      </c>
      <c r="AL138" s="3">
        <f t="shared" si="237"/>
        <v>0.01</v>
      </c>
      <c r="AM138" s="50">
        <f t="shared" si="203"/>
        <v>1.000187575623775E-2</v>
      </c>
      <c r="AN138" s="3">
        <f t="shared" si="238"/>
        <v>1.5333333333333334E-4</v>
      </c>
      <c r="AO138" s="3">
        <f t="shared" si="239"/>
        <v>2.1999999999999998E-4</v>
      </c>
      <c r="AP138" s="3">
        <f t="shared" si="204"/>
        <v>6.6824964483636054E-7</v>
      </c>
      <c r="AQ138" s="3">
        <f t="shared" si="205"/>
        <v>1.5178932768808176E-5</v>
      </c>
      <c r="AR138" s="3">
        <f t="shared" si="240"/>
        <v>3.0000000000000001E-6</v>
      </c>
      <c r="AS138" s="214">
        <f t="shared" si="241"/>
        <v>1.35E-2</v>
      </c>
      <c r="AT138" s="50">
        <f t="shared" si="206"/>
        <v>1.3502852700333674E-2</v>
      </c>
      <c r="AU138" s="16">
        <f t="shared" si="242"/>
        <v>7.4999999999999997E-2</v>
      </c>
      <c r="AV138" s="49">
        <f t="shared" si="243"/>
        <v>2E-3</v>
      </c>
      <c r="AW138" s="3">
        <f t="shared" si="244"/>
        <v>8.0000000000000002E-3</v>
      </c>
      <c r="AX138" s="49">
        <f t="shared" si="245"/>
        <v>5.333333333333315E-5</v>
      </c>
      <c r="AY138" s="49">
        <f t="shared" si="246"/>
        <v>1.0095317511683086E-2</v>
      </c>
      <c r="AZ138" s="49">
        <f t="shared" si="247"/>
        <v>5.3333333333333337E-6</v>
      </c>
      <c r="BA138" s="3">
        <f t="shared" si="248"/>
        <v>0.01</v>
      </c>
      <c r="BB138" s="50">
        <f t="shared" si="207"/>
        <v>1.7651904877337251E-2</v>
      </c>
      <c r="BC138" s="3">
        <f t="shared" si="249"/>
        <v>2.4666666666666665E-3</v>
      </c>
      <c r="BD138" s="3">
        <f t="shared" si="250"/>
        <v>8.6999999999999994E-3</v>
      </c>
      <c r="BE138" s="3">
        <f t="shared" si="208"/>
        <v>5.333333333333315E-5</v>
      </c>
      <c r="BF138" s="3">
        <f t="shared" si="209"/>
        <v>1.0095317511683086E-2</v>
      </c>
      <c r="BG138" s="3">
        <f t="shared" si="251"/>
        <v>5.3333333333333337E-6</v>
      </c>
      <c r="BH138" s="214">
        <f t="shared" si="252"/>
        <v>1.35E-2</v>
      </c>
      <c r="BI138" s="50">
        <f t="shared" si="210"/>
        <v>2.0422689939501661E-2</v>
      </c>
      <c r="BJ138" s="16">
        <f t="shared" si="253"/>
        <v>7.4999999999999997E-2</v>
      </c>
      <c r="BK138" s="49">
        <f t="shared" si="254"/>
        <v>2E-3</v>
      </c>
      <c r="BL138" s="3">
        <f t="shared" si="255"/>
        <v>1E-3</v>
      </c>
      <c r="BM138" s="49">
        <f t="shared" si="256"/>
        <v>1.3333333333333288E-5</v>
      </c>
      <c r="BN138" s="49">
        <f t="shared" si="257"/>
        <v>4.8000000000000001E-4</v>
      </c>
      <c r="BO138" s="49">
        <f t="shared" si="258"/>
        <v>3.0000000000000001E-6</v>
      </c>
      <c r="BP138" s="3">
        <f t="shared" si="259"/>
        <v>0.01</v>
      </c>
      <c r="BQ138" s="50">
        <f t="shared" si="211"/>
        <v>1.035455069576228E-2</v>
      </c>
      <c r="BR138" s="3">
        <f t="shared" si="260"/>
        <v>2.2333333333333333E-3</v>
      </c>
      <c r="BS138" s="3">
        <f t="shared" si="261"/>
        <v>1.175E-3</v>
      </c>
      <c r="BT138" s="3">
        <f t="shared" si="212"/>
        <v>1.3333333333333288E-5</v>
      </c>
      <c r="BU138" s="3">
        <f t="shared" si="213"/>
        <v>4.8000000000000001E-4</v>
      </c>
      <c r="BV138" s="3">
        <f t="shared" si="262"/>
        <v>3.0000000000000001E-6</v>
      </c>
      <c r="BW138" s="214">
        <f t="shared" si="263"/>
        <v>1.35E-2</v>
      </c>
      <c r="BX138" s="50">
        <f t="shared" si="214"/>
        <v>1.3822638862066501E-2</v>
      </c>
      <c r="BY138" s="16">
        <f t="shared" si="264"/>
        <v>7.4999999999999997E-2</v>
      </c>
      <c r="BZ138" s="49">
        <f t="shared" si="265"/>
        <v>3.3333333333333332E-4</v>
      </c>
      <c r="CA138" s="3">
        <f t="shared" si="266"/>
        <v>2E-3</v>
      </c>
      <c r="CB138" s="49">
        <f t="shared" si="267"/>
        <v>1.3333333333333288E-5</v>
      </c>
      <c r="CC138" s="49">
        <f t="shared" si="268"/>
        <v>0</v>
      </c>
      <c r="CD138" s="49">
        <f t="shared" si="269"/>
        <v>6.0000000000000002E-6</v>
      </c>
      <c r="CE138" s="3">
        <f t="shared" si="270"/>
        <v>0.01</v>
      </c>
      <c r="CF138" s="50">
        <f t="shared" si="215"/>
        <v>1.0203931290330105E-2</v>
      </c>
      <c r="CG138" s="3">
        <f t="shared" si="271"/>
        <v>4.4999999999999999E-4</v>
      </c>
      <c r="CH138" s="3">
        <f t="shared" si="272"/>
        <v>2.0874999999999999E-3</v>
      </c>
      <c r="CI138" s="3">
        <f t="shared" si="216"/>
        <v>1.3333333333333288E-5</v>
      </c>
      <c r="CJ138" s="3">
        <f t="shared" si="217"/>
        <v>0</v>
      </c>
      <c r="CK138" s="3">
        <f t="shared" si="273"/>
        <v>6.0000000000000002E-6</v>
      </c>
      <c r="CL138" s="214">
        <f t="shared" si="274"/>
        <v>1.35E-2</v>
      </c>
      <c r="CM138" s="50">
        <f t="shared" si="218"/>
        <v>1.3668297993085231E-2</v>
      </c>
    </row>
    <row r="139" spans="16:91">
      <c r="P139" s="116">
        <f t="shared" si="219"/>
        <v>20</v>
      </c>
      <c r="Q139" s="135">
        <f t="shared" ref="Q139:Q170" si="275">IF(calcshunt="Yes",($P139*$C$32/1000),($P139*$J$19/1000))</f>
        <v>0.1</v>
      </c>
      <c r="R139" s="49">
        <f t="shared" ref="R139:R170" si="276">IF(RTC="Yes",0,((VOS_1/1000000)/Q139))</f>
        <v>5.0000000000000001E-3</v>
      </c>
      <c r="S139" s="3">
        <f t="shared" ref="S139:S170" si="277">IF(R$8&lt;&gt;0,"ERROR",IF(RTC="Yes",0,GE_1))</f>
        <v>8.0000000000000002E-3</v>
      </c>
      <c r="T139" s="49">
        <f t="shared" ref="T139:T170" si="278">IF(RTC="Yes",0,(($T$7*ABS(Vsupply-$T$8))/Q139))</f>
        <v>3.9999999999999861E-5</v>
      </c>
      <c r="U139" s="49">
        <f t="shared" ref="U139:U170" si="279">IF(RTC="Yes",0,(($U$7*ABS(Vcm-$U$8))/Q139))</f>
        <v>0</v>
      </c>
      <c r="V139" s="49">
        <f t="shared" ref="V139:V170" si="280">IF(RTC="Yes",0,((ibias1/1000000)/$P139))</f>
        <v>4.0000000000000007E-6</v>
      </c>
      <c r="W139" s="3">
        <f t="shared" ref="W139:W170" si="281">IF(RTC="Yes",0,$J$20)</f>
        <v>0.01</v>
      </c>
      <c r="X139" s="50">
        <f t="shared" si="199"/>
        <v>1.3762325966202079E-2</v>
      </c>
      <c r="Y139" s="3">
        <f t="shared" ref="Y139:Y170" si="282">R139+((VOSD1*0.000001*ABS(Desiredtemp-25)))/Q139</f>
        <v>5.3499999999999997E-3</v>
      </c>
      <c r="Z139" s="3">
        <f t="shared" ref="Z139:Z170" si="283">S139+(GED_1/1000000*ABS(Desiredtemp-25))</f>
        <v>8.6999999999999994E-3</v>
      </c>
      <c r="AA139" s="3">
        <f t="shared" si="200"/>
        <v>3.9999999999999861E-5</v>
      </c>
      <c r="AB139" s="3">
        <f t="shared" si="201"/>
        <v>0</v>
      </c>
      <c r="AC139" s="3">
        <f t="shared" ref="AC139:AC170" si="284">(ibias1/1000000)/$P139</f>
        <v>4.0000000000000007E-6</v>
      </c>
      <c r="AD139" s="214">
        <f t="shared" ref="AD139:AD170" si="285">((resdrift/1000000)*ABS(Desiredtemp-25))+W139</f>
        <v>1.35E-2</v>
      </c>
      <c r="AE139" s="136">
        <f t="shared" si="202"/>
        <v>1.694084165559669E-2</v>
      </c>
      <c r="AF139" s="16">
        <f t="shared" ref="AF139:AF170" si="286">IF(calcshunt="Yes",($P139*$D$32/1000),($P139*$J$19/1000))</f>
        <v>0.1</v>
      </c>
      <c r="AG139" s="49">
        <f t="shared" ref="AG139:AG170" si="287">IF(RTC="Yes",0,((VOS_2/1000000)/AF139))</f>
        <v>7.9999999999999993E-5</v>
      </c>
      <c r="AH139" s="3">
        <f t="shared" ref="AH139:AH170" si="288">IF(AG$8&lt;&gt;0,"ERROR",IF(RTC="Yes",0,GE_2))</f>
        <v>1.4999999999999999E-4</v>
      </c>
      <c r="AI139" s="49">
        <f t="shared" ref="AI139:AI170" si="289">IF(RTC="Yes",0,(($AI$7*ABS(Vsupply-$AI$8))/AF139))</f>
        <v>5.0118723362727038E-7</v>
      </c>
      <c r="AJ139" s="49">
        <f t="shared" ref="AJ139:AJ170" si="290">IF(RTC="Yes",0,(($AJ$7*ABS(Vcm-$AJ$8))/AF139))</f>
        <v>1.1384199576606131E-5</v>
      </c>
      <c r="AK139" s="49">
        <f t="shared" ref="AK139:AK170" si="291">IF(RTC="Yes",0,((ibias2/1000000)/$P139))</f>
        <v>2.2500000000000001E-6</v>
      </c>
      <c r="AL139" s="3">
        <f t="shared" ref="AL139:AL170" si="292">IF(RTC="Yes",0,$J$20)</f>
        <v>0.01</v>
      </c>
      <c r="AM139" s="50">
        <f t="shared" si="203"/>
        <v>1.0001547279636749E-2</v>
      </c>
      <c r="AN139" s="3">
        <f t="shared" ref="AN139:AN170" si="293">AG139+((VOSD2*0.000001*ABS(Desiredtemp-25)))/AF139</f>
        <v>1.1499999999999999E-4</v>
      </c>
      <c r="AO139" s="3">
        <f t="shared" ref="AO139:AO170" si="294">AH139+(GED_2/1000000*ABS(Desiredtemp-25))</f>
        <v>2.1999999999999998E-4</v>
      </c>
      <c r="AP139" s="3">
        <f t="shared" si="204"/>
        <v>5.0118723362727038E-7</v>
      </c>
      <c r="AQ139" s="3">
        <f t="shared" si="205"/>
        <v>1.1384199576606131E-5</v>
      </c>
      <c r="AR139" s="3">
        <f t="shared" ref="AR139:AR170" si="295">(ibias2/1000000)/$P139</f>
        <v>2.2500000000000001E-6</v>
      </c>
      <c r="AS139" s="214">
        <f t="shared" ref="AS139:AS170" si="296">((resdrift/1000000)*ABS(Desiredtemp-25))+AL139</f>
        <v>1.35E-2</v>
      </c>
      <c r="AT139" s="50">
        <f t="shared" si="206"/>
        <v>1.3502388861378788E-2</v>
      </c>
      <c r="AU139" s="16">
        <f t="shared" ref="AU139:AU170" si="297">IF(calcshunt="Yes",($P139*$E$32/1000),($P139*$J$19/1000))</f>
        <v>0.1</v>
      </c>
      <c r="AV139" s="49">
        <f t="shared" ref="AV139:AV170" si="298">IF(RTC="Yes",0,((VOS_3/1000000)/AU139))</f>
        <v>1.4999999999999998E-3</v>
      </c>
      <c r="AW139" s="3">
        <f t="shared" ref="AW139:AW170" si="299">IF(AV$8&lt;&gt;0,"ERROR",IF(RTC="Yes",0,GE_3))</f>
        <v>8.0000000000000002E-3</v>
      </c>
      <c r="AX139" s="49">
        <f t="shared" ref="AX139:AX170" si="300">IF(RTC="Yes",0,(($AX$7*ABS(Vsupply-$AX$8))/AU139))</f>
        <v>3.9999999999999861E-5</v>
      </c>
      <c r="AY139" s="49">
        <f t="shared" ref="AY139:AY170" si="301">IF(RTC="Yes",0,(($AY$7*ABS(Vcm-$AY$8))/AU139))</f>
        <v>7.5714881337623141E-3</v>
      </c>
      <c r="AZ139" s="49">
        <f t="shared" ref="AZ139:AZ170" si="302">IF(RTC="Yes",0,((ibias3/1000000)/$P139))</f>
        <v>4.0000000000000007E-6</v>
      </c>
      <c r="BA139" s="3">
        <f t="shared" ref="BA139:BA170" si="303">IF(RTC="Yes",0,$J$20)</f>
        <v>0.01</v>
      </c>
      <c r="BB139" s="50">
        <f t="shared" si="207"/>
        <v>1.5716845485392143E-2</v>
      </c>
      <c r="BC139" s="3">
        <f t="shared" ref="BC139:BC170" si="304">AV139+((VOSD3*0.000001*ABS(Desiredtemp-25)))/AU139</f>
        <v>1.8499999999999996E-3</v>
      </c>
      <c r="BD139" s="3">
        <f t="shared" ref="BD139:BD170" si="305">AW139+(GED_3/1000000*ABS(Desiredtemp-25))</f>
        <v>8.6999999999999994E-3</v>
      </c>
      <c r="BE139" s="3">
        <f t="shared" si="208"/>
        <v>3.9999999999999861E-5</v>
      </c>
      <c r="BF139" s="3">
        <f t="shared" si="209"/>
        <v>7.5714881337623141E-3</v>
      </c>
      <c r="BG139" s="3">
        <f t="shared" ref="BG139:BG170" si="306">(ibias3/1000000)/$P139</f>
        <v>4.0000000000000007E-6</v>
      </c>
      <c r="BH139" s="214">
        <f t="shared" ref="BH139:BH170" si="307">((resdrift/1000000)*ABS(Desiredtemp-25))+BA139</f>
        <v>1.35E-2</v>
      </c>
      <c r="BI139" s="50">
        <f t="shared" si="210"/>
        <v>1.8640272897823277E-2</v>
      </c>
      <c r="BJ139" s="16">
        <f t="shared" ref="BJ139:BJ170" si="308">IF(calcshunt="Yes",($P139*$F$32/1000),($P139*$J$19/1000))</f>
        <v>0.1</v>
      </c>
      <c r="BK139" s="49">
        <f t="shared" ref="BK139:BK170" si="309">IF(RTC="Yes",0,((VOS_4/1000000)/BJ139))</f>
        <v>1.4999999999999998E-3</v>
      </c>
      <c r="BL139" s="3">
        <f t="shared" ref="BL139:BL170" si="310">IF(BK$8&lt;&gt;0,"ERROR",IF(RTC="Yes",0,GE_4))</f>
        <v>1E-3</v>
      </c>
      <c r="BM139" s="49">
        <f t="shared" ref="BM139:BM170" si="311">IF(RTC="Yes",0,(($BM$7*ABS(Vsupply-$BM$8))/BJ139))</f>
        <v>9.9999999999999652E-6</v>
      </c>
      <c r="BN139" s="49">
        <f t="shared" ref="BN139:BN170" si="312">IF(RTC="Yes",0,(($BN$7*ABS(Vcm-$BN$8))/BJ139))</f>
        <v>3.5999999999999997E-4</v>
      </c>
      <c r="BO139" s="49">
        <f t="shared" ref="BO139:BO170" si="313">IF(RTC="Yes",0,((ibias4/1000000)/$P139))</f>
        <v>2.2500000000000001E-6</v>
      </c>
      <c r="BP139" s="3">
        <f t="shared" ref="BP139:BP170" si="314">IF(RTC="Yes",0,$J$20)</f>
        <v>0.01</v>
      </c>
      <c r="BQ139" s="50">
        <f t="shared" si="211"/>
        <v>1.0222372770668266E-2</v>
      </c>
      <c r="BR139" s="3">
        <f t="shared" ref="BR139:BR170" si="315">BK139+((VOSD4*0.000001*ABS(Desiredtemp-25)))/BJ139</f>
        <v>1.6749999999999998E-3</v>
      </c>
      <c r="BS139" s="3">
        <f t="shared" ref="BS139:BS170" si="316">BL139+(GED_4/1000000*ABS(Desiredtemp-25))</f>
        <v>1.175E-3</v>
      </c>
      <c r="BT139" s="3">
        <f t="shared" si="212"/>
        <v>9.9999999999999652E-6</v>
      </c>
      <c r="BU139" s="3">
        <f t="shared" si="213"/>
        <v>3.5999999999999997E-4</v>
      </c>
      <c r="BV139" s="3">
        <f t="shared" ref="BV139:BV170" si="317">(ibias4/1000000)/$P139</f>
        <v>2.2500000000000001E-6</v>
      </c>
      <c r="BW139" s="214">
        <f t="shared" ref="BW139:BW170" si="318">((resdrift/1000000)*ABS(Desiredtemp-25))+BP139</f>
        <v>1.35E-2</v>
      </c>
      <c r="BX139" s="50">
        <f t="shared" si="214"/>
        <v>1.3704475731034003E-2</v>
      </c>
      <c r="BY139" s="16">
        <f t="shared" ref="BY139:BY170" si="319">IF(calcshunt="Yes",($P139*$G$32/1000),($P139*$J$19/1000))</f>
        <v>0.1</v>
      </c>
      <c r="BZ139" s="49">
        <f t="shared" ref="BZ139:BZ170" si="320">IF(RTC="Yes",0,((VOS_5/1000000)/BY139))</f>
        <v>2.4999999999999995E-4</v>
      </c>
      <c r="CA139" s="3">
        <f t="shared" ref="CA139:CA170" si="321">IF(BZ$8&lt;&gt;0,"ERROR",IF(RTC="Yes",0,GE_5))</f>
        <v>2E-3</v>
      </c>
      <c r="CB139" s="49">
        <f t="shared" ref="CB139:CB170" si="322">IF(RTC="Yes",0,(($CB$7*ABS(Vsupply-$CB$8))/BY139))</f>
        <v>9.9999999999999652E-6</v>
      </c>
      <c r="CC139" s="49">
        <f t="shared" ref="CC139:CC170" si="323">IF(RTC="Yes",0,(($CC$7*ABS(Vcm-$CC$8))/BY139))</f>
        <v>0</v>
      </c>
      <c r="CD139" s="49">
        <f t="shared" ref="CD139:CD170" si="324">IF(RTC="Yes",0,((ibias5/1000000)/$P139))</f>
        <v>4.5000000000000001E-6</v>
      </c>
      <c r="CE139" s="3">
        <f t="shared" ref="CE139:CE170" si="325">IF(RTC="Yes",0,$J$20)</f>
        <v>0.01</v>
      </c>
      <c r="CF139" s="50">
        <f t="shared" si="215"/>
        <v>1.0201353843975809E-2</v>
      </c>
      <c r="CG139" s="3">
        <f t="shared" ref="CG139:CG170" si="326">BZ139+((VOSD5*0.000001*ABS(Desiredtemp-25)))/BY139</f>
        <v>3.3749999999999991E-4</v>
      </c>
      <c r="CH139" s="3">
        <f t="shared" ref="CH139:CH170" si="327">CA139+(GED_5/1000000*ABS(Desiredtemp-25))</f>
        <v>2.0874999999999999E-3</v>
      </c>
      <c r="CI139" s="3">
        <f t="shared" si="216"/>
        <v>9.9999999999999652E-6</v>
      </c>
      <c r="CJ139" s="3">
        <f t="shared" si="217"/>
        <v>0</v>
      </c>
      <c r="CK139" s="3">
        <f t="shared" ref="CK139:CK170" si="328">(ibias5/1000000)/$P139</f>
        <v>4.5000000000000001E-6</v>
      </c>
      <c r="CL139" s="214">
        <f t="shared" ref="CL139:CL170" si="329">((resdrift/1000000)*ABS(Desiredtemp-25))+CE139</f>
        <v>1.35E-2</v>
      </c>
      <c r="CM139" s="50">
        <f t="shared" si="218"/>
        <v>1.3664861241520164E-2</v>
      </c>
    </row>
    <row r="140" spans="16:91">
      <c r="P140" s="116">
        <f t="shared" si="219"/>
        <v>25</v>
      </c>
      <c r="Q140" s="135">
        <f t="shared" si="275"/>
        <v>0.125</v>
      </c>
      <c r="R140" s="49">
        <f t="shared" si="276"/>
        <v>4.0000000000000001E-3</v>
      </c>
      <c r="S140" s="3">
        <f t="shared" si="277"/>
        <v>8.0000000000000002E-3</v>
      </c>
      <c r="T140" s="49">
        <f t="shared" si="278"/>
        <v>3.199999999999989E-5</v>
      </c>
      <c r="U140" s="49">
        <f t="shared" si="279"/>
        <v>0</v>
      </c>
      <c r="V140" s="49">
        <f t="shared" si="280"/>
        <v>3.2000000000000003E-6</v>
      </c>
      <c r="W140" s="3">
        <f t="shared" si="281"/>
        <v>0.01</v>
      </c>
      <c r="X140" s="50">
        <f t="shared" ref="X140:X183" si="330">SQRT((V140^2)+(R140+T140+U140)^2+(S140)^2+(W140)^2)</f>
        <v>1.3425983548328965E-2</v>
      </c>
      <c r="Y140" s="3">
        <f t="shared" si="282"/>
        <v>4.28E-3</v>
      </c>
      <c r="Z140" s="3">
        <f t="shared" si="283"/>
        <v>8.6999999999999994E-3</v>
      </c>
      <c r="AA140" s="3">
        <f t="shared" ref="AA140:AA183" si="331">T140</f>
        <v>3.199999999999989E-5</v>
      </c>
      <c r="AB140" s="3">
        <f t="shared" ref="AB140:AB183" si="332">U140</f>
        <v>0</v>
      </c>
      <c r="AC140" s="3">
        <f t="shared" si="284"/>
        <v>3.2000000000000003E-6</v>
      </c>
      <c r="AD140" s="214">
        <f t="shared" si="285"/>
        <v>1.35E-2</v>
      </c>
      <c r="AE140" s="136">
        <f t="shared" ref="AE140:AE183" si="333">SQRT(((Y140+AA140+AB140)^2+(Z140)^2+(AC140)^2+(AD140)^2))</f>
        <v>1.6629292054684709E-2</v>
      </c>
      <c r="AF140" s="16">
        <f t="shared" si="286"/>
        <v>0.125</v>
      </c>
      <c r="AG140" s="49">
        <f t="shared" si="287"/>
        <v>6.3999999999999997E-5</v>
      </c>
      <c r="AH140" s="3">
        <f t="shared" si="288"/>
        <v>1.4999999999999999E-4</v>
      </c>
      <c r="AI140" s="49">
        <f t="shared" si="289"/>
        <v>4.009497869018163E-7</v>
      </c>
      <c r="AJ140" s="49">
        <f t="shared" si="290"/>
        <v>9.107359661284905E-6</v>
      </c>
      <c r="AK140" s="49">
        <f t="shared" si="291"/>
        <v>1.8000000000000001E-6</v>
      </c>
      <c r="AL140" s="3">
        <f t="shared" si="292"/>
        <v>0.01</v>
      </c>
      <c r="AM140" s="50">
        <f t="shared" ref="AM140:AM183" si="334">SQRT((AK140^2)+(AG140+AI140+AJ140)^2+(AH140)^2+(AL140)^2)</f>
        <v>1.0001395238243409E-2</v>
      </c>
      <c r="AN140" s="3">
        <f t="shared" si="293"/>
        <v>9.2E-5</v>
      </c>
      <c r="AO140" s="3">
        <f t="shared" si="294"/>
        <v>2.1999999999999998E-4</v>
      </c>
      <c r="AP140" s="3">
        <f t="shared" ref="AP140:AP183" si="335">AI140</f>
        <v>4.009497869018163E-7</v>
      </c>
      <c r="AQ140" s="3">
        <f t="shared" ref="AQ140:AQ183" si="336">AJ140</f>
        <v>9.107359661284905E-6</v>
      </c>
      <c r="AR140" s="3">
        <f t="shared" si="295"/>
        <v>1.8000000000000001E-6</v>
      </c>
      <c r="AS140" s="214">
        <f t="shared" si="296"/>
        <v>1.35E-2</v>
      </c>
      <c r="AT140" s="50">
        <f t="shared" ref="AT140:AT183" si="337">SQRT(((AN140+AP140+AQ140)^2+(AO140)^2+(AR140)^2+(AS140)^2))</f>
        <v>1.3502174164810903E-2</v>
      </c>
      <c r="AU140" s="16">
        <f t="shared" si="297"/>
        <v>0.125</v>
      </c>
      <c r="AV140" s="49">
        <f t="shared" si="298"/>
        <v>1.1999999999999999E-3</v>
      </c>
      <c r="AW140" s="3">
        <f t="shared" si="299"/>
        <v>8.0000000000000002E-3</v>
      </c>
      <c r="AX140" s="49">
        <f t="shared" si="300"/>
        <v>3.199999999999989E-5</v>
      </c>
      <c r="AY140" s="49">
        <f t="shared" si="301"/>
        <v>6.0571905070098513E-3</v>
      </c>
      <c r="AZ140" s="49">
        <f t="shared" si="302"/>
        <v>3.2000000000000003E-6</v>
      </c>
      <c r="BA140" s="3">
        <f t="shared" si="303"/>
        <v>0.01</v>
      </c>
      <c r="BB140" s="50">
        <f t="shared" ref="BB140:BB183" si="338">SQRT((AZ140^2)+(AV140+AX140+AY140)^2+(AW140)^2+(BA140)^2)</f>
        <v>1.4735410021016807E-2</v>
      </c>
      <c r="BC140" s="3">
        <f t="shared" si="304"/>
        <v>1.48E-3</v>
      </c>
      <c r="BD140" s="3">
        <f t="shared" si="305"/>
        <v>8.6999999999999994E-3</v>
      </c>
      <c r="BE140" s="3">
        <f t="shared" ref="BE140:BE183" si="339">AX140</f>
        <v>3.199999999999989E-5</v>
      </c>
      <c r="BF140" s="3">
        <f t="shared" ref="BF140:BF183" si="340">AY140</f>
        <v>6.0571905070098513E-3</v>
      </c>
      <c r="BG140" s="3">
        <f t="shared" si="306"/>
        <v>3.2000000000000003E-6</v>
      </c>
      <c r="BH140" s="214">
        <f t="shared" si="307"/>
        <v>1.35E-2</v>
      </c>
      <c r="BI140" s="50">
        <f t="shared" ref="BI140:BI183" si="341">SQRT(((BC140+BE140+BF140)^2+(BD140)^2+(BG140)^2+(BH140)^2))</f>
        <v>1.7754792456444204E-2</v>
      </c>
      <c r="BJ140" s="16">
        <f t="shared" si="308"/>
        <v>0.125</v>
      </c>
      <c r="BK140" s="49">
        <f t="shared" si="309"/>
        <v>1.1999999999999999E-3</v>
      </c>
      <c r="BL140" s="3">
        <f t="shared" si="310"/>
        <v>1E-3</v>
      </c>
      <c r="BM140" s="49">
        <f t="shared" si="311"/>
        <v>7.9999999999999725E-6</v>
      </c>
      <c r="BN140" s="49">
        <f t="shared" si="312"/>
        <v>2.8800000000000001E-4</v>
      </c>
      <c r="BO140" s="49">
        <f t="shared" si="313"/>
        <v>1.8000000000000001E-6</v>
      </c>
      <c r="BP140" s="3">
        <f t="shared" si="314"/>
        <v>0.01</v>
      </c>
      <c r="BQ140" s="50">
        <f t="shared" ref="BQ140:BQ183" si="342">SQRT((BO140^2)+(BK140+BM140+BN140)^2+(BL140)^2+(BP140)^2)</f>
        <v>1.0160611164688865E-2</v>
      </c>
      <c r="BR140" s="3">
        <f t="shared" si="315"/>
        <v>1.3399999999999998E-3</v>
      </c>
      <c r="BS140" s="3">
        <f t="shared" si="316"/>
        <v>1.175E-3</v>
      </c>
      <c r="BT140" s="3">
        <f t="shared" ref="BT140:BT183" si="343">BM140</f>
        <v>7.9999999999999725E-6</v>
      </c>
      <c r="BU140" s="3">
        <f t="shared" ref="BU140:BU183" si="344">BN140</f>
        <v>2.8800000000000001E-4</v>
      </c>
      <c r="BV140" s="3">
        <f t="shared" si="317"/>
        <v>1.8000000000000001E-6</v>
      </c>
      <c r="BW140" s="214">
        <f t="shared" si="318"/>
        <v>1.35E-2</v>
      </c>
      <c r="BX140" s="50">
        <f t="shared" ref="BX140:BX183" si="345">SQRT(((BR140+BT140+BU140)^2+(BS140)^2+(BV140)^2+(BW140)^2))</f>
        <v>1.3649436773728065E-2</v>
      </c>
      <c r="BY140" s="16">
        <f t="shared" si="319"/>
        <v>0.125</v>
      </c>
      <c r="BZ140" s="49">
        <f t="shared" si="320"/>
        <v>1.9999999999999998E-4</v>
      </c>
      <c r="CA140" s="3">
        <f t="shared" si="321"/>
        <v>2E-3</v>
      </c>
      <c r="CB140" s="49">
        <f t="shared" si="322"/>
        <v>7.9999999999999725E-6</v>
      </c>
      <c r="CC140" s="49">
        <f t="shared" si="323"/>
        <v>0</v>
      </c>
      <c r="CD140" s="49">
        <f t="shared" si="324"/>
        <v>3.6000000000000003E-6</v>
      </c>
      <c r="CE140" s="3">
        <f t="shared" si="325"/>
        <v>0.01</v>
      </c>
      <c r="CF140" s="50">
        <f t="shared" ref="CF140:CF183" si="346">SQRT((CD140^2)+(BZ140+CB140+CC140)^2+(CA140)^2+(CE140)^2)</f>
        <v>1.0200160634029251E-2</v>
      </c>
      <c r="CG140" s="3">
        <f t="shared" si="326"/>
        <v>2.6999999999999995E-4</v>
      </c>
      <c r="CH140" s="3">
        <f t="shared" si="327"/>
        <v>2.0874999999999999E-3</v>
      </c>
      <c r="CI140" s="3">
        <f t="shared" ref="CI140:CI183" si="347">CB140</f>
        <v>7.9999999999999725E-6</v>
      </c>
      <c r="CJ140" s="3">
        <f t="shared" ref="CJ140:CJ183" si="348">CC140</f>
        <v>0</v>
      </c>
      <c r="CK140" s="3">
        <f t="shared" si="328"/>
        <v>3.6000000000000003E-6</v>
      </c>
      <c r="CL140" s="214">
        <f t="shared" si="329"/>
        <v>1.35E-2</v>
      </c>
      <c r="CM140" s="50">
        <f t="shared" ref="CM140:CM183" si="349">SQRT(((CG140+CI140+CJ140)^2+(CH140)^2+(CK140)^2+(CL140)^2))</f>
        <v>1.3663270223851973E-2</v>
      </c>
    </row>
    <row r="141" spans="16:91">
      <c r="P141" s="116">
        <f t="shared" si="219"/>
        <v>30</v>
      </c>
      <c r="Q141" s="135">
        <f t="shared" si="275"/>
        <v>0.15</v>
      </c>
      <c r="R141" s="49">
        <f t="shared" si="276"/>
        <v>3.3333333333333335E-3</v>
      </c>
      <c r="S141" s="3">
        <f t="shared" si="277"/>
        <v>8.0000000000000002E-3</v>
      </c>
      <c r="T141" s="49">
        <f t="shared" si="278"/>
        <v>2.6666666666666575E-5</v>
      </c>
      <c r="U141" s="49">
        <f t="shared" si="279"/>
        <v>0</v>
      </c>
      <c r="V141" s="49">
        <f t="shared" si="280"/>
        <v>2.6666666666666668E-6</v>
      </c>
      <c r="W141" s="3">
        <f t="shared" si="281"/>
        <v>0.01</v>
      </c>
      <c r="X141" s="50">
        <f t="shared" si="330"/>
        <v>1.3239698150302036E-2</v>
      </c>
      <c r="Y141" s="3">
        <f t="shared" si="282"/>
        <v>3.5666666666666668E-3</v>
      </c>
      <c r="Z141" s="3">
        <f t="shared" si="283"/>
        <v>8.6999999999999994E-3</v>
      </c>
      <c r="AA141" s="3">
        <f t="shared" si="331"/>
        <v>2.6666666666666575E-5</v>
      </c>
      <c r="AB141" s="3">
        <f t="shared" si="332"/>
        <v>0</v>
      </c>
      <c r="AC141" s="3">
        <f t="shared" si="284"/>
        <v>2.6666666666666668E-6</v>
      </c>
      <c r="AD141" s="214">
        <f t="shared" si="285"/>
        <v>1.35E-2</v>
      </c>
      <c r="AE141" s="136">
        <f t="shared" si="333"/>
        <v>1.64575834056995E-2</v>
      </c>
      <c r="AF141" s="16">
        <f t="shared" si="286"/>
        <v>0.15</v>
      </c>
      <c r="AG141" s="49">
        <f t="shared" si="287"/>
        <v>5.3333333333333333E-5</v>
      </c>
      <c r="AH141" s="3">
        <f t="shared" si="288"/>
        <v>1.4999999999999999E-4</v>
      </c>
      <c r="AI141" s="49">
        <f t="shared" si="289"/>
        <v>3.3412482241818027E-7</v>
      </c>
      <c r="AJ141" s="49">
        <f t="shared" si="290"/>
        <v>7.589466384404088E-6</v>
      </c>
      <c r="AK141" s="49">
        <f t="shared" si="291"/>
        <v>1.5E-6</v>
      </c>
      <c r="AL141" s="3">
        <f t="shared" si="292"/>
        <v>0.01</v>
      </c>
      <c r="AM141" s="50">
        <f t="shared" si="334"/>
        <v>1.0001312646888113E-2</v>
      </c>
      <c r="AN141" s="3">
        <f t="shared" si="293"/>
        <v>7.6666666666666669E-5</v>
      </c>
      <c r="AO141" s="3">
        <f t="shared" si="294"/>
        <v>2.1999999999999998E-4</v>
      </c>
      <c r="AP141" s="3">
        <f t="shared" si="335"/>
        <v>3.3412482241818027E-7</v>
      </c>
      <c r="AQ141" s="3">
        <f t="shared" si="336"/>
        <v>7.589466384404088E-6</v>
      </c>
      <c r="AR141" s="3">
        <f t="shared" si="295"/>
        <v>1.5E-6</v>
      </c>
      <c r="AS141" s="214">
        <f t="shared" si="296"/>
        <v>1.35E-2</v>
      </c>
      <c r="AT141" s="50">
        <f t="shared" si="337"/>
        <v>1.3502057538083857E-2</v>
      </c>
      <c r="AU141" s="16">
        <f t="shared" si="297"/>
        <v>0.15</v>
      </c>
      <c r="AV141" s="49">
        <f t="shared" si="298"/>
        <v>1E-3</v>
      </c>
      <c r="AW141" s="3">
        <f t="shared" si="299"/>
        <v>8.0000000000000002E-3</v>
      </c>
      <c r="AX141" s="49">
        <f t="shared" si="300"/>
        <v>2.6666666666666575E-5</v>
      </c>
      <c r="AY141" s="49">
        <f t="shared" si="301"/>
        <v>5.047658755841543E-3</v>
      </c>
      <c r="AZ141" s="49">
        <f t="shared" si="302"/>
        <v>2.6666666666666668E-6</v>
      </c>
      <c r="BA141" s="3">
        <f t="shared" si="303"/>
        <v>0.01</v>
      </c>
      <c r="BB141" s="50">
        <f t="shared" si="338"/>
        <v>1.4173829279684465E-2</v>
      </c>
      <c r="BC141" s="3">
        <f t="shared" si="304"/>
        <v>1.2333333333333332E-3</v>
      </c>
      <c r="BD141" s="3">
        <f t="shared" si="305"/>
        <v>8.6999999999999994E-3</v>
      </c>
      <c r="BE141" s="3">
        <f t="shared" si="339"/>
        <v>2.6666666666666575E-5</v>
      </c>
      <c r="BF141" s="3">
        <f t="shared" si="340"/>
        <v>5.047658755841543E-3</v>
      </c>
      <c r="BG141" s="3">
        <f t="shared" si="306"/>
        <v>2.6666666666666668E-6</v>
      </c>
      <c r="BH141" s="214">
        <f t="shared" si="307"/>
        <v>1.35E-2</v>
      </c>
      <c r="BI141" s="50">
        <f t="shared" si="341"/>
        <v>1.7254754883546029E-2</v>
      </c>
      <c r="BJ141" s="16">
        <f t="shared" si="308"/>
        <v>0.15</v>
      </c>
      <c r="BK141" s="49">
        <f t="shared" si="309"/>
        <v>1E-3</v>
      </c>
      <c r="BL141" s="3">
        <f t="shared" si="310"/>
        <v>1E-3</v>
      </c>
      <c r="BM141" s="49">
        <f t="shared" si="311"/>
        <v>6.6666666666666438E-6</v>
      </c>
      <c r="BN141" s="49">
        <f t="shared" si="312"/>
        <v>2.4000000000000001E-4</v>
      </c>
      <c r="BO141" s="49">
        <f t="shared" si="313"/>
        <v>1.5E-6</v>
      </c>
      <c r="BP141" s="3">
        <f t="shared" si="314"/>
        <v>0.01</v>
      </c>
      <c r="BQ141" s="50">
        <f t="shared" si="342"/>
        <v>1.0126903773008697E-2</v>
      </c>
      <c r="BR141" s="3">
        <f t="shared" si="315"/>
        <v>1.1166666666666666E-3</v>
      </c>
      <c r="BS141" s="3">
        <f t="shared" si="316"/>
        <v>1.175E-3</v>
      </c>
      <c r="BT141" s="3">
        <f t="shared" si="343"/>
        <v>6.6666666666666438E-6</v>
      </c>
      <c r="BU141" s="3">
        <f t="shared" si="344"/>
        <v>2.4000000000000001E-4</v>
      </c>
      <c r="BV141" s="3">
        <f t="shared" si="317"/>
        <v>1.5E-6</v>
      </c>
      <c r="BW141" s="214">
        <f t="shared" si="318"/>
        <v>1.35E-2</v>
      </c>
      <c r="BX141" s="50">
        <f t="shared" si="345"/>
        <v>1.3619445841434877E-2</v>
      </c>
      <c r="BY141" s="16">
        <f t="shared" si="319"/>
        <v>0.15</v>
      </c>
      <c r="BZ141" s="49">
        <f t="shared" si="320"/>
        <v>1.6666666666666666E-4</v>
      </c>
      <c r="CA141" s="3">
        <f t="shared" si="321"/>
        <v>2E-3</v>
      </c>
      <c r="CB141" s="49">
        <f t="shared" si="322"/>
        <v>6.6666666666666438E-6</v>
      </c>
      <c r="CC141" s="49">
        <f t="shared" si="323"/>
        <v>0</v>
      </c>
      <c r="CD141" s="49">
        <f t="shared" si="324"/>
        <v>3.0000000000000001E-6</v>
      </c>
      <c r="CE141" s="3">
        <f t="shared" si="325"/>
        <v>0.01</v>
      </c>
      <c r="CF141" s="50">
        <f t="shared" si="346"/>
        <v>1.0199512412093258E-2</v>
      </c>
      <c r="CG141" s="3">
        <f t="shared" si="326"/>
        <v>2.2499999999999999E-4</v>
      </c>
      <c r="CH141" s="3">
        <f t="shared" si="327"/>
        <v>2.0874999999999999E-3</v>
      </c>
      <c r="CI141" s="3">
        <f t="shared" si="347"/>
        <v>6.6666666666666438E-6</v>
      </c>
      <c r="CJ141" s="3">
        <f t="shared" si="348"/>
        <v>0</v>
      </c>
      <c r="CK141" s="3">
        <f t="shared" si="328"/>
        <v>3.0000000000000001E-6</v>
      </c>
      <c r="CL141" s="214">
        <f t="shared" si="329"/>
        <v>1.35E-2</v>
      </c>
      <c r="CM141" s="50">
        <f t="shared" si="349"/>
        <v>1.3662405889682989E-2</v>
      </c>
    </row>
    <row r="142" spans="16:91">
      <c r="P142" s="116">
        <f t="shared" si="219"/>
        <v>35</v>
      </c>
      <c r="Q142" s="135">
        <f t="shared" si="275"/>
        <v>0.17499999999999999</v>
      </c>
      <c r="R142" s="49">
        <f t="shared" si="276"/>
        <v>2.8571428571428576E-3</v>
      </c>
      <c r="S142" s="3">
        <f t="shared" si="277"/>
        <v>8.0000000000000002E-3</v>
      </c>
      <c r="T142" s="49">
        <f t="shared" si="278"/>
        <v>2.285714285714278E-5</v>
      </c>
      <c r="U142" s="49">
        <f t="shared" si="279"/>
        <v>0</v>
      </c>
      <c r="V142" s="49">
        <f t="shared" si="280"/>
        <v>2.285714285714286E-6</v>
      </c>
      <c r="W142" s="3">
        <f t="shared" si="281"/>
        <v>0.01</v>
      </c>
      <c r="X142" s="50">
        <f t="shared" si="330"/>
        <v>1.3126096343715057E-2</v>
      </c>
      <c r="Y142" s="3">
        <f t="shared" si="282"/>
        <v>3.0571428571428577E-3</v>
      </c>
      <c r="Z142" s="3">
        <f t="shared" si="283"/>
        <v>8.6999999999999994E-3</v>
      </c>
      <c r="AA142" s="3">
        <f t="shared" si="331"/>
        <v>2.285714285714278E-5</v>
      </c>
      <c r="AB142" s="3">
        <f t="shared" si="332"/>
        <v>0</v>
      </c>
      <c r="AC142" s="3">
        <f t="shared" si="284"/>
        <v>2.285714285714286E-6</v>
      </c>
      <c r="AD142" s="214">
        <f t="shared" si="285"/>
        <v>1.35E-2</v>
      </c>
      <c r="AE142" s="136">
        <f t="shared" si="333"/>
        <v>1.6353177221093453E-2</v>
      </c>
      <c r="AF142" s="16">
        <f t="shared" si="286"/>
        <v>0.17499999999999999</v>
      </c>
      <c r="AG142" s="49">
        <f t="shared" si="287"/>
        <v>4.5714285714285716E-5</v>
      </c>
      <c r="AH142" s="3">
        <f t="shared" si="288"/>
        <v>1.4999999999999999E-4</v>
      </c>
      <c r="AI142" s="49">
        <f t="shared" si="289"/>
        <v>2.8639270492986883E-7</v>
      </c>
      <c r="AJ142" s="49">
        <f t="shared" si="290"/>
        <v>6.50525690091779E-6</v>
      </c>
      <c r="AK142" s="49">
        <f t="shared" si="291"/>
        <v>1.2857142857142858E-6</v>
      </c>
      <c r="AL142" s="3">
        <f t="shared" si="292"/>
        <v>0.01</v>
      </c>
      <c r="AM142" s="50">
        <f t="shared" si="334"/>
        <v>1.0001262846576179E-2</v>
      </c>
      <c r="AN142" s="3">
        <f t="shared" si="293"/>
        <v>6.5714285714285714E-5</v>
      </c>
      <c r="AO142" s="3">
        <f t="shared" si="294"/>
        <v>2.1999999999999998E-4</v>
      </c>
      <c r="AP142" s="3">
        <f t="shared" si="335"/>
        <v>2.8639270492986883E-7</v>
      </c>
      <c r="AQ142" s="3">
        <f t="shared" si="336"/>
        <v>6.50525690091779E-6</v>
      </c>
      <c r="AR142" s="3">
        <f t="shared" si="295"/>
        <v>1.2857142857142858E-6</v>
      </c>
      <c r="AS142" s="214">
        <f t="shared" si="296"/>
        <v>1.35E-2</v>
      </c>
      <c r="AT142" s="50">
        <f t="shared" si="337"/>
        <v>1.3501987215358998E-2</v>
      </c>
      <c r="AU142" s="16">
        <f t="shared" si="297"/>
        <v>0.17499999999999999</v>
      </c>
      <c r="AV142" s="49">
        <f t="shared" si="298"/>
        <v>8.571428571428571E-4</v>
      </c>
      <c r="AW142" s="3">
        <f t="shared" si="299"/>
        <v>8.0000000000000002E-3</v>
      </c>
      <c r="AX142" s="49">
        <f t="shared" si="300"/>
        <v>2.285714285714278E-5</v>
      </c>
      <c r="AY142" s="49">
        <f t="shared" si="301"/>
        <v>4.3265646478641796E-3</v>
      </c>
      <c r="AZ142" s="49">
        <f t="shared" si="302"/>
        <v>2.285714285714286E-6</v>
      </c>
      <c r="BA142" s="3">
        <f t="shared" si="303"/>
        <v>0.01</v>
      </c>
      <c r="BB142" s="50">
        <f t="shared" si="338"/>
        <v>1.3824193309444094E-2</v>
      </c>
      <c r="BC142" s="3">
        <f t="shared" si="304"/>
        <v>1.0571428571428572E-3</v>
      </c>
      <c r="BD142" s="3">
        <f t="shared" si="305"/>
        <v>8.6999999999999994E-3</v>
      </c>
      <c r="BE142" s="3">
        <f t="shared" si="339"/>
        <v>2.285714285714278E-5</v>
      </c>
      <c r="BF142" s="3">
        <f t="shared" si="340"/>
        <v>4.3265646478641796E-3</v>
      </c>
      <c r="BG142" s="3">
        <f t="shared" si="306"/>
        <v>2.285714285714286E-6</v>
      </c>
      <c r="BH142" s="214">
        <f t="shared" si="307"/>
        <v>1.35E-2</v>
      </c>
      <c r="BI142" s="50">
        <f t="shared" si="341"/>
        <v>1.6946118921925001E-2</v>
      </c>
      <c r="BJ142" s="16">
        <f t="shared" si="308"/>
        <v>0.17499999999999999</v>
      </c>
      <c r="BK142" s="49">
        <f t="shared" si="309"/>
        <v>8.571428571428571E-4</v>
      </c>
      <c r="BL142" s="3">
        <f t="shared" si="310"/>
        <v>1E-3</v>
      </c>
      <c r="BM142" s="49">
        <f t="shared" si="311"/>
        <v>5.714285714285695E-6</v>
      </c>
      <c r="BN142" s="49">
        <f t="shared" si="312"/>
        <v>2.0571428571428574E-4</v>
      </c>
      <c r="BO142" s="49">
        <f t="shared" si="313"/>
        <v>1.2857142857142858E-6</v>
      </c>
      <c r="BP142" s="3">
        <f t="shared" si="314"/>
        <v>0.01</v>
      </c>
      <c r="BQ142" s="50">
        <f t="shared" si="342"/>
        <v>1.0106524949309749E-2</v>
      </c>
      <c r="BR142" s="3">
        <f t="shared" si="315"/>
        <v>9.5714285714285714E-4</v>
      </c>
      <c r="BS142" s="3">
        <f t="shared" si="316"/>
        <v>1.175E-3</v>
      </c>
      <c r="BT142" s="3">
        <f t="shared" si="343"/>
        <v>5.714285714285695E-6</v>
      </c>
      <c r="BU142" s="3">
        <f t="shared" si="344"/>
        <v>2.0571428571428574E-4</v>
      </c>
      <c r="BV142" s="3">
        <f t="shared" si="317"/>
        <v>1.2857142857142858E-6</v>
      </c>
      <c r="BW142" s="214">
        <f t="shared" si="318"/>
        <v>1.35E-2</v>
      </c>
      <c r="BX142" s="50">
        <f t="shared" si="345"/>
        <v>1.3601330296582562E-2</v>
      </c>
      <c r="BY142" s="16">
        <f t="shared" si="319"/>
        <v>0.17499999999999999</v>
      </c>
      <c r="BZ142" s="49">
        <f t="shared" si="320"/>
        <v>1.4285714285714284E-4</v>
      </c>
      <c r="CA142" s="3">
        <f t="shared" si="321"/>
        <v>2E-3</v>
      </c>
      <c r="CB142" s="49">
        <f t="shared" si="322"/>
        <v>5.714285714285695E-6</v>
      </c>
      <c r="CC142" s="49">
        <f t="shared" si="323"/>
        <v>0</v>
      </c>
      <c r="CD142" s="49">
        <f t="shared" si="324"/>
        <v>2.5714285714285716E-6</v>
      </c>
      <c r="CE142" s="3">
        <f t="shared" si="325"/>
        <v>0.01</v>
      </c>
      <c r="CF142" s="50">
        <f t="shared" si="346"/>
        <v>1.0199121534800565E-2</v>
      </c>
      <c r="CG142" s="3">
        <f t="shared" si="326"/>
        <v>1.9285714285714284E-4</v>
      </c>
      <c r="CH142" s="3">
        <f t="shared" si="327"/>
        <v>2.0874999999999999E-3</v>
      </c>
      <c r="CI142" s="3">
        <f t="shared" si="347"/>
        <v>5.714285714285695E-6</v>
      </c>
      <c r="CJ142" s="3">
        <f t="shared" si="348"/>
        <v>0</v>
      </c>
      <c r="CK142" s="3">
        <f t="shared" si="328"/>
        <v>2.5714285714285716E-6</v>
      </c>
      <c r="CL142" s="214">
        <f t="shared" si="329"/>
        <v>1.35E-2</v>
      </c>
      <c r="CM142" s="50">
        <f t="shared" si="349"/>
        <v>1.366188469701343E-2</v>
      </c>
    </row>
    <row r="143" spans="16:91">
      <c r="P143" s="116">
        <f t="shared" si="219"/>
        <v>40</v>
      </c>
      <c r="Q143" s="135">
        <f t="shared" si="275"/>
        <v>0.2</v>
      </c>
      <c r="R143" s="49">
        <f t="shared" si="276"/>
        <v>2.5000000000000001E-3</v>
      </c>
      <c r="S143" s="3">
        <f t="shared" si="277"/>
        <v>8.0000000000000002E-3</v>
      </c>
      <c r="T143" s="49">
        <f t="shared" si="278"/>
        <v>1.999999999999993E-5</v>
      </c>
      <c r="U143" s="49">
        <f t="shared" si="279"/>
        <v>0</v>
      </c>
      <c r="V143" s="49">
        <f t="shared" si="280"/>
        <v>2.0000000000000003E-6</v>
      </c>
      <c r="W143" s="3">
        <f t="shared" si="281"/>
        <v>0.01</v>
      </c>
      <c r="X143" s="50">
        <f t="shared" si="330"/>
        <v>1.3051835273247974E-2</v>
      </c>
      <c r="Y143" s="3">
        <f t="shared" si="282"/>
        <v>2.6749999999999999E-3</v>
      </c>
      <c r="Z143" s="3">
        <f t="shared" si="283"/>
        <v>8.6999999999999994E-3</v>
      </c>
      <c r="AA143" s="3">
        <f t="shared" si="331"/>
        <v>1.999999999999993E-5</v>
      </c>
      <c r="AB143" s="3">
        <f t="shared" si="332"/>
        <v>0</v>
      </c>
      <c r="AC143" s="3">
        <f t="shared" si="284"/>
        <v>2.0000000000000003E-6</v>
      </c>
      <c r="AD143" s="214">
        <f t="shared" si="285"/>
        <v>1.35E-2</v>
      </c>
      <c r="AE143" s="136">
        <f t="shared" si="333"/>
        <v>1.6285055388300034E-2</v>
      </c>
      <c r="AF143" s="16">
        <f t="shared" si="286"/>
        <v>0.2</v>
      </c>
      <c r="AG143" s="49">
        <f t="shared" si="287"/>
        <v>3.9999999999999996E-5</v>
      </c>
      <c r="AH143" s="3">
        <f t="shared" si="288"/>
        <v>1.4999999999999999E-4</v>
      </c>
      <c r="AI143" s="49">
        <f t="shared" si="289"/>
        <v>2.5059361681363519E-7</v>
      </c>
      <c r="AJ143" s="49">
        <f t="shared" si="290"/>
        <v>5.6920997883030656E-6</v>
      </c>
      <c r="AK143" s="49">
        <f t="shared" si="291"/>
        <v>1.125E-6</v>
      </c>
      <c r="AL143" s="3">
        <f t="shared" si="292"/>
        <v>0.01</v>
      </c>
      <c r="AM143" s="50">
        <f t="shared" si="334"/>
        <v>1.0001230524125635E-2</v>
      </c>
      <c r="AN143" s="3">
        <f t="shared" si="293"/>
        <v>5.7499999999999995E-5</v>
      </c>
      <c r="AO143" s="3">
        <f t="shared" si="294"/>
        <v>2.1999999999999998E-4</v>
      </c>
      <c r="AP143" s="3">
        <f t="shared" si="335"/>
        <v>2.5059361681363519E-7</v>
      </c>
      <c r="AQ143" s="3">
        <f t="shared" si="336"/>
        <v>5.6920997883030656E-6</v>
      </c>
      <c r="AR143" s="3">
        <f t="shared" si="295"/>
        <v>1.125E-6</v>
      </c>
      <c r="AS143" s="214">
        <f t="shared" si="296"/>
        <v>1.35E-2</v>
      </c>
      <c r="AT143" s="50">
        <f t="shared" si="337"/>
        <v>1.3501941573009843E-2</v>
      </c>
      <c r="AU143" s="16">
        <f t="shared" si="297"/>
        <v>0.2</v>
      </c>
      <c r="AV143" s="49">
        <f t="shared" si="298"/>
        <v>7.4999999999999991E-4</v>
      </c>
      <c r="AW143" s="3">
        <f t="shared" si="299"/>
        <v>8.0000000000000002E-3</v>
      </c>
      <c r="AX143" s="49">
        <f t="shared" si="300"/>
        <v>1.999999999999993E-5</v>
      </c>
      <c r="AY143" s="49">
        <f t="shared" si="301"/>
        <v>3.785744066881157E-3</v>
      </c>
      <c r="AZ143" s="49">
        <f t="shared" si="302"/>
        <v>2.0000000000000003E-6</v>
      </c>
      <c r="BA143" s="3">
        <f t="shared" si="303"/>
        <v>0.01</v>
      </c>
      <c r="BB143" s="50">
        <f t="shared" si="338"/>
        <v>1.3592454083164044E-2</v>
      </c>
      <c r="BC143" s="3">
        <f t="shared" si="304"/>
        <v>9.2499999999999982E-4</v>
      </c>
      <c r="BD143" s="3">
        <f t="shared" si="305"/>
        <v>8.6999999999999994E-3</v>
      </c>
      <c r="BE143" s="3">
        <f t="shared" si="339"/>
        <v>1.999999999999993E-5</v>
      </c>
      <c r="BF143" s="3">
        <f t="shared" si="340"/>
        <v>3.785744066881157E-3</v>
      </c>
      <c r="BG143" s="3">
        <f t="shared" si="306"/>
        <v>2.0000000000000003E-6</v>
      </c>
      <c r="BH143" s="214">
        <f t="shared" si="307"/>
        <v>1.35E-2</v>
      </c>
      <c r="BI143" s="50">
        <f t="shared" si="341"/>
        <v>1.6742757939668462E-2</v>
      </c>
      <c r="BJ143" s="16">
        <f t="shared" si="308"/>
        <v>0.2</v>
      </c>
      <c r="BK143" s="49">
        <f t="shared" si="309"/>
        <v>7.4999999999999991E-4</v>
      </c>
      <c r="BL143" s="3">
        <f t="shared" si="310"/>
        <v>1E-3</v>
      </c>
      <c r="BM143" s="49">
        <f t="shared" si="311"/>
        <v>4.9999999999999826E-6</v>
      </c>
      <c r="BN143" s="49">
        <f t="shared" si="312"/>
        <v>1.7999999999999998E-4</v>
      </c>
      <c r="BO143" s="49">
        <f t="shared" si="313"/>
        <v>1.125E-6</v>
      </c>
      <c r="BP143" s="3">
        <f t="shared" si="314"/>
        <v>0.01</v>
      </c>
      <c r="BQ143" s="50">
        <f t="shared" si="342"/>
        <v>1.0093276289967743E-2</v>
      </c>
      <c r="BR143" s="3">
        <f t="shared" si="315"/>
        <v>8.3749999999999992E-4</v>
      </c>
      <c r="BS143" s="3">
        <f t="shared" si="316"/>
        <v>1.175E-3</v>
      </c>
      <c r="BT143" s="3">
        <f t="shared" si="343"/>
        <v>4.9999999999999826E-6</v>
      </c>
      <c r="BU143" s="3">
        <f t="shared" si="344"/>
        <v>1.7999999999999998E-4</v>
      </c>
      <c r="BV143" s="3">
        <f t="shared" si="317"/>
        <v>1.125E-6</v>
      </c>
      <c r="BW143" s="214">
        <f t="shared" si="318"/>
        <v>1.35E-2</v>
      </c>
      <c r="BX143" s="50">
        <f t="shared" si="345"/>
        <v>1.3589559688070286E-2</v>
      </c>
      <c r="BY143" s="16">
        <f t="shared" si="319"/>
        <v>0.2</v>
      </c>
      <c r="BZ143" s="49">
        <f t="shared" si="320"/>
        <v>1.2499999999999998E-4</v>
      </c>
      <c r="CA143" s="3">
        <f t="shared" si="321"/>
        <v>2E-3</v>
      </c>
      <c r="CB143" s="49">
        <f t="shared" si="322"/>
        <v>4.9999999999999826E-6</v>
      </c>
      <c r="CC143" s="49">
        <f t="shared" si="323"/>
        <v>0</v>
      </c>
      <c r="CD143" s="49">
        <f t="shared" si="324"/>
        <v>2.2500000000000001E-6</v>
      </c>
      <c r="CE143" s="3">
        <f t="shared" si="325"/>
        <v>0.01</v>
      </c>
      <c r="CF143" s="50">
        <f t="shared" si="346"/>
        <v>1.0198867832387083E-2</v>
      </c>
      <c r="CG143" s="3">
        <f t="shared" si="326"/>
        <v>1.6874999999999995E-4</v>
      </c>
      <c r="CH143" s="3">
        <f t="shared" si="327"/>
        <v>2.0874999999999999E-3</v>
      </c>
      <c r="CI143" s="3">
        <f t="shared" si="347"/>
        <v>4.9999999999999826E-6</v>
      </c>
      <c r="CJ143" s="3">
        <f t="shared" si="348"/>
        <v>0</v>
      </c>
      <c r="CK143" s="3">
        <f t="shared" si="328"/>
        <v>2.2500000000000001E-6</v>
      </c>
      <c r="CL143" s="214">
        <f t="shared" si="329"/>
        <v>1.35E-2</v>
      </c>
      <c r="CM143" s="50">
        <f t="shared" si="349"/>
        <v>1.3661546412284372E-2</v>
      </c>
    </row>
    <row r="144" spans="16:91">
      <c r="P144" s="116">
        <f t="shared" si="219"/>
        <v>45.000000000000007</v>
      </c>
      <c r="Q144" s="135">
        <f t="shared" si="275"/>
        <v>0.22500000000000003</v>
      </c>
      <c r="R144" s="49">
        <f t="shared" si="276"/>
        <v>2.2222222222222218E-3</v>
      </c>
      <c r="S144" s="3">
        <f t="shared" si="277"/>
        <v>8.0000000000000002E-3</v>
      </c>
      <c r="T144" s="49">
        <f t="shared" si="278"/>
        <v>1.7777777777777716E-5</v>
      </c>
      <c r="U144" s="49">
        <f t="shared" si="279"/>
        <v>0</v>
      </c>
      <c r="V144" s="49">
        <f t="shared" si="280"/>
        <v>1.7777777777777777E-6</v>
      </c>
      <c r="W144" s="3">
        <f t="shared" si="281"/>
        <v>0.01</v>
      </c>
      <c r="X144" s="50">
        <f t="shared" si="330"/>
        <v>1.3000677027004932E-2</v>
      </c>
      <c r="Y144" s="3">
        <f t="shared" si="282"/>
        <v>2.3777777777777773E-3</v>
      </c>
      <c r="Z144" s="3">
        <f t="shared" si="283"/>
        <v>8.6999999999999994E-3</v>
      </c>
      <c r="AA144" s="3">
        <f t="shared" si="331"/>
        <v>1.7777777777777716E-5</v>
      </c>
      <c r="AB144" s="3">
        <f t="shared" si="332"/>
        <v>0</v>
      </c>
      <c r="AC144" s="3">
        <f t="shared" si="284"/>
        <v>1.7777777777777777E-6</v>
      </c>
      <c r="AD144" s="214">
        <f t="shared" si="285"/>
        <v>1.35E-2</v>
      </c>
      <c r="AE144" s="136">
        <f t="shared" si="333"/>
        <v>1.6238186154255249E-2</v>
      </c>
      <c r="AF144" s="16">
        <f t="shared" si="286"/>
        <v>0.22500000000000003</v>
      </c>
      <c r="AG144" s="49">
        <f t="shared" si="287"/>
        <v>3.5555555555555546E-5</v>
      </c>
      <c r="AH144" s="3">
        <f t="shared" si="288"/>
        <v>1.4999999999999999E-4</v>
      </c>
      <c r="AI144" s="49">
        <f t="shared" si="289"/>
        <v>2.2274988161212014E-7</v>
      </c>
      <c r="AJ144" s="49">
        <f t="shared" si="290"/>
        <v>5.0596442562693906E-6</v>
      </c>
      <c r="AK144" s="49">
        <f t="shared" si="291"/>
        <v>9.9999999999999995E-7</v>
      </c>
      <c r="AL144" s="3">
        <f t="shared" si="292"/>
        <v>0.01</v>
      </c>
      <c r="AM144" s="50">
        <f t="shared" si="334"/>
        <v>1.0001208363899592E-2</v>
      </c>
      <c r="AN144" s="3">
        <f t="shared" si="293"/>
        <v>5.1111111111111095E-5</v>
      </c>
      <c r="AO144" s="3">
        <f t="shared" si="294"/>
        <v>2.1999999999999998E-4</v>
      </c>
      <c r="AP144" s="3">
        <f t="shared" si="335"/>
        <v>2.2274988161212014E-7</v>
      </c>
      <c r="AQ144" s="3">
        <f t="shared" si="336"/>
        <v>5.0596442562693906E-6</v>
      </c>
      <c r="AR144" s="3">
        <f t="shared" si="295"/>
        <v>9.9999999999999995E-7</v>
      </c>
      <c r="AS144" s="214">
        <f t="shared" si="296"/>
        <v>1.35E-2</v>
      </c>
      <c r="AT144" s="50">
        <f t="shared" si="337"/>
        <v>1.350191028067637E-2</v>
      </c>
      <c r="AU144" s="16">
        <f t="shared" si="297"/>
        <v>0.22500000000000003</v>
      </c>
      <c r="AV144" s="49">
        <f t="shared" si="298"/>
        <v>6.6666666666666654E-4</v>
      </c>
      <c r="AW144" s="3">
        <f t="shared" si="299"/>
        <v>8.0000000000000002E-3</v>
      </c>
      <c r="AX144" s="49">
        <f t="shared" si="300"/>
        <v>1.7777777777777716E-5</v>
      </c>
      <c r="AY144" s="49">
        <f t="shared" si="301"/>
        <v>3.3651058372276945E-3</v>
      </c>
      <c r="AZ144" s="49">
        <f t="shared" si="302"/>
        <v>1.7777777777777777E-6</v>
      </c>
      <c r="BA144" s="3">
        <f t="shared" si="303"/>
        <v>0.01</v>
      </c>
      <c r="BB144" s="50">
        <f t="shared" si="338"/>
        <v>1.3431264298057898E-2</v>
      </c>
      <c r="BC144" s="3">
        <f t="shared" si="304"/>
        <v>8.2222222222222202E-4</v>
      </c>
      <c r="BD144" s="3">
        <f t="shared" si="305"/>
        <v>8.6999999999999994E-3</v>
      </c>
      <c r="BE144" s="3">
        <f t="shared" si="339"/>
        <v>1.7777777777777716E-5</v>
      </c>
      <c r="BF144" s="3">
        <f t="shared" si="340"/>
        <v>3.3651058372276945E-3</v>
      </c>
      <c r="BG144" s="3">
        <f t="shared" si="306"/>
        <v>1.7777777777777777E-6</v>
      </c>
      <c r="BH144" s="214">
        <f t="shared" si="307"/>
        <v>1.35E-2</v>
      </c>
      <c r="BI144" s="50">
        <f t="shared" si="341"/>
        <v>1.660189502023128E-2</v>
      </c>
      <c r="BJ144" s="16">
        <f t="shared" si="308"/>
        <v>0.22500000000000003</v>
      </c>
      <c r="BK144" s="49">
        <f t="shared" si="309"/>
        <v>6.6666666666666654E-4</v>
      </c>
      <c r="BL144" s="3">
        <f t="shared" si="310"/>
        <v>1E-3</v>
      </c>
      <c r="BM144" s="49">
        <f t="shared" si="311"/>
        <v>4.4444444444444289E-6</v>
      </c>
      <c r="BN144" s="49">
        <f t="shared" si="312"/>
        <v>1.5999999999999999E-4</v>
      </c>
      <c r="BO144" s="49">
        <f t="shared" si="313"/>
        <v>9.9999999999999995E-7</v>
      </c>
      <c r="BP144" s="3">
        <f t="shared" si="314"/>
        <v>0.01</v>
      </c>
      <c r="BQ144" s="50">
        <f t="shared" si="342"/>
        <v>1.0084182995117272E-2</v>
      </c>
      <c r="BR144" s="3">
        <f t="shared" si="315"/>
        <v>7.4444444444444428E-4</v>
      </c>
      <c r="BS144" s="3">
        <f t="shared" si="316"/>
        <v>1.175E-3</v>
      </c>
      <c r="BT144" s="3">
        <f t="shared" si="343"/>
        <v>4.4444444444444289E-6</v>
      </c>
      <c r="BU144" s="3">
        <f t="shared" si="344"/>
        <v>1.5999999999999999E-4</v>
      </c>
      <c r="BV144" s="3">
        <f t="shared" si="317"/>
        <v>9.9999999999999995E-7</v>
      </c>
      <c r="BW144" s="214">
        <f t="shared" si="318"/>
        <v>1.35E-2</v>
      </c>
      <c r="BX144" s="50">
        <f t="shared" si="345"/>
        <v>1.3581483903180303E-2</v>
      </c>
      <c r="BY144" s="16">
        <f t="shared" si="319"/>
        <v>0.22500000000000003</v>
      </c>
      <c r="BZ144" s="49">
        <f t="shared" si="320"/>
        <v>1.1111111111111109E-4</v>
      </c>
      <c r="CA144" s="3">
        <f t="shared" si="321"/>
        <v>2E-3</v>
      </c>
      <c r="CB144" s="49">
        <f t="shared" si="322"/>
        <v>4.4444444444444289E-6</v>
      </c>
      <c r="CC144" s="49">
        <f t="shared" si="323"/>
        <v>0</v>
      </c>
      <c r="CD144" s="49">
        <f t="shared" si="324"/>
        <v>1.9999999999999999E-6</v>
      </c>
      <c r="CE144" s="3">
        <f t="shared" si="325"/>
        <v>0.01</v>
      </c>
      <c r="CF144" s="50">
        <f t="shared" si="346"/>
        <v>1.0198693891200959E-2</v>
      </c>
      <c r="CG144" s="3">
        <f t="shared" si="326"/>
        <v>1.4999999999999996E-4</v>
      </c>
      <c r="CH144" s="3">
        <f t="shared" si="327"/>
        <v>2.0874999999999999E-3</v>
      </c>
      <c r="CI144" s="3">
        <f t="shared" si="347"/>
        <v>4.4444444444444289E-6</v>
      </c>
      <c r="CJ144" s="3">
        <f t="shared" si="348"/>
        <v>0</v>
      </c>
      <c r="CK144" s="3">
        <f t="shared" si="328"/>
        <v>1.9999999999999999E-6</v>
      </c>
      <c r="CL144" s="214">
        <f t="shared" si="329"/>
        <v>1.35E-2</v>
      </c>
      <c r="CM144" s="50">
        <f t="shared" si="349"/>
        <v>1.3661314480547608E-2</v>
      </c>
    </row>
    <row r="145" spans="16:91">
      <c r="P145" s="116">
        <f t="shared" si="219"/>
        <v>50</v>
      </c>
      <c r="Q145" s="135">
        <f t="shared" si="275"/>
        <v>0.25</v>
      </c>
      <c r="R145" s="49">
        <f t="shared" si="276"/>
        <v>2E-3</v>
      </c>
      <c r="S145" s="3">
        <f t="shared" si="277"/>
        <v>8.0000000000000002E-3</v>
      </c>
      <c r="T145" s="49">
        <f t="shared" si="278"/>
        <v>1.5999999999999945E-5</v>
      </c>
      <c r="U145" s="49">
        <f t="shared" si="279"/>
        <v>0</v>
      </c>
      <c r="V145" s="49">
        <f t="shared" si="280"/>
        <v>1.6000000000000001E-6</v>
      </c>
      <c r="W145" s="3">
        <f t="shared" si="281"/>
        <v>0.01</v>
      </c>
      <c r="X145" s="50">
        <f t="shared" si="330"/>
        <v>1.2963959987596384E-2</v>
      </c>
      <c r="Y145" s="3">
        <f t="shared" si="282"/>
        <v>2.14E-3</v>
      </c>
      <c r="Z145" s="3">
        <f t="shared" si="283"/>
        <v>8.6999999999999994E-3</v>
      </c>
      <c r="AA145" s="3">
        <f t="shared" si="331"/>
        <v>1.5999999999999945E-5</v>
      </c>
      <c r="AB145" s="3">
        <f t="shared" si="332"/>
        <v>0</v>
      </c>
      <c r="AC145" s="3">
        <f t="shared" si="284"/>
        <v>1.6000000000000001E-6</v>
      </c>
      <c r="AD145" s="214">
        <f t="shared" si="285"/>
        <v>1.35E-2</v>
      </c>
      <c r="AE145" s="136">
        <f t="shared" si="333"/>
        <v>1.6204577703846527E-2</v>
      </c>
      <c r="AF145" s="16">
        <f t="shared" si="286"/>
        <v>0.25</v>
      </c>
      <c r="AG145" s="49">
        <f t="shared" si="287"/>
        <v>3.1999999999999999E-5</v>
      </c>
      <c r="AH145" s="3">
        <f t="shared" si="288"/>
        <v>1.4999999999999999E-4</v>
      </c>
      <c r="AI145" s="49">
        <f t="shared" si="289"/>
        <v>2.0047489345090815E-7</v>
      </c>
      <c r="AJ145" s="49">
        <f t="shared" si="290"/>
        <v>4.5536798306424525E-6</v>
      </c>
      <c r="AK145" s="49">
        <f t="shared" si="291"/>
        <v>9.0000000000000007E-7</v>
      </c>
      <c r="AL145" s="3">
        <f t="shared" si="292"/>
        <v>0.01</v>
      </c>
      <c r="AM145" s="50">
        <f t="shared" si="334"/>
        <v>1.0001192512790136E-2</v>
      </c>
      <c r="AN145" s="3">
        <f t="shared" si="293"/>
        <v>4.6E-5</v>
      </c>
      <c r="AO145" s="3">
        <f t="shared" si="294"/>
        <v>2.1999999999999998E-4</v>
      </c>
      <c r="AP145" s="3">
        <f t="shared" si="335"/>
        <v>2.0047489345090815E-7</v>
      </c>
      <c r="AQ145" s="3">
        <f t="shared" si="336"/>
        <v>4.5536798306424525E-6</v>
      </c>
      <c r="AR145" s="3">
        <f t="shared" si="295"/>
        <v>9.0000000000000007E-7</v>
      </c>
      <c r="AS145" s="214">
        <f t="shared" si="296"/>
        <v>1.35E-2</v>
      </c>
      <c r="AT145" s="50">
        <f t="shared" si="337"/>
        <v>1.3501887897409819E-2</v>
      </c>
      <c r="AU145" s="16">
        <f t="shared" si="297"/>
        <v>0.25</v>
      </c>
      <c r="AV145" s="49">
        <f t="shared" si="298"/>
        <v>5.9999999999999995E-4</v>
      </c>
      <c r="AW145" s="3">
        <f t="shared" si="299"/>
        <v>8.0000000000000002E-3</v>
      </c>
      <c r="AX145" s="49">
        <f t="shared" si="300"/>
        <v>1.5999999999999945E-5</v>
      </c>
      <c r="AY145" s="49">
        <f t="shared" si="301"/>
        <v>3.0285952535049256E-3</v>
      </c>
      <c r="AZ145" s="49">
        <f t="shared" si="302"/>
        <v>1.6000000000000001E-6</v>
      </c>
      <c r="BA145" s="3">
        <f t="shared" si="303"/>
        <v>0.01</v>
      </c>
      <c r="BB145" s="50">
        <f t="shared" si="338"/>
        <v>1.3314769135132258E-2</v>
      </c>
      <c r="BC145" s="3">
        <f t="shared" si="304"/>
        <v>7.3999999999999999E-4</v>
      </c>
      <c r="BD145" s="3">
        <f t="shared" si="305"/>
        <v>8.6999999999999994E-3</v>
      </c>
      <c r="BE145" s="3">
        <f t="shared" si="339"/>
        <v>1.5999999999999945E-5</v>
      </c>
      <c r="BF145" s="3">
        <f t="shared" si="340"/>
        <v>3.0285952535049256E-3</v>
      </c>
      <c r="BG145" s="3">
        <f t="shared" si="306"/>
        <v>1.6000000000000001E-6</v>
      </c>
      <c r="BH145" s="214">
        <f t="shared" si="307"/>
        <v>1.35E-2</v>
      </c>
      <c r="BI145" s="50">
        <f t="shared" si="341"/>
        <v>1.6500398897991889E-2</v>
      </c>
      <c r="BJ145" s="16">
        <f t="shared" si="308"/>
        <v>0.25</v>
      </c>
      <c r="BK145" s="49">
        <f t="shared" si="309"/>
        <v>5.9999999999999995E-4</v>
      </c>
      <c r="BL145" s="3">
        <f t="shared" si="310"/>
        <v>1E-3</v>
      </c>
      <c r="BM145" s="49">
        <f t="shared" si="311"/>
        <v>3.9999999999999863E-6</v>
      </c>
      <c r="BN145" s="49">
        <f t="shared" si="312"/>
        <v>1.44E-4</v>
      </c>
      <c r="BO145" s="49">
        <f t="shared" si="313"/>
        <v>9.0000000000000007E-7</v>
      </c>
      <c r="BP145" s="3">
        <f t="shared" si="314"/>
        <v>0.01</v>
      </c>
      <c r="BQ145" s="50">
        <f t="shared" si="342"/>
        <v>1.0077673581238877E-2</v>
      </c>
      <c r="BR145" s="3">
        <f t="shared" si="315"/>
        <v>6.6999999999999991E-4</v>
      </c>
      <c r="BS145" s="3">
        <f t="shared" si="316"/>
        <v>1.175E-3</v>
      </c>
      <c r="BT145" s="3">
        <f t="shared" si="343"/>
        <v>3.9999999999999863E-6</v>
      </c>
      <c r="BU145" s="3">
        <f t="shared" si="344"/>
        <v>1.44E-4</v>
      </c>
      <c r="BV145" s="3">
        <f t="shared" si="317"/>
        <v>9.0000000000000007E-7</v>
      </c>
      <c r="BW145" s="214">
        <f t="shared" si="318"/>
        <v>1.35E-2</v>
      </c>
      <c r="BX145" s="50">
        <f t="shared" si="345"/>
        <v>1.3575704394616141E-2</v>
      </c>
      <c r="BY145" s="16">
        <f t="shared" si="319"/>
        <v>0.25</v>
      </c>
      <c r="BZ145" s="49">
        <f t="shared" si="320"/>
        <v>9.9999999999999991E-5</v>
      </c>
      <c r="CA145" s="3">
        <f t="shared" si="321"/>
        <v>2E-3</v>
      </c>
      <c r="CB145" s="49">
        <f t="shared" si="322"/>
        <v>3.9999999999999863E-6</v>
      </c>
      <c r="CC145" s="49">
        <f t="shared" si="323"/>
        <v>0</v>
      </c>
      <c r="CD145" s="49">
        <f t="shared" si="324"/>
        <v>1.8000000000000001E-6</v>
      </c>
      <c r="CE145" s="3">
        <f t="shared" si="325"/>
        <v>0.01</v>
      </c>
      <c r="CF145" s="50">
        <f t="shared" si="346"/>
        <v>1.019856947027376E-2</v>
      </c>
      <c r="CG145" s="3">
        <f t="shared" si="326"/>
        <v>1.3499999999999997E-4</v>
      </c>
      <c r="CH145" s="3">
        <f t="shared" si="327"/>
        <v>2.0874999999999999E-3</v>
      </c>
      <c r="CI145" s="3">
        <f t="shared" si="347"/>
        <v>3.9999999999999863E-6</v>
      </c>
      <c r="CJ145" s="3">
        <f t="shared" si="348"/>
        <v>0</v>
      </c>
      <c r="CK145" s="3">
        <f t="shared" si="328"/>
        <v>1.8000000000000001E-6</v>
      </c>
      <c r="CL145" s="214">
        <f t="shared" si="329"/>
        <v>1.35E-2</v>
      </c>
      <c r="CM145" s="50">
        <f t="shared" si="349"/>
        <v>1.3661148578724996E-2</v>
      </c>
    </row>
    <row r="146" spans="16:91">
      <c r="P146" s="116">
        <f t="shared" si="219"/>
        <v>54.999999999999993</v>
      </c>
      <c r="Q146" s="135">
        <f t="shared" si="275"/>
        <v>0.27499999999999997</v>
      </c>
      <c r="R146" s="49">
        <f t="shared" si="276"/>
        <v>1.8181818181818184E-3</v>
      </c>
      <c r="S146" s="3">
        <f t="shared" si="277"/>
        <v>8.0000000000000002E-3</v>
      </c>
      <c r="T146" s="49">
        <f t="shared" si="278"/>
        <v>1.4545454545454497E-5</v>
      </c>
      <c r="U146" s="49">
        <f t="shared" si="279"/>
        <v>0</v>
      </c>
      <c r="V146" s="49">
        <f t="shared" si="280"/>
        <v>1.4545454545454548E-6</v>
      </c>
      <c r="W146" s="3">
        <f t="shared" si="281"/>
        <v>0.01</v>
      </c>
      <c r="X146" s="50">
        <f t="shared" si="330"/>
        <v>1.2936726455015613E-2</v>
      </c>
      <c r="Y146" s="3">
        <f t="shared" si="282"/>
        <v>1.9454545454545458E-3</v>
      </c>
      <c r="Z146" s="3">
        <f t="shared" si="283"/>
        <v>8.6999999999999994E-3</v>
      </c>
      <c r="AA146" s="3">
        <f t="shared" si="331"/>
        <v>1.4545454545454497E-5</v>
      </c>
      <c r="AB146" s="3">
        <f t="shared" si="332"/>
        <v>0</v>
      </c>
      <c r="AC146" s="3">
        <f t="shared" si="284"/>
        <v>1.4545454545454548E-6</v>
      </c>
      <c r="AD146" s="214">
        <f t="shared" si="285"/>
        <v>1.35E-2</v>
      </c>
      <c r="AE146" s="136">
        <f t="shared" si="333"/>
        <v>1.6179666316574717E-2</v>
      </c>
      <c r="AF146" s="16">
        <f t="shared" si="286"/>
        <v>0.27499999999999997</v>
      </c>
      <c r="AG146" s="49">
        <f t="shared" si="287"/>
        <v>2.9090909090909093E-5</v>
      </c>
      <c r="AH146" s="3">
        <f t="shared" si="288"/>
        <v>1.4999999999999999E-4</v>
      </c>
      <c r="AI146" s="49">
        <f t="shared" si="289"/>
        <v>1.8224990313718924E-7</v>
      </c>
      <c r="AJ146" s="49">
        <f t="shared" si="290"/>
        <v>4.1397089369476848E-6</v>
      </c>
      <c r="AK146" s="49">
        <f t="shared" si="291"/>
        <v>8.1818181818181834E-7</v>
      </c>
      <c r="AL146" s="3">
        <f t="shared" si="292"/>
        <v>0.01</v>
      </c>
      <c r="AM146" s="50">
        <f t="shared" si="334"/>
        <v>1.0001180784745612E-2</v>
      </c>
      <c r="AN146" s="3">
        <f t="shared" si="293"/>
        <v>4.1818181818181819E-5</v>
      </c>
      <c r="AO146" s="3">
        <f t="shared" si="294"/>
        <v>2.1999999999999998E-4</v>
      </c>
      <c r="AP146" s="3">
        <f t="shared" si="335"/>
        <v>1.8224990313718924E-7</v>
      </c>
      <c r="AQ146" s="3">
        <f t="shared" si="336"/>
        <v>4.1397089369476848E-6</v>
      </c>
      <c r="AR146" s="3">
        <f t="shared" si="295"/>
        <v>8.1818181818181834E-7</v>
      </c>
      <c r="AS146" s="214">
        <f t="shared" si="296"/>
        <v>1.35E-2</v>
      </c>
      <c r="AT146" s="50">
        <f t="shared" si="337"/>
        <v>1.350187133630007E-2</v>
      </c>
      <c r="AU146" s="16">
        <f t="shared" si="297"/>
        <v>0.27499999999999997</v>
      </c>
      <c r="AV146" s="49">
        <f t="shared" si="298"/>
        <v>5.4545454545454548E-4</v>
      </c>
      <c r="AW146" s="3">
        <f t="shared" si="299"/>
        <v>8.0000000000000002E-3</v>
      </c>
      <c r="AX146" s="49">
        <f t="shared" si="300"/>
        <v>1.4545454545454497E-5</v>
      </c>
      <c r="AY146" s="49">
        <f t="shared" si="301"/>
        <v>2.7532684122772056E-3</v>
      </c>
      <c r="AZ146" s="49">
        <f t="shared" si="302"/>
        <v>1.4545454545454548E-6</v>
      </c>
      <c r="BA146" s="3">
        <f t="shared" si="303"/>
        <v>0.01</v>
      </c>
      <c r="BB146" s="50">
        <f t="shared" si="338"/>
        <v>1.3227915545825669E-2</v>
      </c>
      <c r="BC146" s="3">
        <f t="shared" si="304"/>
        <v>6.7272727272727276E-4</v>
      </c>
      <c r="BD146" s="3">
        <f t="shared" si="305"/>
        <v>8.6999999999999994E-3</v>
      </c>
      <c r="BE146" s="3">
        <f t="shared" si="339"/>
        <v>1.4545454545454497E-5</v>
      </c>
      <c r="BF146" s="3">
        <f t="shared" si="340"/>
        <v>2.7532684122772056E-3</v>
      </c>
      <c r="BG146" s="3">
        <f t="shared" si="306"/>
        <v>1.4545454545454548E-6</v>
      </c>
      <c r="BH146" s="214">
        <f t="shared" si="307"/>
        <v>1.35E-2</v>
      </c>
      <c r="BI146" s="50">
        <f t="shared" si="341"/>
        <v>1.6424899556729045E-2</v>
      </c>
      <c r="BJ146" s="16">
        <f t="shared" si="308"/>
        <v>0.27499999999999997</v>
      </c>
      <c r="BK146" s="49">
        <f t="shared" si="309"/>
        <v>5.4545454545454548E-4</v>
      </c>
      <c r="BL146" s="3">
        <f t="shared" si="310"/>
        <v>1E-3</v>
      </c>
      <c r="BM146" s="49">
        <f t="shared" si="311"/>
        <v>3.6363636363636243E-6</v>
      </c>
      <c r="BN146" s="49">
        <f t="shared" si="312"/>
        <v>1.3090909090909093E-4</v>
      </c>
      <c r="BO146" s="49">
        <f t="shared" si="313"/>
        <v>8.1818181818181834E-7</v>
      </c>
      <c r="BP146" s="3">
        <f t="shared" si="314"/>
        <v>0.01</v>
      </c>
      <c r="BQ146" s="50">
        <f t="shared" si="342"/>
        <v>1.0072854643516975E-2</v>
      </c>
      <c r="BR146" s="3">
        <f t="shared" si="315"/>
        <v>6.0909090909090917E-4</v>
      </c>
      <c r="BS146" s="3">
        <f t="shared" si="316"/>
        <v>1.175E-3</v>
      </c>
      <c r="BT146" s="3">
        <f t="shared" si="343"/>
        <v>3.6363636363636243E-6</v>
      </c>
      <c r="BU146" s="3">
        <f t="shared" si="344"/>
        <v>1.3090909090909093E-4</v>
      </c>
      <c r="BV146" s="3">
        <f t="shared" si="317"/>
        <v>8.1818181818181834E-7</v>
      </c>
      <c r="BW146" s="214">
        <f t="shared" si="318"/>
        <v>1.35E-2</v>
      </c>
      <c r="BX146" s="50">
        <f t="shared" si="345"/>
        <v>1.3571426627688917E-2</v>
      </c>
      <c r="BY146" s="16">
        <f t="shared" si="319"/>
        <v>0.27499999999999997</v>
      </c>
      <c r="BZ146" s="49">
        <f t="shared" si="320"/>
        <v>9.0909090909090917E-5</v>
      </c>
      <c r="CA146" s="3">
        <f t="shared" si="321"/>
        <v>2E-3</v>
      </c>
      <c r="CB146" s="49">
        <f t="shared" si="322"/>
        <v>3.6363636363636243E-6</v>
      </c>
      <c r="CC146" s="49">
        <f t="shared" si="323"/>
        <v>0</v>
      </c>
      <c r="CD146" s="49">
        <f t="shared" si="324"/>
        <v>1.6363636363636367E-6</v>
      </c>
      <c r="CE146" s="3">
        <f t="shared" si="325"/>
        <v>0.01</v>
      </c>
      <c r="CF146" s="50">
        <f t="shared" si="346"/>
        <v>1.0198477411881695E-2</v>
      </c>
      <c r="CG146" s="3">
        <f t="shared" si="326"/>
        <v>1.2272727272727272E-4</v>
      </c>
      <c r="CH146" s="3">
        <f t="shared" si="327"/>
        <v>2.0874999999999999E-3</v>
      </c>
      <c r="CI146" s="3">
        <f t="shared" si="347"/>
        <v>3.6363636363636243E-6</v>
      </c>
      <c r="CJ146" s="3">
        <f t="shared" si="348"/>
        <v>0</v>
      </c>
      <c r="CK146" s="3">
        <f t="shared" si="328"/>
        <v>1.6363636363636367E-6</v>
      </c>
      <c r="CL146" s="214">
        <f t="shared" si="329"/>
        <v>1.35E-2</v>
      </c>
      <c r="CM146" s="50">
        <f t="shared" si="349"/>
        <v>1.3661025828841733E-2</v>
      </c>
    </row>
    <row r="147" spans="16:91">
      <c r="P147" s="116">
        <f t="shared" si="219"/>
        <v>60</v>
      </c>
      <c r="Q147" s="135">
        <f t="shared" si="275"/>
        <v>0.3</v>
      </c>
      <c r="R147" s="49">
        <f t="shared" si="276"/>
        <v>1.6666666666666668E-3</v>
      </c>
      <c r="S147" s="3">
        <f t="shared" si="277"/>
        <v>8.0000000000000002E-3</v>
      </c>
      <c r="T147" s="49">
        <f t="shared" si="278"/>
        <v>1.3333333333333288E-5</v>
      </c>
      <c r="U147" s="49">
        <f t="shared" si="279"/>
        <v>0</v>
      </c>
      <c r="V147" s="49">
        <f t="shared" si="280"/>
        <v>1.3333333333333334E-6</v>
      </c>
      <c r="W147" s="3">
        <f t="shared" si="281"/>
        <v>0.01</v>
      </c>
      <c r="X147" s="50">
        <f t="shared" si="330"/>
        <v>1.2915974673936837E-2</v>
      </c>
      <c r="Y147" s="3">
        <f t="shared" si="282"/>
        <v>1.7833333333333334E-3</v>
      </c>
      <c r="Z147" s="3">
        <f t="shared" si="283"/>
        <v>8.6999999999999994E-3</v>
      </c>
      <c r="AA147" s="3">
        <f t="shared" si="331"/>
        <v>1.3333333333333288E-5</v>
      </c>
      <c r="AB147" s="3">
        <f t="shared" si="332"/>
        <v>0</v>
      </c>
      <c r="AC147" s="3">
        <f t="shared" si="284"/>
        <v>1.3333333333333334E-6</v>
      </c>
      <c r="AD147" s="214">
        <f t="shared" si="285"/>
        <v>1.35E-2</v>
      </c>
      <c r="AE147" s="136">
        <f t="shared" si="333"/>
        <v>1.6160693453218175E-2</v>
      </c>
      <c r="AF147" s="16">
        <f t="shared" si="286"/>
        <v>0.3</v>
      </c>
      <c r="AG147" s="49">
        <f t="shared" si="287"/>
        <v>2.6666666666666667E-5</v>
      </c>
      <c r="AH147" s="3">
        <f t="shared" si="288"/>
        <v>1.4999999999999999E-4</v>
      </c>
      <c r="AI147" s="49">
        <f t="shared" si="289"/>
        <v>1.6706241120909014E-7</v>
      </c>
      <c r="AJ147" s="49">
        <f t="shared" si="290"/>
        <v>3.794733192202044E-6</v>
      </c>
      <c r="AK147" s="49">
        <f t="shared" si="291"/>
        <v>7.5000000000000002E-7</v>
      </c>
      <c r="AL147" s="3">
        <f t="shared" si="292"/>
        <v>0.01</v>
      </c>
      <c r="AM147" s="50">
        <f t="shared" si="334"/>
        <v>1.000117186459672E-2</v>
      </c>
      <c r="AN147" s="3">
        <f t="shared" si="293"/>
        <v>3.8333333333333334E-5</v>
      </c>
      <c r="AO147" s="3">
        <f t="shared" si="294"/>
        <v>2.1999999999999998E-4</v>
      </c>
      <c r="AP147" s="3">
        <f t="shared" si="335"/>
        <v>1.6706241120909014E-7</v>
      </c>
      <c r="AQ147" s="3">
        <f t="shared" si="336"/>
        <v>3.794733192202044E-6</v>
      </c>
      <c r="AR147" s="3">
        <f t="shared" si="295"/>
        <v>7.5000000000000002E-7</v>
      </c>
      <c r="AS147" s="214">
        <f t="shared" si="296"/>
        <v>1.35E-2</v>
      </c>
      <c r="AT147" s="50">
        <f t="shared" si="337"/>
        <v>1.3501858740204318E-2</v>
      </c>
      <c r="AU147" s="16">
        <f t="shared" si="297"/>
        <v>0.3</v>
      </c>
      <c r="AV147" s="49">
        <f t="shared" si="298"/>
        <v>5.0000000000000001E-4</v>
      </c>
      <c r="AW147" s="3">
        <f t="shared" si="299"/>
        <v>8.0000000000000002E-3</v>
      </c>
      <c r="AX147" s="49">
        <f t="shared" si="300"/>
        <v>1.3333333333333288E-5</v>
      </c>
      <c r="AY147" s="49">
        <f t="shared" si="301"/>
        <v>2.5238293779207715E-3</v>
      </c>
      <c r="AZ147" s="49">
        <f t="shared" si="302"/>
        <v>1.3333333333333334E-6</v>
      </c>
      <c r="BA147" s="3">
        <f t="shared" si="303"/>
        <v>0.01</v>
      </c>
      <c r="BB147" s="50">
        <f t="shared" si="338"/>
        <v>1.3161472528270161E-2</v>
      </c>
      <c r="BC147" s="3">
        <f t="shared" si="304"/>
        <v>6.1666666666666662E-4</v>
      </c>
      <c r="BD147" s="3">
        <f t="shared" si="305"/>
        <v>8.6999999999999994E-3</v>
      </c>
      <c r="BE147" s="3">
        <f t="shared" si="339"/>
        <v>1.3333333333333288E-5</v>
      </c>
      <c r="BF147" s="3">
        <f t="shared" si="340"/>
        <v>2.5238293779207715E-3</v>
      </c>
      <c r="BG147" s="3">
        <f t="shared" si="306"/>
        <v>1.3333333333333334E-6</v>
      </c>
      <c r="BH147" s="214">
        <f t="shared" si="307"/>
        <v>1.35E-2</v>
      </c>
      <c r="BI147" s="50">
        <f t="shared" si="341"/>
        <v>1.6367242942011154E-2</v>
      </c>
      <c r="BJ147" s="16">
        <f t="shared" si="308"/>
        <v>0.3</v>
      </c>
      <c r="BK147" s="49">
        <f t="shared" si="309"/>
        <v>5.0000000000000001E-4</v>
      </c>
      <c r="BL147" s="3">
        <f t="shared" si="310"/>
        <v>1E-3</v>
      </c>
      <c r="BM147" s="49">
        <f t="shared" si="311"/>
        <v>3.3333333333333219E-6</v>
      </c>
      <c r="BN147" s="49">
        <f t="shared" si="312"/>
        <v>1.2E-4</v>
      </c>
      <c r="BO147" s="49">
        <f t="shared" si="313"/>
        <v>7.5000000000000002E-7</v>
      </c>
      <c r="BP147" s="3">
        <f t="shared" si="314"/>
        <v>0.01</v>
      </c>
      <c r="BQ147" s="50">
        <f t="shared" si="342"/>
        <v>1.0069187902057665E-2</v>
      </c>
      <c r="BR147" s="3">
        <f t="shared" si="315"/>
        <v>5.5833333333333332E-4</v>
      </c>
      <c r="BS147" s="3">
        <f t="shared" si="316"/>
        <v>1.175E-3</v>
      </c>
      <c r="BT147" s="3">
        <f t="shared" si="343"/>
        <v>3.3333333333333219E-6</v>
      </c>
      <c r="BU147" s="3">
        <f t="shared" si="344"/>
        <v>1.2E-4</v>
      </c>
      <c r="BV147" s="3">
        <f t="shared" si="317"/>
        <v>7.5000000000000002E-7</v>
      </c>
      <c r="BW147" s="214">
        <f t="shared" si="318"/>
        <v>1.35E-2</v>
      </c>
      <c r="BX147" s="50">
        <f t="shared" si="345"/>
        <v>1.356817213212393E-2</v>
      </c>
      <c r="BY147" s="16">
        <f t="shared" si="319"/>
        <v>0.3</v>
      </c>
      <c r="BZ147" s="49">
        <f t="shared" si="320"/>
        <v>8.3333333333333331E-5</v>
      </c>
      <c r="CA147" s="3">
        <f t="shared" si="321"/>
        <v>2E-3</v>
      </c>
      <c r="CB147" s="49">
        <f t="shared" si="322"/>
        <v>3.3333333333333219E-6</v>
      </c>
      <c r="CC147" s="49">
        <f t="shared" si="323"/>
        <v>0</v>
      </c>
      <c r="CD147" s="49">
        <f t="shared" si="324"/>
        <v>1.5E-6</v>
      </c>
      <c r="CE147" s="3">
        <f t="shared" si="325"/>
        <v>0.01</v>
      </c>
      <c r="CF147" s="50">
        <f t="shared" si="346"/>
        <v>1.0198407393368393E-2</v>
      </c>
      <c r="CG147" s="3">
        <f t="shared" si="326"/>
        <v>1.125E-4</v>
      </c>
      <c r="CH147" s="3">
        <f t="shared" si="327"/>
        <v>2.0874999999999999E-3</v>
      </c>
      <c r="CI147" s="3">
        <f t="shared" si="347"/>
        <v>3.3333333333333219E-6</v>
      </c>
      <c r="CJ147" s="3">
        <f t="shared" si="348"/>
        <v>0</v>
      </c>
      <c r="CK147" s="3">
        <f t="shared" si="328"/>
        <v>1.5E-6</v>
      </c>
      <c r="CL147" s="214">
        <f t="shared" si="329"/>
        <v>1.35E-2</v>
      </c>
      <c r="CM147" s="50">
        <f t="shared" si="349"/>
        <v>1.3660932466750252E-2</v>
      </c>
    </row>
    <row r="148" spans="16:91">
      <c r="P148" s="116">
        <f t="shared" si="219"/>
        <v>65</v>
      </c>
      <c r="Q148" s="135">
        <f t="shared" si="275"/>
        <v>0.32500000000000001</v>
      </c>
      <c r="R148" s="49">
        <f t="shared" si="276"/>
        <v>1.5384615384615385E-3</v>
      </c>
      <c r="S148" s="3">
        <f t="shared" si="277"/>
        <v>8.0000000000000002E-3</v>
      </c>
      <c r="T148" s="49">
        <f t="shared" si="278"/>
        <v>1.2307692307692266E-5</v>
      </c>
      <c r="U148" s="49">
        <f t="shared" si="279"/>
        <v>0</v>
      </c>
      <c r="V148" s="49">
        <f t="shared" si="280"/>
        <v>1.230769230769231E-6</v>
      </c>
      <c r="W148" s="3">
        <f t="shared" si="281"/>
        <v>0.01</v>
      </c>
      <c r="X148" s="50">
        <f t="shared" si="330"/>
        <v>1.2899801809403642E-2</v>
      </c>
      <c r="Y148" s="3">
        <f t="shared" si="282"/>
        <v>1.6461538461538462E-3</v>
      </c>
      <c r="Z148" s="3">
        <f t="shared" si="283"/>
        <v>8.6999999999999994E-3</v>
      </c>
      <c r="AA148" s="3">
        <f t="shared" si="331"/>
        <v>1.2307692307692266E-5</v>
      </c>
      <c r="AB148" s="3">
        <f t="shared" si="332"/>
        <v>0</v>
      </c>
      <c r="AC148" s="3">
        <f t="shared" si="284"/>
        <v>1.230769230769231E-6</v>
      </c>
      <c r="AD148" s="214">
        <f t="shared" si="285"/>
        <v>1.35E-2</v>
      </c>
      <c r="AE148" s="136">
        <f t="shared" si="333"/>
        <v>1.6145912677496713E-2</v>
      </c>
      <c r="AF148" s="16">
        <f t="shared" si="286"/>
        <v>0.32500000000000001</v>
      </c>
      <c r="AG148" s="49">
        <f t="shared" si="287"/>
        <v>2.4615384615384613E-5</v>
      </c>
      <c r="AH148" s="3">
        <f t="shared" si="288"/>
        <v>1.4999999999999999E-4</v>
      </c>
      <c r="AI148" s="49">
        <f t="shared" si="289"/>
        <v>1.5421145650069858E-7</v>
      </c>
      <c r="AJ148" s="49">
        <f t="shared" si="290"/>
        <v>3.5028306389557324E-6</v>
      </c>
      <c r="AK148" s="49">
        <f t="shared" si="291"/>
        <v>6.9230769230769232E-7</v>
      </c>
      <c r="AL148" s="3">
        <f t="shared" si="292"/>
        <v>0.01</v>
      </c>
      <c r="AM148" s="50">
        <f t="shared" si="334"/>
        <v>1.0001164922617867E-2</v>
      </c>
      <c r="AN148" s="3">
        <f t="shared" si="293"/>
        <v>3.5384615384615382E-5</v>
      </c>
      <c r="AO148" s="3">
        <f t="shared" si="294"/>
        <v>2.1999999999999998E-4</v>
      </c>
      <c r="AP148" s="3">
        <f t="shared" si="335"/>
        <v>1.5421145650069858E-7</v>
      </c>
      <c r="AQ148" s="3">
        <f t="shared" si="336"/>
        <v>3.5028306389557324E-6</v>
      </c>
      <c r="AR148" s="3">
        <f t="shared" si="295"/>
        <v>6.9230769230769232E-7</v>
      </c>
      <c r="AS148" s="214">
        <f t="shared" si="296"/>
        <v>1.35E-2</v>
      </c>
      <c r="AT148" s="50">
        <f t="shared" si="337"/>
        <v>1.3501848937471812E-2</v>
      </c>
      <c r="AU148" s="16">
        <f t="shared" si="297"/>
        <v>0.32500000000000001</v>
      </c>
      <c r="AV148" s="49">
        <f t="shared" si="298"/>
        <v>4.6153846153846147E-4</v>
      </c>
      <c r="AW148" s="3">
        <f t="shared" si="299"/>
        <v>8.0000000000000002E-3</v>
      </c>
      <c r="AX148" s="49">
        <f t="shared" si="300"/>
        <v>1.2307692307692266E-5</v>
      </c>
      <c r="AY148" s="49">
        <f t="shared" si="301"/>
        <v>2.3296886565422506E-3</v>
      </c>
      <c r="AZ148" s="49">
        <f t="shared" si="302"/>
        <v>1.230769230769231E-6</v>
      </c>
      <c r="BA148" s="3">
        <f t="shared" si="303"/>
        <v>0.01</v>
      </c>
      <c r="BB148" s="50">
        <f t="shared" si="338"/>
        <v>1.3109531225328099E-2</v>
      </c>
      <c r="BC148" s="3">
        <f t="shared" si="304"/>
        <v>5.6923076923076914E-4</v>
      </c>
      <c r="BD148" s="3">
        <f t="shared" si="305"/>
        <v>8.6999999999999994E-3</v>
      </c>
      <c r="BE148" s="3">
        <f t="shared" si="339"/>
        <v>1.2307692307692266E-5</v>
      </c>
      <c r="BF148" s="3">
        <f t="shared" si="340"/>
        <v>2.3296886565422506E-3</v>
      </c>
      <c r="BG148" s="3">
        <f t="shared" si="306"/>
        <v>1.230769230769231E-6</v>
      </c>
      <c r="BH148" s="214">
        <f t="shared" si="307"/>
        <v>1.35E-2</v>
      </c>
      <c r="BI148" s="50">
        <f t="shared" si="341"/>
        <v>1.6322231613595042E-2</v>
      </c>
      <c r="BJ148" s="16">
        <f t="shared" si="308"/>
        <v>0.32500000000000001</v>
      </c>
      <c r="BK148" s="49">
        <f t="shared" si="309"/>
        <v>4.6153846153846147E-4</v>
      </c>
      <c r="BL148" s="3">
        <f t="shared" si="310"/>
        <v>1E-3</v>
      </c>
      <c r="BM148" s="49">
        <f t="shared" si="311"/>
        <v>3.0769230769230664E-6</v>
      </c>
      <c r="BN148" s="49">
        <f t="shared" si="312"/>
        <v>1.1076923076923077E-4</v>
      </c>
      <c r="BO148" s="49">
        <f t="shared" si="313"/>
        <v>6.9230769230769232E-7</v>
      </c>
      <c r="BP148" s="3">
        <f t="shared" si="314"/>
        <v>0.01</v>
      </c>
      <c r="BQ148" s="50">
        <f t="shared" si="342"/>
        <v>1.0066333390808754E-2</v>
      </c>
      <c r="BR148" s="3">
        <f t="shared" si="315"/>
        <v>5.1538461538461536E-4</v>
      </c>
      <c r="BS148" s="3">
        <f t="shared" si="316"/>
        <v>1.175E-3</v>
      </c>
      <c r="BT148" s="3">
        <f t="shared" si="343"/>
        <v>3.0769230769230664E-6</v>
      </c>
      <c r="BU148" s="3">
        <f t="shared" si="344"/>
        <v>1.1076923076923077E-4</v>
      </c>
      <c r="BV148" s="3">
        <f t="shared" si="317"/>
        <v>6.9230769230769232E-7</v>
      </c>
      <c r="BW148" s="214">
        <f t="shared" si="318"/>
        <v>1.35E-2</v>
      </c>
      <c r="BX148" s="50">
        <f t="shared" si="345"/>
        <v>1.3565638829050281E-2</v>
      </c>
      <c r="BY148" s="16">
        <f t="shared" si="319"/>
        <v>0.32500000000000001</v>
      </c>
      <c r="BZ148" s="49">
        <f t="shared" si="320"/>
        <v>7.6923076923076912E-5</v>
      </c>
      <c r="CA148" s="3">
        <f t="shared" si="321"/>
        <v>2E-3</v>
      </c>
      <c r="CB148" s="49">
        <f t="shared" si="322"/>
        <v>3.0769230769230664E-6</v>
      </c>
      <c r="CC148" s="49">
        <f t="shared" si="323"/>
        <v>0</v>
      </c>
      <c r="CD148" s="49">
        <f t="shared" si="324"/>
        <v>1.3846153846153846E-6</v>
      </c>
      <c r="CE148" s="3">
        <f t="shared" si="325"/>
        <v>0.01</v>
      </c>
      <c r="CF148" s="50">
        <f t="shared" si="346"/>
        <v>1.0198352902168063E-2</v>
      </c>
      <c r="CG148" s="3">
        <f t="shared" si="326"/>
        <v>1.0384615384615383E-4</v>
      </c>
      <c r="CH148" s="3">
        <f t="shared" si="327"/>
        <v>2.0874999999999999E-3</v>
      </c>
      <c r="CI148" s="3">
        <f t="shared" si="347"/>
        <v>3.0769230769230664E-6</v>
      </c>
      <c r="CJ148" s="3">
        <f t="shared" si="348"/>
        <v>0</v>
      </c>
      <c r="CK148" s="3">
        <f t="shared" si="328"/>
        <v>1.3846153846153846E-6</v>
      </c>
      <c r="CL148" s="214">
        <f t="shared" si="329"/>
        <v>1.35E-2</v>
      </c>
      <c r="CM148" s="50">
        <f t="shared" si="349"/>
        <v>1.3660859808648153E-2</v>
      </c>
    </row>
    <row r="149" spans="16:91">
      <c r="P149" s="116">
        <f t="shared" si="219"/>
        <v>70</v>
      </c>
      <c r="Q149" s="135">
        <f t="shared" si="275"/>
        <v>0.35</v>
      </c>
      <c r="R149" s="49">
        <f t="shared" si="276"/>
        <v>1.4285714285714288E-3</v>
      </c>
      <c r="S149" s="3">
        <f t="shared" si="277"/>
        <v>8.0000000000000002E-3</v>
      </c>
      <c r="T149" s="49">
        <f t="shared" si="278"/>
        <v>1.142857142857139E-5</v>
      </c>
      <c r="U149" s="49">
        <f t="shared" si="279"/>
        <v>0</v>
      </c>
      <c r="V149" s="49">
        <f t="shared" si="280"/>
        <v>1.142857142857143E-6</v>
      </c>
      <c r="W149" s="3">
        <f t="shared" si="281"/>
        <v>0.01</v>
      </c>
      <c r="X149" s="50">
        <f t="shared" si="330"/>
        <v>1.2886954694811433E-2</v>
      </c>
      <c r="Y149" s="3">
        <f t="shared" si="282"/>
        <v>1.5285714285714288E-3</v>
      </c>
      <c r="Z149" s="3">
        <f t="shared" si="283"/>
        <v>8.6999999999999994E-3</v>
      </c>
      <c r="AA149" s="3">
        <f t="shared" si="331"/>
        <v>1.142857142857139E-5</v>
      </c>
      <c r="AB149" s="3">
        <f t="shared" si="332"/>
        <v>0</v>
      </c>
      <c r="AC149" s="3">
        <f t="shared" si="284"/>
        <v>1.142857142857143E-6</v>
      </c>
      <c r="AD149" s="214">
        <f t="shared" si="285"/>
        <v>1.35E-2</v>
      </c>
      <c r="AE149" s="136">
        <f t="shared" si="333"/>
        <v>1.6134174949656473E-2</v>
      </c>
      <c r="AF149" s="16">
        <f t="shared" si="286"/>
        <v>0.35</v>
      </c>
      <c r="AG149" s="49">
        <f t="shared" si="287"/>
        <v>2.2857142857142858E-5</v>
      </c>
      <c r="AH149" s="3">
        <f t="shared" si="288"/>
        <v>1.4999999999999999E-4</v>
      </c>
      <c r="AI149" s="49">
        <f t="shared" si="289"/>
        <v>1.4319635246493441E-7</v>
      </c>
      <c r="AJ149" s="49">
        <f t="shared" si="290"/>
        <v>3.252628450458895E-6</v>
      </c>
      <c r="AK149" s="49">
        <f t="shared" si="291"/>
        <v>6.428571428571429E-7</v>
      </c>
      <c r="AL149" s="3">
        <f t="shared" si="292"/>
        <v>0.01</v>
      </c>
      <c r="AM149" s="50">
        <f t="shared" si="334"/>
        <v>1.0001159414366729E-2</v>
      </c>
      <c r="AN149" s="3">
        <f t="shared" si="293"/>
        <v>3.2857142857142857E-5</v>
      </c>
      <c r="AO149" s="3">
        <f t="shared" si="294"/>
        <v>2.1999999999999998E-4</v>
      </c>
      <c r="AP149" s="3">
        <f t="shared" si="335"/>
        <v>1.4319635246493441E-7</v>
      </c>
      <c r="AQ149" s="3">
        <f t="shared" si="336"/>
        <v>3.252628450458895E-6</v>
      </c>
      <c r="AR149" s="3">
        <f t="shared" si="295"/>
        <v>6.428571428571429E-7</v>
      </c>
      <c r="AS149" s="214">
        <f t="shared" si="296"/>
        <v>1.35E-2</v>
      </c>
      <c r="AT149" s="50">
        <f t="shared" si="337"/>
        <v>1.3501841159298589E-2</v>
      </c>
      <c r="AU149" s="16">
        <f t="shared" si="297"/>
        <v>0.35</v>
      </c>
      <c r="AV149" s="49">
        <f t="shared" si="298"/>
        <v>4.2857142857142855E-4</v>
      </c>
      <c r="AW149" s="3">
        <f t="shared" si="299"/>
        <v>8.0000000000000002E-3</v>
      </c>
      <c r="AX149" s="49">
        <f t="shared" si="300"/>
        <v>1.142857142857139E-5</v>
      </c>
      <c r="AY149" s="49">
        <f t="shared" si="301"/>
        <v>2.1632823239320898E-3</v>
      </c>
      <c r="AZ149" s="49">
        <f t="shared" si="302"/>
        <v>1.142857142857143E-6</v>
      </c>
      <c r="BA149" s="3">
        <f t="shared" si="303"/>
        <v>0.01</v>
      </c>
      <c r="BB149" s="50">
        <f t="shared" si="338"/>
        <v>1.306817049797789E-2</v>
      </c>
      <c r="BC149" s="3">
        <f t="shared" si="304"/>
        <v>5.2857142857142859E-4</v>
      </c>
      <c r="BD149" s="3">
        <f t="shared" si="305"/>
        <v>8.6999999999999994E-3</v>
      </c>
      <c r="BE149" s="3">
        <f t="shared" si="339"/>
        <v>1.142857142857139E-5</v>
      </c>
      <c r="BF149" s="3">
        <f t="shared" si="340"/>
        <v>2.1632823239320898E-3</v>
      </c>
      <c r="BG149" s="3">
        <f t="shared" si="306"/>
        <v>1.142857142857143E-6</v>
      </c>
      <c r="BH149" s="214">
        <f t="shared" si="307"/>
        <v>1.35E-2</v>
      </c>
      <c r="BI149" s="50">
        <f t="shared" si="341"/>
        <v>1.6286427988635388E-2</v>
      </c>
      <c r="BJ149" s="16">
        <f t="shared" si="308"/>
        <v>0.35</v>
      </c>
      <c r="BK149" s="49">
        <f t="shared" si="309"/>
        <v>4.2857142857142855E-4</v>
      </c>
      <c r="BL149" s="3">
        <f t="shared" si="310"/>
        <v>1E-3</v>
      </c>
      <c r="BM149" s="49">
        <f t="shared" si="311"/>
        <v>2.8571428571428475E-6</v>
      </c>
      <c r="BN149" s="49">
        <f t="shared" si="312"/>
        <v>1.0285714285714287E-4</v>
      </c>
      <c r="BO149" s="49">
        <f t="shared" si="313"/>
        <v>6.428571428571429E-7</v>
      </c>
      <c r="BP149" s="3">
        <f t="shared" si="314"/>
        <v>0.01</v>
      </c>
      <c r="BQ149" s="50">
        <f t="shared" si="342"/>
        <v>1.0064067847434015E-2</v>
      </c>
      <c r="BR149" s="3">
        <f t="shared" si="315"/>
        <v>4.7857142857142857E-4</v>
      </c>
      <c r="BS149" s="3">
        <f t="shared" si="316"/>
        <v>1.175E-3</v>
      </c>
      <c r="BT149" s="3">
        <f t="shared" si="343"/>
        <v>2.8571428571428475E-6</v>
      </c>
      <c r="BU149" s="3">
        <f t="shared" si="344"/>
        <v>1.0285714285714287E-4</v>
      </c>
      <c r="BV149" s="3">
        <f t="shared" si="317"/>
        <v>6.428571428571429E-7</v>
      </c>
      <c r="BW149" s="214">
        <f t="shared" si="318"/>
        <v>1.35E-2</v>
      </c>
      <c r="BX149" s="50">
        <f t="shared" si="345"/>
        <v>1.3563628393950627E-2</v>
      </c>
      <c r="BY149" s="16">
        <f t="shared" si="319"/>
        <v>0.35</v>
      </c>
      <c r="BZ149" s="49">
        <f t="shared" si="320"/>
        <v>7.142857142857142E-5</v>
      </c>
      <c r="CA149" s="3">
        <f t="shared" si="321"/>
        <v>2E-3</v>
      </c>
      <c r="CB149" s="49">
        <f t="shared" si="322"/>
        <v>2.8571428571428475E-6</v>
      </c>
      <c r="CC149" s="49">
        <f t="shared" si="323"/>
        <v>0</v>
      </c>
      <c r="CD149" s="49">
        <f t="shared" si="324"/>
        <v>1.2857142857142858E-6</v>
      </c>
      <c r="CE149" s="3">
        <f t="shared" si="325"/>
        <v>0.01</v>
      </c>
      <c r="CF149" s="50">
        <f t="shared" si="346"/>
        <v>1.0198309664861533E-2</v>
      </c>
      <c r="CG149" s="3">
        <f t="shared" si="326"/>
        <v>9.6428571428571418E-5</v>
      </c>
      <c r="CH149" s="3">
        <f t="shared" si="327"/>
        <v>2.0874999999999999E-3</v>
      </c>
      <c r="CI149" s="3">
        <f t="shared" si="347"/>
        <v>2.8571428571428475E-6</v>
      </c>
      <c r="CJ149" s="3">
        <f t="shared" si="348"/>
        <v>0</v>
      </c>
      <c r="CK149" s="3">
        <f t="shared" si="328"/>
        <v>1.2857142857142858E-6</v>
      </c>
      <c r="CL149" s="214">
        <f t="shared" si="329"/>
        <v>1.35E-2</v>
      </c>
      <c r="CM149" s="50">
        <f t="shared" si="349"/>
        <v>1.3660802156393394E-2</v>
      </c>
    </row>
    <row r="150" spans="16:91">
      <c r="P150" s="116">
        <f t="shared" si="219"/>
        <v>75</v>
      </c>
      <c r="Q150" s="135">
        <f t="shared" si="275"/>
        <v>0.375</v>
      </c>
      <c r="R150" s="49">
        <f t="shared" si="276"/>
        <v>1.3333333333333333E-3</v>
      </c>
      <c r="S150" s="3">
        <f t="shared" si="277"/>
        <v>8.0000000000000002E-3</v>
      </c>
      <c r="T150" s="49">
        <f t="shared" si="278"/>
        <v>1.066666666666663E-5</v>
      </c>
      <c r="U150" s="49">
        <f t="shared" si="279"/>
        <v>0</v>
      </c>
      <c r="V150" s="49">
        <f t="shared" si="280"/>
        <v>1.0666666666666667E-6</v>
      </c>
      <c r="W150" s="3">
        <f t="shared" si="281"/>
        <v>0.01</v>
      </c>
      <c r="X150" s="50">
        <f t="shared" si="330"/>
        <v>1.2876580956829253E-2</v>
      </c>
      <c r="Y150" s="3">
        <f t="shared" si="282"/>
        <v>1.4266666666666666E-3</v>
      </c>
      <c r="Z150" s="3">
        <f t="shared" si="283"/>
        <v>8.6999999999999994E-3</v>
      </c>
      <c r="AA150" s="3">
        <f t="shared" si="331"/>
        <v>1.066666666666663E-5</v>
      </c>
      <c r="AB150" s="3">
        <f t="shared" si="332"/>
        <v>0</v>
      </c>
      <c r="AC150" s="3">
        <f t="shared" si="284"/>
        <v>1.0666666666666667E-6</v>
      </c>
      <c r="AD150" s="214">
        <f t="shared" si="285"/>
        <v>1.35E-2</v>
      </c>
      <c r="AE150" s="136">
        <f t="shared" si="333"/>
        <v>1.612469932274363E-2</v>
      </c>
      <c r="AF150" s="16">
        <f t="shared" si="286"/>
        <v>0.375</v>
      </c>
      <c r="AG150" s="49">
        <f t="shared" si="287"/>
        <v>2.1333333333333331E-5</v>
      </c>
      <c r="AH150" s="3">
        <f t="shared" si="288"/>
        <v>1.4999999999999999E-4</v>
      </c>
      <c r="AI150" s="49">
        <f t="shared" si="289"/>
        <v>1.3364992896727209E-7</v>
      </c>
      <c r="AJ150" s="49">
        <f t="shared" si="290"/>
        <v>3.0357865537616351E-6</v>
      </c>
      <c r="AK150" s="49">
        <f t="shared" si="291"/>
        <v>6.0000000000000008E-7</v>
      </c>
      <c r="AL150" s="3">
        <f t="shared" si="292"/>
        <v>0.01</v>
      </c>
      <c r="AM150" s="50">
        <f t="shared" si="334"/>
        <v>1.000115497058858E-2</v>
      </c>
      <c r="AN150" s="3">
        <f t="shared" si="293"/>
        <v>3.0666666666666662E-5</v>
      </c>
      <c r="AO150" s="3">
        <f t="shared" si="294"/>
        <v>2.1999999999999998E-4</v>
      </c>
      <c r="AP150" s="3">
        <f t="shared" si="335"/>
        <v>1.3364992896727209E-7</v>
      </c>
      <c r="AQ150" s="3">
        <f t="shared" si="336"/>
        <v>3.0357865537616351E-6</v>
      </c>
      <c r="AR150" s="3">
        <f t="shared" si="295"/>
        <v>6.0000000000000008E-7</v>
      </c>
      <c r="AS150" s="214">
        <f t="shared" si="296"/>
        <v>1.35E-2</v>
      </c>
      <c r="AT150" s="50">
        <f t="shared" si="337"/>
        <v>1.3501834884262078E-2</v>
      </c>
      <c r="AU150" s="16">
        <f t="shared" si="297"/>
        <v>0.375</v>
      </c>
      <c r="AV150" s="49">
        <f t="shared" si="298"/>
        <v>3.9999999999999996E-4</v>
      </c>
      <c r="AW150" s="3">
        <f t="shared" si="299"/>
        <v>8.0000000000000002E-3</v>
      </c>
      <c r="AX150" s="49">
        <f t="shared" si="300"/>
        <v>1.066666666666663E-5</v>
      </c>
      <c r="AY150" s="49">
        <f t="shared" si="301"/>
        <v>2.0190635023366169E-3</v>
      </c>
      <c r="AZ150" s="49">
        <f t="shared" si="302"/>
        <v>1.0666666666666667E-6</v>
      </c>
      <c r="BA150" s="3">
        <f t="shared" si="303"/>
        <v>0.01</v>
      </c>
      <c r="BB150" s="50">
        <f t="shared" si="338"/>
        <v>1.3034707124900909E-2</v>
      </c>
      <c r="BC150" s="3">
        <f t="shared" si="304"/>
        <v>4.9333333333333325E-4</v>
      </c>
      <c r="BD150" s="3">
        <f t="shared" si="305"/>
        <v>8.6999999999999994E-3</v>
      </c>
      <c r="BE150" s="3">
        <f t="shared" si="339"/>
        <v>1.066666666666663E-5</v>
      </c>
      <c r="BF150" s="3">
        <f t="shared" si="340"/>
        <v>2.0190635023366169E-3</v>
      </c>
      <c r="BG150" s="3">
        <f t="shared" si="306"/>
        <v>1.0666666666666667E-6</v>
      </c>
      <c r="BH150" s="214">
        <f t="shared" si="307"/>
        <v>1.35E-2</v>
      </c>
      <c r="BI150" s="50">
        <f t="shared" si="341"/>
        <v>1.6257485985680591E-2</v>
      </c>
      <c r="BJ150" s="16">
        <f t="shared" si="308"/>
        <v>0.375</v>
      </c>
      <c r="BK150" s="49">
        <f t="shared" si="309"/>
        <v>3.9999999999999996E-4</v>
      </c>
      <c r="BL150" s="3">
        <f t="shared" si="310"/>
        <v>1E-3</v>
      </c>
      <c r="BM150" s="49">
        <f t="shared" si="311"/>
        <v>2.6666666666666575E-6</v>
      </c>
      <c r="BN150" s="49">
        <f t="shared" si="312"/>
        <v>9.6000000000000002E-5</v>
      </c>
      <c r="BO150" s="49">
        <f t="shared" si="313"/>
        <v>6.0000000000000008E-7</v>
      </c>
      <c r="BP150" s="3">
        <f t="shared" si="314"/>
        <v>0.01</v>
      </c>
      <c r="BQ150" s="50">
        <f t="shared" si="342"/>
        <v>1.0062239750892663E-2</v>
      </c>
      <c r="BR150" s="3">
        <f t="shared" si="315"/>
        <v>4.4666666666666661E-4</v>
      </c>
      <c r="BS150" s="3">
        <f t="shared" si="316"/>
        <v>1.175E-3</v>
      </c>
      <c r="BT150" s="3">
        <f t="shared" si="343"/>
        <v>2.6666666666666575E-6</v>
      </c>
      <c r="BU150" s="3">
        <f t="shared" si="344"/>
        <v>9.6000000000000002E-5</v>
      </c>
      <c r="BV150" s="3">
        <f t="shared" si="317"/>
        <v>6.0000000000000008E-7</v>
      </c>
      <c r="BW150" s="214">
        <f t="shared" si="318"/>
        <v>1.35E-2</v>
      </c>
      <c r="BX150" s="50">
        <f t="shared" si="345"/>
        <v>1.3562006260301034E-2</v>
      </c>
      <c r="BY150" s="16">
        <f t="shared" si="319"/>
        <v>0.375</v>
      </c>
      <c r="BZ150" s="49">
        <f t="shared" si="320"/>
        <v>6.6666666666666656E-5</v>
      </c>
      <c r="CA150" s="3">
        <f t="shared" si="321"/>
        <v>2E-3</v>
      </c>
      <c r="CB150" s="49">
        <f t="shared" si="322"/>
        <v>2.6666666666666575E-6</v>
      </c>
      <c r="CC150" s="49">
        <f t="shared" si="323"/>
        <v>0</v>
      </c>
      <c r="CD150" s="49">
        <f t="shared" si="324"/>
        <v>1.2000000000000002E-6</v>
      </c>
      <c r="CE150" s="3">
        <f t="shared" si="325"/>
        <v>0.01</v>
      </c>
      <c r="CF150" s="50">
        <f t="shared" si="346"/>
        <v>1.0198274783075377E-2</v>
      </c>
      <c r="CG150" s="3">
        <f t="shared" si="326"/>
        <v>8.9999999999999992E-5</v>
      </c>
      <c r="CH150" s="3">
        <f t="shared" si="327"/>
        <v>2.0874999999999999E-3</v>
      </c>
      <c r="CI150" s="3">
        <f t="shared" si="347"/>
        <v>2.6666666666666575E-6</v>
      </c>
      <c r="CJ150" s="3">
        <f t="shared" si="348"/>
        <v>0</v>
      </c>
      <c r="CK150" s="3">
        <f t="shared" si="328"/>
        <v>1.2000000000000002E-6</v>
      </c>
      <c r="CL150" s="214">
        <f t="shared" si="329"/>
        <v>1.35E-2</v>
      </c>
      <c r="CM150" s="50">
        <f t="shared" si="349"/>
        <v>1.3660755645318859E-2</v>
      </c>
    </row>
    <row r="151" spans="16:91">
      <c r="P151" s="116">
        <f t="shared" si="219"/>
        <v>80</v>
      </c>
      <c r="Q151" s="135">
        <f t="shared" si="275"/>
        <v>0.4</v>
      </c>
      <c r="R151" s="49">
        <f t="shared" si="276"/>
        <v>1.25E-3</v>
      </c>
      <c r="S151" s="3">
        <f t="shared" si="277"/>
        <v>8.0000000000000002E-3</v>
      </c>
      <c r="T151" s="49">
        <f t="shared" si="278"/>
        <v>9.9999999999999652E-6</v>
      </c>
      <c r="U151" s="49">
        <f t="shared" si="279"/>
        <v>0</v>
      </c>
      <c r="V151" s="49">
        <f t="shared" si="280"/>
        <v>1.0000000000000002E-6</v>
      </c>
      <c r="W151" s="3">
        <f t="shared" si="281"/>
        <v>0.01</v>
      </c>
      <c r="X151" s="50">
        <f t="shared" si="330"/>
        <v>1.2868084589401797E-2</v>
      </c>
      <c r="Y151" s="3">
        <f t="shared" si="282"/>
        <v>1.3374999999999999E-3</v>
      </c>
      <c r="Z151" s="3">
        <f t="shared" si="283"/>
        <v>8.6999999999999994E-3</v>
      </c>
      <c r="AA151" s="3">
        <f t="shared" si="331"/>
        <v>9.9999999999999652E-6</v>
      </c>
      <c r="AB151" s="3">
        <f t="shared" si="332"/>
        <v>0</v>
      </c>
      <c r="AC151" s="3">
        <f t="shared" si="284"/>
        <v>1.0000000000000002E-6</v>
      </c>
      <c r="AD151" s="214">
        <f t="shared" si="285"/>
        <v>1.35E-2</v>
      </c>
      <c r="AE151" s="136">
        <f t="shared" si="333"/>
        <v>1.6116940070931576E-2</v>
      </c>
      <c r="AF151" s="16">
        <f t="shared" si="286"/>
        <v>0.4</v>
      </c>
      <c r="AG151" s="49">
        <f t="shared" si="287"/>
        <v>1.9999999999999998E-5</v>
      </c>
      <c r="AH151" s="3">
        <f t="shared" si="288"/>
        <v>1.4999999999999999E-4</v>
      </c>
      <c r="AI151" s="49">
        <f t="shared" si="289"/>
        <v>1.2529680840681759E-7</v>
      </c>
      <c r="AJ151" s="49">
        <f t="shared" si="290"/>
        <v>2.8460498941515328E-6</v>
      </c>
      <c r="AK151" s="49">
        <f t="shared" si="291"/>
        <v>5.6250000000000001E-7</v>
      </c>
      <c r="AL151" s="3">
        <f t="shared" si="292"/>
        <v>0.01</v>
      </c>
      <c r="AM151" s="50">
        <f t="shared" si="334"/>
        <v>1.0001151333680318E-2</v>
      </c>
      <c r="AN151" s="3">
        <f t="shared" si="293"/>
        <v>2.8749999999999997E-5</v>
      </c>
      <c r="AO151" s="3">
        <f t="shared" si="294"/>
        <v>2.1999999999999998E-4</v>
      </c>
      <c r="AP151" s="3">
        <f t="shared" si="335"/>
        <v>1.2529680840681759E-7</v>
      </c>
      <c r="AQ151" s="3">
        <f t="shared" si="336"/>
        <v>2.8460498941515328E-6</v>
      </c>
      <c r="AR151" s="3">
        <f t="shared" si="295"/>
        <v>5.6250000000000001E-7</v>
      </c>
      <c r="AS151" s="214">
        <f t="shared" si="296"/>
        <v>1.35E-2</v>
      </c>
      <c r="AT151" s="50">
        <f t="shared" si="337"/>
        <v>1.3501829748602329E-2</v>
      </c>
      <c r="AU151" s="16">
        <f t="shared" si="297"/>
        <v>0.4</v>
      </c>
      <c r="AV151" s="49">
        <f t="shared" si="298"/>
        <v>3.7499999999999995E-4</v>
      </c>
      <c r="AW151" s="3">
        <f t="shared" si="299"/>
        <v>8.0000000000000002E-3</v>
      </c>
      <c r="AX151" s="49">
        <f t="shared" si="300"/>
        <v>9.9999999999999652E-6</v>
      </c>
      <c r="AY151" s="49">
        <f t="shared" si="301"/>
        <v>1.8928720334405785E-3</v>
      </c>
      <c r="AZ151" s="49">
        <f t="shared" si="302"/>
        <v>1.0000000000000002E-6</v>
      </c>
      <c r="BA151" s="3">
        <f t="shared" si="303"/>
        <v>0.01</v>
      </c>
      <c r="BB151" s="50">
        <f t="shared" si="338"/>
        <v>1.300725574441937E-2</v>
      </c>
      <c r="BC151" s="3">
        <f t="shared" si="304"/>
        <v>4.6249999999999991E-4</v>
      </c>
      <c r="BD151" s="3">
        <f t="shared" si="305"/>
        <v>8.6999999999999994E-3</v>
      </c>
      <c r="BE151" s="3">
        <f t="shared" si="339"/>
        <v>9.9999999999999652E-6</v>
      </c>
      <c r="BF151" s="3">
        <f t="shared" si="340"/>
        <v>1.8928720334405785E-3</v>
      </c>
      <c r="BG151" s="3">
        <f t="shared" si="306"/>
        <v>1.0000000000000002E-6</v>
      </c>
      <c r="BH151" s="214">
        <f t="shared" si="307"/>
        <v>1.35E-2</v>
      </c>
      <c r="BI151" s="50">
        <f t="shared" si="341"/>
        <v>1.6233760681264916E-2</v>
      </c>
      <c r="BJ151" s="16">
        <f t="shared" si="308"/>
        <v>0.4</v>
      </c>
      <c r="BK151" s="49">
        <f t="shared" si="309"/>
        <v>3.7499999999999995E-4</v>
      </c>
      <c r="BL151" s="3">
        <f t="shared" si="310"/>
        <v>1E-3</v>
      </c>
      <c r="BM151" s="49">
        <f t="shared" si="311"/>
        <v>2.4999999999999913E-6</v>
      </c>
      <c r="BN151" s="49">
        <f t="shared" si="312"/>
        <v>8.9999999999999992E-5</v>
      </c>
      <c r="BO151" s="49">
        <f t="shared" si="313"/>
        <v>5.6250000000000001E-7</v>
      </c>
      <c r="BP151" s="3">
        <f t="shared" si="314"/>
        <v>0.01</v>
      </c>
      <c r="BQ151" s="50">
        <f t="shared" si="342"/>
        <v>1.0060743340648654E-2</v>
      </c>
      <c r="BR151" s="3">
        <f t="shared" si="315"/>
        <v>4.1874999999999996E-4</v>
      </c>
      <c r="BS151" s="3">
        <f t="shared" si="316"/>
        <v>1.175E-3</v>
      </c>
      <c r="BT151" s="3">
        <f t="shared" si="343"/>
        <v>2.4999999999999913E-6</v>
      </c>
      <c r="BU151" s="3">
        <f t="shared" si="344"/>
        <v>8.9999999999999992E-5</v>
      </c>
      <c r="BV151" s="3">
        <f t="shared" si="317"/>
        <v>5.6250000000000001E-7</v>
      </c>
      <c r="BW151" s="214">
        <f t="shared" si="318"/>
        <v>1.35E-2</v>
      </c>
      <c r="BX151" s="50">
        <f t="shared" si="345"/>
        <v>1.3560678518381971E-2</v>
      </c>
      <c r="BY151" s="16">
        <f t="shared" si="319"/>
        <v>0.4</v>
      </c>
      <c r="BZ151" s="49">
        <f t="shared" si="320"/>
        <v>6.2499999999999988E-5</v>
      </c>
      <c r="CA151" s="3">
        <f t="shared" si="321"/>
        <v>2E-3</v>
      </c>
      <c r="CB151" s="49">
        <f t="shared" si="322"/>
        <v>2.4999999999999913E-6</v>
      </c>
      <c r="CC151" s="49">
        <f t="shared" si="323"/>
        <v>0</v>
      </c>
      <c r="CD151" s="49">
        <f t="shared" si="324"/>
        <v>1.125E-6</v>
      </c>
      <c r="CE151" s="3">
        <f t="shared" si="325"/>
        <v>0.01</v>
      </c>
      <c r="CF151" s="50">
        <f t="shared" si="346"/>
        <v>1.0198246234800619E-2</v>
      </c>
      <c r="CG151" s="3">
        <f t="shared" si="326"/>
        <v>8.4374999999999977E-5</v>
      </c>
      <c r="CH151" s="3">
        <f t="shared" si="327"/>
        <v>2.0874999999999999E-3</v>
      </c>
      <c r="CI151" s="3">
        <f t="shared" si="347"/>
        <v>2.4999999999999913E-6</v>
      </c>
      <c r="CJ151" s="3">
        <f t="shared" si="348"/>
        <v>0</v>
      </c>
      <c r="CK151" s="3">
        <f t="shared" si="328"/>
        <v>1.125E-6</v>
      </c>
      <c r="CL151" s="214">
        <f t="shared" si="329"/>
        <v>1.35E-2</v>
      </c>
      <c r="CM151" s="50">
        <f t="shared" si="349"/>
        <v>1.3660717579294653E-2</v>
      </c>
    </row>
    <row r="152" spans="16:91">
      <c r="P152" s="116">
        <f t="shared" si="219"/>
        <v>85</v>
      </c>
      <c r="Q152" s="135">
        <f t="shared" si="275"/>
        <v>0.42499999999999999</v>
      </c>
      <c r="R152" s="49">
        <f t="shared" si="276"/>
        <v>1.1764705882352942E-3</v>
      </c>
      <c r="S152" s="3">
        <f t="shared" si="277"/>
        <v>8.0000000000000002E-3</v>
      </c>
      <c r="T152" s="49">
        <f t="shared" si="278"/>
        <v>9.4117647058823216E-6</v>
      </c>
      <c r="U152" s="49">
        <f t="shared" si="279"/>
        <v>0</v>
      </c>
      <c r="V152" s="49">
        <f t="shared" si="280"/>
        <v>9.4117647058823534E-7</v>
      </c>
      <c r="W152" s="3">
        <f t="shared" si="281"/>
        <v>0.01</v>
      </c>
      <c r="X152" s="50">
        <f t="shared" si="330"/>
        <v>1.2861038754347584E-2</v>
      </c>
      <c r="Y152" s="3">
        <f t="shared" si="282"/>
        <v>1.2588235294117649E-3</v>
      </c>
      <c r="Z152" s="3">
        <f t="shared" si="283"/>
        <v>8.6999999999999994E-3</v>
      </c>
      <c r="AA152" s="3">
        <f t="shared" si="331"/>
        <v>9.4117647058823216E-6</v>
      </c>
      <c r="AB152" s="3">
        <f t="shared" si="332"/>
        <v>0</v>
      </c>
      <c r="AC152" s="3">
        <f t="shared" si="284"/>
        <v>9.4117647058823534E-7</v>
      </c>
      <c r="AD152" s="214">
        <f t="shared" si="285"/>
        <v>1.35E-2</v>
      </c>
      <c r="AE152" s="136">
        <f t="shared" si="333"/>
        <v>1.6110506560845901E-2</v>
      </c>
      <c r="AF152" s="16">
        <f t="shared" si="286"/>
        <v>0.42499999999999999</v>
      </c>
      <c r="AG152" s="49">
        <f t="shared" si="287"/>
        <v>1.8823529411764704E-5</v>
      </c>
      <c r="AH152" s="3">
        <f t="shared" si="288"/>
        <v>1.4999999999999999E-4</v>
      </c>
      <c r="AI152" s="49">
        <f t="shared" si="289"/>
        <v>1.1792640791229891E-7</v>
      </c>
      <c r="AJ152" s="49">
        <f t="shared" si="290"/>
        <v>2.6786351944955605E-6</v>
      </c>
      <c r="AK152" s="49">
        <f t="shared" si="291"/>
        <v>5.2941176470588239E-7</v>
      </c>
      <c r="AL152" s="3">
        <f t="shared" si="292"/>
        <v>0.01</v>
      </c>
      <c r="AM152" s="50">
        <f t="shared" si="334"/>
        <v>1.0001148319498731E-2</v>
      </c>
      <c r="AN152" s="3">
        <f t="shared" si="293"/>
        <v>2.7058823529411762E-5</v>
      </c>
      <c r="AO152" s="3">
        <f t="shared" si="294"/>
        <v>2.1999999999999998E-4</v>
      </c>
      <c r="AP152" s="3">
        <f t="shared" si="335"/>
        <v>1.1792640791229891E-7</v>
      </c>
      <c r="AQ152" s="3">
        <f t="shared" si="336"/>
        <v>2.6786351944955605E-6</v>
      </c>
      <c r="AR152" s="3">
        <f t="shared" si="295"/>
        <v>5.2941176470588239E-7</v>
      </c>
      <c r="AS152" s="214">
        <f t="shared" si="296"/>
        <v>1.35E-2</v>
      </c>
      <c r="AT152" s="50">
        <f t="shared" si="337"/>
        <v>1.3501825492291706E-2</v>
      </c>
      <c r="AU152" s="16">
        <f t="shared" si="297"/>
        <v>0.42499999999999999</v>
      </c>
      <c r="AV152" s="49">
        <f t="shared" si="298"/>
        <v>3.529411764705882E-4</v>
      </c>
      <c r="AW152" s="3">
        <f t="shared" si="299"/>
        <v>8.0000000000000002E-3</v>
      </c>
      <c r="AX152" s="49">
        <f t="shared" si="300"/>
        <v>9.4117647058823216E-6</v>
      </c>
      <c r="AY152" s="49">
        <f t="shared" si="301"/>
        <v>1.7815266197087798E-3</v>
      </c>
      <c r="AZ152" s="49">
        <f t="shared" si="302"/>
        <v>9.4117647058823534E-7</v>
      </c>
      <c r="BA152" s="3">
        <f t="shared" si="303"/>
        <v>0.01</v>
      </c>
      <c r="BB152" s="50">
        <f t="shared" si="338"/>
        <v>1.2984460730326643E-2</v>
      </c>
      <c r="BC152" s="3">
        <f t="shared" si="304"/>
        <v>4.3529411764705879E-4</v>
      </c>
      <c r="BD152" s="3">
        <f t="shared" si="305"/>
        <v>8.6999999999999994E-3</v>
      </c>
      <c r="BE152" s="3">
        <f t="shared" si="339"/>
        <v>9.4117647058823216E-6</v>
      </c>
      <c r="BF152" s="3">
        <f t="shared" si="340"/>
        <v>1.7815266197087798E-3</v>
      </c>
      <c r="BG152" s="3">
        <f t="shared" si="306"/>
        <v>9.4117647058823534E-7</v>
      </c>
      <c r="BH152" s="214">
        <f t="shared" si="307"/>
        <v>1.35E-2</v>
      </c>
      <c r="BI152" s="50">
        <f t="shared" si="341"/>
        <v>1.621407142080758E-2</v>
      </c>
      <c r="BJ152" s="16">
        <f t="shared" si="308"/>
        <v>0.42499999999999999</v>
      </c>
      <c r="BK152" s="49">
        <f t="shared" si="309"/>
        <v>3.529411764705882E-4</v>
      </c>
      <c r="BL152" s="3">
        <f t="shared" si="310"/>
        <v>1E-3</v>
      </c>
      <c r="BM152" s="49">
        <f t="shared" si="311"/>
        <v>2.3529411764705804E-6</v>
      </c>
      <c r="BN152" s="49">
        <f t="shared" si="312"/>
        <v>8.4705882352941183E-5</v>
      </c>
      <c r="BO152" s="49">
        <f t="shared" si="313"/>
        <v>5.2941176470588239E-7</v>
      </c>
      <c r="BP152" s="3">
        <f t="shared" si="314"/>
        <v>0.01</v>
      </c>
      <c r="BQ152" s="50">
        <f t="shared" si="342"/>
        <v>1.0059502983760025E-2</v>
      </c>
      <c r="BR152" s="3">
        <f t="shared" si="315"/>
        <v>3.9411764705882349E-4</v>
      </c>
      <c r="BS152" s="3">
        <f t="shared" si="316"/>
        <v>1.175E-3</v>
      </c>
      <c r="BT152" s="3">
        <f t="shared" si="343"/>
        <v>2.3529411764705804E-6</v>
      </c>
      <c r="BU152" s="3">
        <f t="shared" si="344"/>
        <v>8.4705882352941183E-5</v>
      </c>
      <c r="BV152" s="3">
        <f t="shared" si="317"/>
        <v>5.2941176470588239E-7</v>
      </c>
      <c r="BW152" s="214">
        <f t="shared" si="318"/>
        <v>1.35E-2</v>
      </c>
      <c r="BX152" s="50">
        <f t="shared" si="345"/>
        <v>1.355957801983987E-2</v>
      </c>
      <c r="BY152" s="16">
        <f t="shared" si="319"/>
        <v>0.42499999999999999</v>
      </c>
      <c r="BZ152" s="49">
        <f t="shared" si="320"/>
        <v>5.8823529411764701E-5</v>
      </c>
      <c r="CA152" s="3">
        <f t="shared" si="321"/>
        <v>2E-3</v>
      </c>
      <c r="CB152" s="49">
        <f t="shared" si="322"/>
        <v>2.3529411764705804E-6</v>
      </c>
      <c r="CC152" s="49">
        <f t="shared" si="323"/>
        <v>0</v>
      </c>
      <c r="CD152" s="49">
        <f t="shared" si="324"/>
        <v>1.0588235294117648E-6</v>
      </c>
      <c r="CE152" s="3">
        <f t="shared" si="325"/>
        <v>0.01</v>
      </c>
      <c r="CF152" s="50">
        <f t="shared" si="346"/>
        <v>1.019822257462843E-2</v>
      </c>
      <c r="CG152" s="3">
        <f t="shared" si="326"/>
        <v>7.9411764705882346E-5</v>
      </c>
      <c r="CH152" s="3">
        <f t="shared" si="327"/>
        <v>2.0874999999999999E-3</v>
      </c>
      <c r="CI152" s="3">
        <f t="shared" si="347"/>
        <v>2.3529411764705804E-6</v>
      </c>
      <c r="CJ152" s="3">
        <f t="shared" si="348"/>
        <v>0</v>
      </c>
      <c r="CK152" s="3">
        <f t="shared" si="328"/>
        <v>1.0588235294117648E-6</v>
      </c>
      <c r="CL152" s="214">
        <f t="shared" si="329"/>
        <v>1.35E-2</v>
      </c>
      <c r="CM152" s="50">
        <f t="shared" si="349"/>
        <v>1.366068603102477E-2</v>
      </c>
    </row>
    <row r="153" spans="16:91">
      <c r="P153" s="116">
        <f t="shared" si="219"/>
        <v>90.000000000000014</v>
      </c>
      <c r="Q153" s="135">
        <f t="shared" si="275"/>
        <v>0.45000000000000007</v>
      </c>
      <c r="R153" s="49">
        <f t="shared" si="276"/>
        <v>1.1111111111111109E-3</v>
      </c>
      <c r="S153" s="3">
        <f t="shared" si="277"/>
        <v>8.0000000000000002E-3</v>
      </c>
      <c r="T153" s="49">
        <f t="shared" si="278"/>
        <v>8.8888888888888578E-6</v>
      </c>
      <c r="U153" s="49">
        <f t="shared" si="279"/>
        <v>0</v>
      </c>
      <c r="V153" s="49">
        <f t="shared" si="280"/>
        <v>8.8888888888888887E-7</v>
      </c>
      <c r="W153" s="3">
        <f t="shared" si="281"/>
        <v>0.01</v>
      </c>
      <c r="X153" s="50">
        <f t="shared" si="330"/>
        <v>1.2855131301940229E-2</v>
      </c>
      <c r="Y153" s="3">
        <f t="shared" si="282"/>
        <v>1.1888888888888886E-3</v>
      </c>
      <c r="Z153" s="3">
        <f t="shared" si="283"/>
        <v>8.6999999999999994E-3</v>
      </c>
      <c r="AA153" s="3">
        <f t="shared" si="331"/>
        <v>8.8888888888888578E-6</v>
      </c>
      <c r="AB153" s="3">
        <f t="shared" si="332"/>
        <v>0</v>
      </c>
      <c r="AC153" s="3">
        <f t="shared" si="284"/>
        <v>8.8888888888888887E-7</v>
      </c>
      <c r="AD153" s="214">
        <f t="shared" si="285"/>
        <v>1.35E-2</v>
      </c>
      <c r="AE153" s="136">
        <f t="shared" si="333"/>
        <v>1.6105113237573392E-2</v>
      </c>
      <c r="AF153" s="16">
        <f t="shared" si="286"/>
        <v>0.45000000000000007</v>
      </c>
      <c r="AG153" s="49">
        <f t="shared" si="287"/>
        <v>1.7777777777777773E-5</v>
      </c>
      <c r="AH153" s="3">
        <f t="shared" si="288"/>
        <v>1.4999999999999999E-4</v>
      </c>
      <c r="AI153" s="49">
        <f t="shared" si="289"/>
        <v>1.1137494080606007E-7</v>
      </c>
      <c r="AJ153" s="49">
        <f t="shared" si="290"/>
        <v>2.5298221281346953E-6</v>
      </c>
      <c r="AK153" s="49">
        <f t="shared" si="291"/>
        <v>4.9999999999999998E-7</v>
      </c>
      <c r="AL153" s="3">
        <f t="shared" si="292"/>
        <v>0.01</v>
      </c>
      <c r="AM153" s="50">
        <f t="shared" si="334"/>
        <v>1.0001145793584543E-2</v>
      </c>
      <c r="AN153" s="3">
        <f t="shared" si="293"/>
        <v>2.5555555555555547E-5</v>
      </c>
      <c r="AO153" s="3">
        <f t="shared" si="294"/>
        <v>2.1999999999999998E-4</v>
      </c>
      <c r="AP153" s="3">
        <f t="shared" si="335"/>
        <v>1.1137494080606007E-7</v>
      </c>
      <c r="AQ153" s="3">
        <f t="shared" si="336"/>
        <v>2.5298221281346953E-6</v>
      </c>
      <c r="AR153" s="3">
        <f t="shared" si="295"/>
        <v>4.9999999999999998E-7</v>
      </c>
      <c r="AS153" s="214">
        <f t="shared" si="296"/>
        <v>1.35E-2</v>
      </c>
      <c r="AT153" s="50">
        <f t="shared" si="337"/>
        <v>1.3501821925460969E-2</v>
      </c>
      <c r="AU153" s="16">
        <f t="shared" si="297"/>
        <v>0.45000000000000007</v>
      </c>
      <c r="AV153" s="49">
        <f t="shared" si="298"/>
        <v>3.3333333333333327E-4</v>
      </c>
      <c r="AW153" s="3">
        <f t="shared" si="299"/>
        <v>8.0000000000000002E-3</v>
      </c>
      <c r="AX153" s="49">
        <f t="shared" si="300"/>
        <v>8.8888888888888578E-6</v>
      </c>
      <c r="AY153" s="49">
        <f t="shared" si="301"/>
        <v>1.6825529186138472E-3</v>
      </c>
      <c r="AZ153" s="49">
        <f t="shared" si="302"/>
        <v>8.8888888888888887E-7</v>
      </c>
      <c r="BA153" s="3">
        <f t="shared" si="303"/>
        <v>0.01</v>
      </c>
      <c r="BB153" s="50">
        <f t="shared" si="338"/>
        <v>1.2965327422054222E-2</v>
      </c>
      <c r="BC153" s="3">
        <f t="shared" si="304"/>
        <v>4.1111111111111101E-4</v>
      </c>
      <c r="BD153" s="3">
        <f t="shared" si="305"/>
        <v>8.6999999999999994E-3</v>
      </c>
      <c r="BE153" s="3">
        <f t="shared" si="339"/>
        <v>8.8888888888888578E-6</v>
      </c>
      <c r="BF153" s="3">
        <f t="shared" si="340"/>
        <v>1.6825529186138472E-3</v>
      </c>
      <c r="BG153" s="3">
        <f t="shared" si="306"/>
        <v>8.8888888888888887E-7</v>
      </c>
      <c r="BH153" s="214">
        <f t="shared" si="307"/>
        <v>1.35E-2</v>
      </c>
      <c r="BI153" s="50">
        <f t="shared" si="341"/>
        <v>1.6197553196878073E-2</v>
      </c>
      <c r="BJ153" s="16">
        <f t="shared" si="308"/>
        <v>0.45000000000000007</v>
      </c>
      <c r="BK153" s="49">
        <f t="shared" si="309"/>
        <v>3.3333333333333327E-4</v>
      </c>
      <c r="BL153" s="3">
        <f t="shared" si="310"/>
        <v>1E-3</v>
      </c>
      <c r="BM153" s="49">
        <f t="shared" si="311"/>
        <v>2.2222222222222145E-6</v>
      </c>
      <c r="BN153" s="49">
        <f t="shared" si="312"/>
        <v>7.9999999999999993E-5</v>
      </c>
      <c r="BO153" s="49">
        <f t="shared" si="313"/>
        <v>4.9999999999999998E-7</v>
      </c>
      <c r="BP153" s="3">
        <f t="shared" si="314"/>
        <v>0.01</v>
      </c>
      <c r="BQ153" s="50">
        <f t="shared" si="342"/>
        <v>1.0058463434827065E-2</v>
      </c>
      <c r="BR153" s="3">
        <f t="shared" si="315"/>
        <v>3.7222222222222214E-4</v>
      </c>
      <c r="BS153" s="3">
        <f t="shared" si="316"/>
        <v>1.175E-3</v>
      </c>
      <c r="BT153" s="3">
        <f t="shared" si="343"/>
        <v>2.2222222222222145E-6</v>
      </c>
      <c r="BU153" s="3">
        <f t="shared" si="344"/>
        <v>7.9999999999999993E-5</v>
      </c>
      <c r="BV153" s="3">
        <f t="shared" si="317"/>
        <v>4.9999999999999998E-7</v>
      </c>
      <c r="BW153" s="214">
        <f t="shared" si="318"/>
        <v>1.35E-2</v>
      </c>
      <c r="BX153" s="50">
        <f t="shared" si="345"/>
        <v>1.3558655722566541E-2</v>
      </c>
      <c r="BY153" s="16">
        <f t="shared" si="319"/>
        <v>0.45000000000000007</v>
      </c>
      <c r="BZ153" s="49">
        <f t="shared" si="320"/>
        <v>5.5555555555555545E-5</v>
      </c>
      <c r="CA153" s="3">
        <f t="shared" si="321"/>
        <v>2E-3</v>
      </c>
      <c r="CB153" s="49">
        <f t="shared" si="322"/>
        <v>2.2222222222222145E-6</v>
      </c>
      <c r="CC153" s="49">
        <f t="shared" si="323"/>
        <v>0</v>
      </c>
      <c r="CD153" s="49">
        <f t="shared" si="324"/>
        <v>9.9999999999999995E-7</v>
      </c>
      <c r="CE153" s="3">
        <f t="shared" si="325"/>
        <v>0.01</v>
      </c>
      <c r="CF153" s="50">
        <f t="shared" si="346"/>
        <v>1.0198202747131719E-2</v>
      </c>
      <c r="CG153" s="3">
        <f t="shared" si="326"/>
        <v>7.499999999999998E-5</v>
      </c>
      <c r="CH153" s="3">
        <f t="shared" si="327"/>
        <v>2.0874999999999999E-3</v>
      </c>
      <c r="CI153" s="3">
        <f t="shared" si="347"/>
        <v>2.2222222222222145E-6</v>
      </c>
      <c r="CJ153" s="3">
        <f t="shared" si="348"/>
        <v>0</v>
      </c>
      <c r="CK153" s="3">
        <f t="shared" si="328"/>
        <v>9.9999999999999995E-7</v>
      </c>
      <c r="CL153" s="214">
        <f t="shared" si="329"/>
        <v>1.35E-2</v>
      </c>
      <c r="CM153" s="50">
        <f t="shared" si="349"/>
        <v>1.3660659593211629E-2</v>
      </c>
    </row>
    <row r="154" spans="16:91">
      <c r="P154" s="116">
        <f t="shared" si="219"/>
        <v>95.000000000000014</v>
      </c>
      <c r="Q154" s="135">
        <f t="shared" si="275"/>
        <v>0.47500000000000003</v>
      </c>
      <c r="R154" s="49">
        <f t="shared" si="276"/>
        <v>1.0526315789473684E-3</v>
      </c>
      <c r="S154" s="3">
        <f t="shared" si="277"/>
        <v>8.0000000000000002E-3</v>
      </c>
      <c r="T154" s="49">
        <f t="shared" si="278"/>
        <v>8.4210526315789177E-6</v>
      </c>
      <c r="U154" s="49">
        <f t="shared" si="279"/>
        <v>0</v>
      </c>
      <c r="V154" s="49">
        <f t="shared" si="280"/>
        <v>8.4210526315789465E-7</v>
      </c>
      <c r="W154" s="3">
        <f t="shared" si="281"/>
        <v>0.01</v>
      </c>
      <c r="X154" s="50">
        <f t="shared" si="330"/>
        <v>1.2850129703474664E-2</v>
      </c>
      <c r="Y154" s="3">
        <f t="shared" si="282"/>
        <v>1.1263157894736843E-3</v>
      </c>
      <c r="Z154" s="3">
        <f t="shared" si="283"/>
        <v>8.6999999999999994E-3</v>
      </c>
      <c r="AA154" s="3">
        <f t="shared" si="331"/>
        <v>8.4210526315789177E-6</v>
      </c>
      <c r="AB154" s="3">
        <f t="shared" si="332"/>
        <v>0</v>
      </c>
      <c r="AC154" s="3">
        <f t="shared" si="284"/>
        <v>8.4210526315789465E-7</v>
      </c>
      <c r="AD154" s="214">
        <f t="shared" si="285"/>
        <v>1.35E-2</v>
      </c>
      <c r="AE154" s="136">
        <f t="shared" si="333"/>
        <v>1.6100547456840475E-2</v>
      </c>
      <c r="AF154" s="16">
        <f t="shared" si="286"/>
        <v>0.47500000000000003</v>
      </c>
      <c r="AG154" s="49">
        <f t="shared" si="287"/>
        <v>1.6842105263157893E-5</v>
      </c>
      <c r="AH154" s="3">
        <f t="shared" si="288"/>
        <v>1.4999999999999999E-4</v>
      </c>
      <c r="AI154" s="49">
        <f t="shared" si="289"/>
        <v>1.0551310181626744E-7</v>
      </c>
      <c r="AJ154" s="49">
        <f t="shared" si="290"/>
        <v>2.396673595074975E-6</v>
      </c>
      <c r="AK154" s="49">
        <f t="shared" si="291"/>
        <v>4.7368421052631574E-7</v>
      </c>
      <c r="AL154" s="3">
        <f t="shared" si="292"/>
        <v>0.01</v>
      </c>
      <c r="AM154" s="50">
        <f t="shared" si="334"/>
        <v>1.0001143655902968E-2</v>
      </c>
      <c r="AN154" s="3">
        <f t="shared" si="293"/>
        <v>2.4210526315789471E-5</v>
      </c>
      <c r="AO154" s="3">
        <f t="shared" si="294"/>
        <v>2.1999999999999998E-4</v>
      </c>
      <c r="AP154" s="3">
        <f t="shared" si="335"/>
        <v>1.0551310181626744E-7</v>
      </c>
      <c r="AQ154" s="3">
        <f t="shared" si="336"/>
        <v>2.396673595074975E-6</v>
      </c>
      <c r="AR154" s="3">
        <f t="shared" si="295"/>
        <v>4.7368421052631574E-7</v>
      </c>
      <c r="AS154" s="214">
        <f t="shared" si="296"/>
        <v>1.35E-2</v>
      </c>
      <c r="AT154" s="50">
        <f t="shared" si="337"/>
        <v>1.3501818906851521E-2</v>
      </c>
      <c r="AU154" s="16">
        <f t="shared" si="297"/>
        <v>0.47500000000000003</v>
      </c>
      <c r="AV154" s="49">
        <f t="shared" si="298"/>
        <v>3.1578947368421048E-4</v>
      </c>
      <c r="AW154" s="3">
        <f t="shared" si="299"/>
        <v>8.0000000000000002E-3</v>
      </c>
      <c r="AX154" s="49">
        <f t="shared" si="300"/>
        <v>8.4210526315789177E-6</v>
      </c>
      <c r="AY154" s="49">
        <f t="shared" si="301"/>
        <v>1.5939975018446975E-3</v>
      </c>
      <c r="AZ154" s="49">
        <f t="shared" si="302"/>
        <v>8.4210526315789465E-7</v>
      </c>
      <c r="BA154" s="3">
        <f t="shared" si="303"/>
        <v>0.01</v>
      </c>
      <c r="BB154" s="50">
        <f t="shared" si="338"/>
        <v>1.2949112817040425E-2</v>
      </c>
      <c r="BC154" s="3">
        <f t="shared" si="304"/>
        <v>3.8947368421052622E-4</v>
      </c>
      <c r="BD154" s="3">
        <f t="shared" si="305"/>
        <v>8.6999999999999994E-3</v>
      </c>
      <c r="BE154" s="3">
        <f t="shared" si="339"/>
        <v>8.4210526315789177E-6</v>
      </c>
      <c r="BF154" s="3">
        <f t="shared" si="340"/>
        <v>1.5939975018446975E-3</v>
      </c>
      <c r="BG154" s="3">
        <f t="shared" si="306"/>
        <v>8.4210526315789465E-7</v>
      </c>
      <c r="BH154" s="214">
        <f t="shared" si="307"/>
        <v>1.35E-2</v>
      </c>
      <c r="BI154" s="50">
        <f t="shared" si="341"/>
        <v>1.6183560652701923E-2</v>
      </c>
      <c r="BJ154" s="16">
        <f t="shared" si="308"/>
        <v>0.47500000000000003</v>
      </c>
      <c r="BK154" s="49">
        <f t="shared" si="309"/>
        <v>3.1578947368421048E-4</v>
      </c>
      <c r="BL154" s="3">
        <f t="shared" si="310"/>
        <v>1E-3</v>
      </c>
      <c r="BM154" s="49">
        <f t="shared" si="311"/>
        <v>2.1052631578947294E-6</v>
      </c>
      <c r="BN154" s="49">
        <f t="shared" si="312"/>
        <v>7.5789473684210524E-5</v>
      </c>
      <c r="BO154" s="49">
        <f t="shared" si="313"/>
        <v>4.7368421052631574E-7</v>
      </c>
      <c r="BP154" s="3">
        <f t="shared" si="314"/>
        <v>0.01</v>
      </c>
      <c r="BQ154" s="50">
        <f t="shared" si="342"/>
        <v>1.0057583580661632E-2</v>
      </c>
      <c r="BR154" s="3">
        <f t="shared" si="315"/>
        <v>3.5263157894736835E-4</v>
      </c>
      <c r="BS154" s="3">
        <f t="shared" si="316"/>
        <v>1.175E-3</v>
      </c>
      <c r="BT154" s="3">
        <f t="shared" si="343"/>
        <v>2.1052631578947294E-6</v>
      </c>
      <c r="BU154" s="3">
        <f t="shared" si="344"/>
        <v>7.5789473684210524E-5</v>
      </c>
      <c r="BV154" s="3">
        <f t="shared" si="317"/>
        <v>4.7368421052631574E-7</v>
      </c>
      <c r="BW154" s="214">
        <f t="shared" si="318"/>
        <v>1.35E-2</v>
      </c>
      <c r="BX154" s="50">
        <f t="shared" si="345"/>
        <v>1.355787513340361E-2</v>
      </c>
      <c r="BY154" s="16">
        <f t="shared" si="319"/>
        <v>0.47500000000000003</v>
      </c>
      <c r="BZ154" s="49">
        <f t="shared" si="320"/>
        <v>5.263157894736841E-5</v>
      </c>
      <c r="CA154" s="3">
        <f t="shared" si="321"/>
        <v>2E-3</v>
      </c>
      <c r="CB154" s="49">
        <f t="shared" si="322"/>
        <v>2.1052631578947294E-6</v>
      </c>
      <c r="CC154" s="49">
        <f t="shared" si="323"/>
        <v>0</v>
      </c>
      <c r="CD154" s="49">
        <f t="shared" si="324"/>
        <v>9.4736842105263149E-7</v>
      </c>
      <c r="CE154" s="3">
        <f t="shared" si="325"/>
        <v>0.01</v>
      </c>
      <c r="CF154" s="50">
        <f t="shared" si="346"/>
        <v>1.0198185967091921E-2</v>
      </c>
      <c r="CG154" s="3">
        <f t="shared" si="326"/>
        <v>7.1052631578947354E-5</v>
      </c>
      <c r="CH154" s="3">
        <f t="shared" si="327"/>
        <v>2.0874999999999999E-3</v>
      </c>
      <c r="CI154" s="3">
        <f t="shared" si="347"/>
        <v>2.1052631578947294E-6</v>
      </c>
      <c r="CJ154" s="3">
        <f t="shared" si="348"/>
        <v>0</v>
      </c>
      <c r="CK154" s="3">
        <f t="shared" si="328"/>
        <v>9.4736842105263149E-7</v>
      </c>
      <c r="CL154" s="214">
        <f t="shared" si="329"/>
        <v>1.35E-2</v>
      </c>
      <c r="CM154" s="50">
        <f t="shared" si="349"/>
        <v>1.3660637218851442E-2</v>
      </c>
    </row>
    <row r="155" spans="16:91">
      <c r="P155" s="116">
        <f t="shared" si="219"/>
        <v>100</v>
      </c>
      <c r="Q155" s="135">
        <f t="shared" si="275"/>
        <v>0.5</v>
      </c>
      <c r="R155" s="49">
        <f t="shared" si="276"/>
        <v>1E-3</v>
      </c>
      <c r="S155" s="3">
        <f t="shared" si="277"/>
        <v>8.0000000000000002E-3</v>
      </c>
      <c r="T155" s="49">
        <f t="shared" si="278"/>
        <v>7.9999999999999725E-6</v>
      </c>
      <c r="U155" s="49">
        <f t="shared" si="279"/>
        <v>0</v>
      </c>
      <c r="V155" s="49">
        <f t="shared" si="280"/>
        <v>8.0000000000000007E-7</v>
      </c>
      <c r="W155" s="3">
        <f t="shared" si="281"/>
        <v>0.01</v>
      </c>
      <c r="X155" s="50">
        <f t="shared" si="330"/>
        <v>1.2845857878709385E-2</v>
      </c>
      <c r="Y155" s="3">
        <f t="shared" si="282"/>
        <v>1.07E-3</v>
      </c>
      <c r="Z155" s="3">
        <f t="shared" si="283"/>
        <v>8.6999999999999994E-3</v>
      </c>
      <c r="AA155" s="3">
        <f t="shared" si="331"/>
        <v>7.9999999999999725E-6</v>
      </c>
      <c r="AB155" s="3">
        <f t="shared" si="332"/>
        <v>0</v>
      </c>
      <c r="AC155" s="3">
        <f t="shared" si="284"/>
        <v>8.0000000000000007E-7</v>
      </c>
      <c r="AD155" s="214">
        <f t="shared" si="285"/>
        <v>1.35E-2</v>
      </c>
      <c r="AE155" s="136">
        <f t="shared" si="333"/>
        <v>1.6096648242413698E-2</v>
      </c>
      <c r="AF155" s="16">
        <f t="shared" si="286"/>
        <v>0.5</v>
      </c>
      <c r="AG155" s="49">
        <f t="shared" si="287"/>
        <v>1.5999999999999999E-5</v>
      </c>
      <c r="AH155" s="3">
        <f t="shared" si="288"/>
        <v>1.4999999999999999E-4</v>
      </c>
      <c r="AI155" s="49">
        <f t="shared" si="289"/>
        <v>1.0023744672545408E-7</v>
      </c>
      <c r="AJ155" s="49">
        <f t="shared" si="290"/>
        <v>2.2768399153212262E-6</v>
      </c>
      <c r="AK155" s="49">
        <f t="shared" si="291"/>
        <v>4.5000000000000003E-7</v>
      </c>
      <c r="AL155" s="3">
        <f t="shared" si="292"/>
        <v>0.01</v>
      </c>
      <c r="AM155" s="50">
        <f t="shared" si="334"/>
        <v>1.0001141830784741E-2</v>
      </c>
      <c r="AN155" s="3">
        <f t="shared" si="293"/>
        <v>2.3E-5</v>
      </c>
      <c r="AO155" s="3">
        <f t="shared" si="294"/>
        <v>2.1999999999999998E-4</v>
      </c>
      <c r="AP155" s="3">
        <f t="shared" si="335"/>
        <v>1.0023744672545408E-7</v>
      </c>
      <c r="AQ155" s="3">
        <f t="shared" si="336"/>
        <v>2.2768399153212262E-6</v>
      </c>
      <c r="AR155" s="3">
        <f t="shared" si="295"/>
        <v>4.5000000000000003E-7</v>
      </c>
      <c r="AS155" s="214">
        <f t="shared" si="296"/>
        <v>1.35E-2</v>
      </c>
      <c r="AT155" s="50">
        <f t="shared" si="337"/>
        <v>1.3501816329611192E-2</v>
      </c>
      <c r="AU155" s="16">
        <f t="shared" si="297"/>
        <v>0.5</v>
      </c>
      <c r="AV155" s="49">
        <f t="shared" si="298"/>
        <v>2.9999999999999997E-4</v>
      </c>
      <c r="AW155" s="3">
        <f t="shared" si="299"/>
        <v>8.0000000000000002E-3</v>
      </c>
      <c r="AX155" s="49">
        <f t="shared" si="300"/>
        <v>7.9999999999999725E-6</v>
      </c>
      <c r="AY155" s="49">
        <f t="shared" si="301"/>
        <v>1.5142976267524628E-3</v>
      </c>
      <c r="AZ155" s="49">
        <f t="shared" si="302"/>
        <v>8.0000000000000007E-7</v>
      </c>
      <c r="BA155" s="3">
        <f t="shared" si="303"/>
        <v>0.01</v>
      </c>
      <c r="BB155" s="50">
        <f t="shared" si="338"/>
        <v>1.2935252965461002E-2</v>
      </c>
      <c r="BC155" s="3">
        <f t="shared" si="304"/>
        <v>3.6999999999999999E-4</v>
      </c>
      <c r="BD155" s="3">
        <f t="shared" si="305"/>
        <v>8.6999999999999994E-3</v>
      </c>
      <c r="BE155" s="3">
        <f t="shared" si="339"/>
        <v>7.9999999999999725E-6</v>
      </c>
      <c r="BF155" s="3">
        <f t="shared" si="340"/>
        <v>1.5142976267524628E-3</v>
      </c>
      <c r="BG155" s="3">
        <f t="shared" si="306"/>
        <v>8.0000000000000007E-7</v>
      </c>
      <c r="BH155" s="214">
        <f t="shared" si="307"/>
        <v>1.35E-2</v>
      </c>
      <c r="BI155" s="50">
        <f t="shared" si="341"/>
        <v>1.6171604464251931E-2</v>
      </c>
      <c r="BJ155" s="16">
        <f t="shared" si="308"/>
        <v>0.5</v>
      </c>
      <c r="BK155" s="49">
        <f t="shared" si="309"/>
        <v>2.9999999999999997E-4</v>
      </c>
      <c r="BL155" s="3">
        <f t="shared" si="310"/>
        <v>1E-3</v>
      </c>
      <c r="BM155" s="49">
        <f t="shared" si="311"/>
        <v>1.9999999999999931E-6</v>
      </c>
      <c r="BN155" s="49">
        <f t="shared" si="312"/>
        <v>7.2000000000000002E-5</v>
      </c>
      <c r="BO155" s="49">
        <f t="shared" si="313"/>
        <v>4.5000000000000003E-7</v>
      </c>
      <c r="BP155" s="3">
        <f t="shared" si="314"/>
        <v>0.01</v>
      </c>
      <c r="BQ155" s="50">
        <f t="shared" si="342"/>
        <v>1.005683231452628E-2</v>
      </c>
      <c r="BR155" s="3">
        <f t="shared" si="315"/>
        <v>3.3499999999999996E-4</v>
      </c>
      <c r="BS155" s="3">
        <f t="shared" si="316"/>
        <v>1.175E-3</v>
      </c>
      <c r="BT155" s="3">
        <f t="shared" si="343"/>
        <v>1.9999999999999931E-6</v>
      </c>
      <c r="BU155" s="3">
        <f t="shared" si="344"/>
        <v>7.2000000000000002E-5</v>
      </c>
      <c r="BV155" s="3">
        <f t="shared" si="317"/>
        <v>4.5000000000000003E-7</v>
      </c>
      <c r="BW155" s="214">
        <f t="shared" si="318"/>
        <v>1.35E-2</v>
      </c>
      <c r="BX155" s="50">
        <f t="shared" si="345"/>
        <v>1.3557208643467135E-2</v>
      </c>
      <c r="BY155" s="16">
        <f t="shared" si="319"/>
        <v>0.5</v>
      </c>
      <c r="BZ155" s="49">
        <f t="shared" si="320"/>
        <v>4.9999999999999996E-5</v>
      </c>
      <c r="CA155" s="3">
        <f t="shared" si="321"/>
        <v>2E-3</v>
      </c>
      <c r="CB155" s="49">
        <f t="shared" si="322"/>
        <v>1.9999999999999931E-6</v>
      </c>
      <c r="CC155" s="49">
        <f t="shared" si="323"/>
        <v>0</v>
      </c>
      <c r="CD155" s="49">
        <f t="shared" si="324"/>
        <v>9.0000000000000007E-7</v>
      </c>
      <c r="CE155" s="3">
        <f t="shared" si="325"/>
        <v>0.01</v>
      </c>
      <c r="CF155" s="50">
        <f t="shared" si="346"/>
        <v>1.0198171640544202E-2</v>
      </c>
      <c r="CG155" s="3">
        <f t="shared" si="326"/>
        <v>6.7499999999999987E-5</v>
      </c>
      <c r="CH155" s="3">
        <f t="shared" si="327"/>
        <v>2.0874999999999999E-3</v>
      </c>
      <c r="CI155" s="3">
        <f t="shared" si="347"/>
        <v>1.9999999999999931E-6</v>
      </c>
      <c r="CJ155" s="3">
        <f t="shared" si="348"/>
        <v>0</v>
      </c>
      <c r="CK155" s="3">
        <f t="shared" si="328"/>
        <v>9.0000000000000007E-7</v>
      </c>
      <c r="CL155" s="214">
        <f t="shared" si="329"/>
        <v>1.35E-2</v>
      </c>
      <c r="CM155" s="50">
        <f t="shared" si="349"/>
        <v>1.3660618115956539E-2</v>
      </c>
    </row>
    <row r="156" spans="16:91">
      <c r="P156" s="116">
        <f t="shared" si="219"/>
        <v>150</v>
      </c>
      <c r="Q156" s="135">
        <f t="shared" si="275"/>
        <v>0.75</v>
      </c>
      <c r="R156" s="49">
        <f t="shared" si="276"/>
        <v>6.6666666666666664E-4</v>
      </c>
      <c r="S156" s="3">
        <f t="shared" si="277"/>
        <v>8.0000000000000002E-3</v>
      </c>
      <c r="T156" s="49">
        <f t="shared" si="278"/>
        <v>5.333333333333315E-6</v>
      </c>
      <c r="U156" s="49">
        <f t="shared" si="279"/>
        <v>0</v>
      </c>
      <c r="V156" s="49">
        <f t="shared" si="280"/>
        <v>5.3333333333333334E-7</v>
      </c>
      <c r="W156" s="3">
        <f t="shared" si="281"/>
        <v>0.01</v>
      </c>
      <c r="X156" s="50">
        <f t="shared" si="330"/>
        <v>1.2823867758381027E-2</v>
      </c>
      <c r="Y156" s="3">
        <f t="shared" si="282"/>
        <v>7.1333333333333329E-4</v>
      </c>
      <c r="Z156" s="3">
        <f t="shared" si="283"/>
        <v>8.6999999999999994E-3</v>
      </c>
      <c r="AA156" s="3">
        <f t="shared" si="331"/>
        <v>5.333333333333315E-6</v>
      </c>
      <c r="AB156" s="3">
        <f t="shared" si="332"/>
        <v>0</v>
      </c>
      <c r="AC156" s="3">
        <f t="shared" si="284"/>
        <v>5.3333333333333334E-7</v>
      </c>
      <c r="AD156" s="214">
        <f t="shared" si="285"/>
        <v>1.35E-2</v>
      </c>
      <c r="AE156" s="136">
        <f t="shared" si="333"/>
        <v>1.6076581790362719E-2</v>
      </c>
      <c r="AF156" s="16">
        <f t="shared" si="286"/>
        <v>0.75</v>
      </c>
      <c r="AG156" s="49">
        <f t="shared" si="287"/>
        <v>1.0666666666666666E-5</v>
      </c>
      <c r="AH156" s="3">
        <f t="shared" si="288"/>
        <v>1.4999999999999999E-4</v>
      </c>
      <c r="AI156" s="49">
        <f t="shared" si="289"/>
        <v>6.6824964483636046E-8</v>
      </c>
      <c r="AJ156" s="49">
        <f t="shared" si="290"/>
        <v>1.5178932768808176E-6</v>
      </c>
      <c r="AK156" s="49">
        <f t="shared" si="291"/>
        <v>3.0000000000000004E-7</v>
      </c>
      <c r="AL156" s="3">
        <f t="shared" si="292"/>
        <v>0.01</v>
      </c>
      <c r="AM156" s="50">
        <f t="shared" si="334"/>
        <v>1.0001132445200001E-2</v>
      </c>
      <c r="AN156" s="3">
        <f t="shared" si="293"/>
        <v>1.5333333333333331E-5</v>
      </c>
      <c r="AO156" s="3">
        <f t="shared" si="294"/>
        <v>2.1999999999999998E-4</v>
      </c>
      <c r="AP156" s="3">
        <f t="shared" si="335"/>
        <v>6.6824964483636046E-8</v>
      </c>
      <c r="AQ156" s="3">
        <f t="shared" si="336"/>
        <v>1.5178932768808176E-6</v>
      </c>
      <c r="AR156" s="3">
        <f t="shared" si="295"/>
        <v>3.0000000000000004E-7</v>
      </c>
      <c r="AS156" s="214">
        <f t="shared" si="296"/>
        <v>1.35E-2</v>
      </c>
      <c r="AT156" s="50">
        <f t="shared" si="337"/>
        <v>1.350180307627352E-2</v>
      </c>
      <c r="AU156" s="16">
        <f t="shared" si="297"/>
        <v>0.75</v>
      </c>
      <c r="AV156" s="49">
        <f t="shared" si="298"/>
        <v>1.9999999999999998E-4</v>
      </c>
      <c r="AW156" s="3">
        <f t="shared" si="299"/>
        <v>8.0000000000000002E-3</v>
      </c>
      <c r="AX156" s="49">
        <f t="shared" si="300"/>
        <v>5.333333333333315E-6</v>
      </c>
      <c r="AY156" s="49">
        <f t="shared" si="301"/>
        <v>1.0095317511683085E-3</v>
      </c>
      <c r="AZ156" s="49">
        <f t="shared" si="302"/>
        <v>5.3333333333333334E-7</v>
      </c>
      <c r="BA156" s="3">
        <f t="shared" si="303"/>
        <v>0.01</v>
      </c>
      <c r="BB156" s="50">
        <f t="shared" si="338"/>
        <v>1.2863743524261732E-2</v>
      </c>
      <c r="BC156" s="3">
        <f t="shared" si="304"/>
        <v>2.4666666666666663E-4</v>
      </c>
      <c r="BD156" s="3">
        <f t="shared" si="305"/>
        <v>8.6999999999999994E-3</v>
      </c>
      <c r="BE156" s="3">
        <f t="shared" si="339"/>
        <v>5.333333333333315E-6</v>
      </c>
      <c r="BF156" s="3">
        <f t="shared" si="340"/>
        <v>1.0095317511683085E-3</v>
      </c>
      <c r="BG156" s="3">
        <f t="shared" si="306"/>
        <v>5.3333333333333334E-7</v>
      </c>
      <c r="BH156" s="214">
        <f t="shared" si="307"/>
        <v>1.35E-2</v>
      </c>
      <c r="BI156" s="50">
        <f t="shared" si="341"/>
        <v>1.6109980218598972E-2</v>
      </c>
      <c r="BJ156" s="16">
        <f t="shared" si="308"/>
        <v>0.75</v>
      </c>
      <c r="BK156" s="49">
        <f t="shared" si="309"/>
        <v>1.9999999999999998E-4</v>
      </c>
      <c r="BL156" s="3">
        <f t="shared" si="310"/>
        <v>1E-3</v>
      </c>
      <c r="BM156" s="49">
        <f t="shared" si="311"/>
        <v>1.3333333333333288E-6</v>
      </c>
      <c r="BN156" s="49">
        <f t="shared" si="312"/>
        <v>4.8000000000000001E-5</v>
      </c>
      <c r="BO156" s="49">
        <f t="shared" si="313"/>
        <v>3.0000000000000004E-7</v>
      </c>
      <c r="BP156" s="3">
        <f t="shared" si="314"/>
        <v>0.01</v>
      </c>
      <c r="BQ156" s="50">
        <f t="shared" si="342"/>
        <v>1.0052968079184928E-2</v>
      </c>
      <c r="BR156" s="3">
        <f t="shared" si="315"/>
        <v>2.233333333333333E-4</v>
      </c>
      <c r="BS156" s="3">
        <f t="shared" si="316"/>
        <v>1.175E-3</v>
      </c>
      <c r="BT156" s="3">
        <f t="shared" si="343"/>
        <v>1.3333333333333288E-6</v>
      </c>
      <c r="BU156" s="3">
        <f t="shared" si="344"/>
        <v>4.8000000000000001E-5</v>
      </c>
      <c r="BV156" s="3">
        <f t="shared" si="317"/>
        <v>3.0000000000000004E-7</v>
      </c>
      <c r="BW156" s="214">
        <f t="shared" si="318"/>
        <v>1.35E-2</v>
      </c>
      <c r="BX156" s="50">
        <f t="shared" si="345"/>
        <v>1.3553780734581444E-2</v>
      </c>
      <c r="BY156" s="16">
        <f t="shared" si="319"/>
        <v>0.75</v>
      </c>
      <c r="BZ156" s="49">
        <f t="shared" si="320"/>
        <v>3.3333333333333328E-5</v>
      </c>
      <c r="CA156" s="3">
        <f t="shared" si="321"/>
        <v>2E-3</v>
      </c>
      <c r="CB156" s="49">
        <f t="shared" si="322"/>
        <v>1.3333333333333288E-6</v>
      </c>
      <c r="CC156" s="49">
        <f t="shared" si="323"/>
        <v>0</v>
      </c>
      <c r="CD156" s="49">
        <f t="shared" si="324"/>
        <v>6.0000000000000008E-7</v>
      </c>
      <c r="CE156" s="3">
        <f t="shared" si="325"/>
        <v>0.01</v>
      </c>
      <c r="CF156" s="50">
        <f t="shared" si="346"/>
        <v>1.019809796666897E-2</v>
      </c>
      <c r="CG156" s="3">
        <f t="shared" si="326"/>
        <v>4.4999999999999996E-5</v>
      </c>
      <c r="CH156" s="3">
        <f t="shared" si="327"/>
        <v>2.0874999999999999E-3</v>
      </c>
      <c r="CI156" s="3">
        <f t="shared" si="347"/>
        <v>1.3333333333333288E-6</v>
      </c>
      <c r="CJ156" s="3">
        <f t="shared" si="348"/>
        <v>0</v>
      </c>
      <c r="CK156" s="3">
        <f t="shared" si="328"/>
        <v>6.0000000000000008E-7</v>
      </c>
      <c r="CL156" s="214">
        <f t="shared" si="329"/>
        <v>1.35E-2</v>
      </c>
      <c r="CM156" s="50">
        <f t="shared" si="349"/>
        <v>1.3660519879850026E-2</v>
      </c>
    </row>
    <row r="157" spans="16:91">
      <c r="P157" s="116">
        <f t="shared" si="219"/>
        <v>200</v>
      </c>
      <c r="Q157" s="135">
        <f t="shared" si="275"/>
        <v>1</v>
      </c>
      <c r="R157" s="49">
        <f t="shared" si="276"/>
        <v>5.0000000000000001E-4</v>
      </c>
      <c r="S157" s="3">
        <f t="shared" si="277"/>
        <v>8.0000000000000002E-3</v>
      </c>
      <c r="T157" s="49">
        <f t="shared" si="278"/>
        <v>3.9999999999999863E-6</v>
      </c>
      <c r="U157" s="49">
        <f t="shared" si="279"/>
        <v>0</v>
      </c>
      <c r="V157" s="49">
        <f t="shared" si="280"/>
        <v>4.0000000000000003E-7</v>
      </c>
      <c r="W157" s="3">
        <f t="shared" si="281"/>
        <v>0.01</v>
      </c>
      <c r="X157" s="50">
        <f t="shared" si="330"/>
        <v>1.2816162302343085E-2</v>
      </c>
      <c r="Y157" s="3">
        <f t="shared" si="282"/>
        <v>5.3499999999999999E-4</v>
      </c>
      <c r="Z157" s="3">
        <f t="shared" si="283"/>
        <v>8.6999999999999994E-3</v>
      </c>
      <c r="AA157" s="3">
        <f t="shared" si="331"/>
        <v>3.9999999999999863E-6</v>
      </c>
      <c r="AB157" s="3">
        <f t="shared" si="332"/>
        <v>0</v>
      </c>
      <c r="AC157" s="3">
        <f t="shared" si="284"/>
        <v>4.0000000000000003E-7</v>
      </c>
      <c r="AD157" s="214">
        <f t="shared" si="285"/>
        <v>1.35E-2</v>
      </c>
      <c r="AE157" s="136">
        <f t="shared" si="333"/>
        <v>1.6069552612316247E-2</v>
      </c>
      <c r="AF157" s="16">
        <f t="shared" si="286"/>
        <v>1</v>
      </c>
      <c r="AG157" s="49">
        <f t="shared" si="287"/>
        <v>7.9999999999999996E-6</v>
      </c>
      <c r="AH157" s="3">
        <f t="shared" si="288"/>
        <v>1.4999999999999999E-4</v>
      </c>
      <c r="AI157" s="49">
        <f t="shared" si="289"/>
        <v>5.0118723362727038E-8</v>
      </c>
      <c r="AJ157" s="49">
        <f t="shared" si="290"/>
        <v>1.1384199576606131E-6</v>
      </c>
      <c r="AK157" s="49">
        <f t="shared" si="291"/>
        <v>2.2500000000000002E-7</v>
      </c>
      <c r="AL157" s="3">
        <f t="shared" si="292"/>
        <v>0.01</v>
      </c>
      <c r="AM157" s="50">
        <f t="shared" si="334"/>
        <v>1.0001129160243262E-2</v>
      </c>
      <c r="AN157" s="3">
        <f t="shared" si="293"/>
        <v>1.15E-5</v>
      </c>
      <c r="AO157" s="3">
        <f t="shared" si="294"/>
        <v>2.1999999999999998E-4</v>
      </c>
      <c r="AP157" s="3">
        <f t="shared" si="335"/>
        <v>5.0118723362727038E-8</v>
      </c>
      <c r="AQ157" s="3">
        <f t="shared" si="336"/>
        <v>1.1384199576606131E-6</v>
      </c>
      <c r="AR157" s="3">
        <f t="shared" si="295"/>
        <v>2.2500000000000002E-7</v>
      </c>
      <c r="AS157" s="214">
        <f t="shared" si="296"/>
        <v>1.35E-2</v>
      </c>
      <c r="AT157" s="50">
        <f t="shared" si="337"/>
        <v>1.3501798437602261E-2</v>
      </c>
      <c r="AU157" s="16">
        <f t="shared" si="297"/>
        <v>1</v>
      </c>
      <c r="AV157" s="49">
        <f t="shared" si="298"/>
        <v>1.4999999999999999E-4</v>
      </c>
      <c r="AW157" s="3">
        <f t="shared" si="299"/>
        <v>8.0000000000000002E-3</v>
      </c>
      <c r="AX157" s="49">
        <f t="shared" si="300"/>
        <v>3.9999999999999863E-6</v>
      </c>
      <c r="AY157" s="49">
        <f t="shared" si="301"/>
        <v>7.5714881337623141E-4</v>
      </c>
      <c r="AZ157" s="49">
        <f t="shared" si="302"/>
        <v>4.0000000000000003E-7</v>
      </c>
      <c r="BA157" s="3">
        <f t="shared" si="303"/>
        <v>0.01</v>
      </c>
      <c r="BB157" s="50">
        <f t="shared" si="338"/>
        <v>1.283862112222792E-2</v>
      </c>
      <c r="BC157" s="3">
        <f t="shared" si="304"/>
        <v>1.85E-4</v>
      </c>
      <c r="BD157" s="3">
        <f t="shared" si="305"/>
        <v>8.6999999999999994E-3</v>
      </c>
      <c r="BE157" s="3">
        <f t="shared" si="339"/>
        <v>3.9999999999999863E-6</v>
      </c>
      <c r="BF157" s="3">
        <f t="shared" si="340"/>
        <v>7.5714881337623141E-4</v>
      </c>
      <c r="BG157" s="3">
        <f t="shared" si="306"/>
        <v>4.0000000000000003E-7</v>
      </c>
      <c r="BH157" s="214">
        <f t="shared" si="307"/>
        <v>1.35E-2</v>
      </c>
      <c r="BI157" s="50">
        <f t="shared" si="341"/>
        <v>1.6088355967501876E-2</v>
      </c>
      <c r="BJ157" s="16">
        <f t="shared" si="308"/>
        <v>1</v>
      </c>
      <c r="BK157" s="49">
        <f t="shared" si="309"/>
        <v>1.4999999999999999E-4</v>
      </c>
      <c r="BL157" s="3">
        <f t="shared" si="310"/>
        <v>1E-3</v>
      </c>
      <c r="BM157" s="49">
        <f t="shared" si="311"/>
        <v>9.9999999999999657E-7</v>
      </c>
      <c r="BN157" s="49">
        <f t="shared" si="312"/>
        <v>3.6000000000000001E-5</v>
      </c>
      <c r="BO157" s="49">
        <f t="shared" si="313"/>
        <v>2.2500000000000002E-7</v>
      </c>
      <c r="BP157" s="3">
        <f t="shared" si="314"/>
        <v>0.01</v>
      </c>
      <c r="BQ157" s="50">
        <f t="shared" si="342"/>
        <v>1.0051615245851037E-2</v>
      </c>
      <c r="BR157" s="3">
        <f t="shared" si="315"/>
        <v>1.6749999999999998E-4</v>
      </c>
      <c r="BS157" s="3">
        <f t="shared" si="316"/>
        <v>1.175E-3</v>
      </c>
      <c r="BT157" s="3">
        <f t="shared" si="343"/>
        <v>9.9999999999999657E-7</v>
      </c>
      <c r="BU157" s="3">
        <f t="shared" si="344"/>
        <v>3.6000000000000001E-5</v>
      </c>
      <c r="BV157" s="3">
        <f t="shared" si="317"/>
        <v>2.2500000000000002E-7</v>
      </c>
      <c r="BW157" s="214">
        <f t="shared" si="318"/>
        <v>1.35E-2</v>
      </c>
      <c r="BX157" s="50">
        <f t="shared" si="345"/>
        <v>1.3552580761634478E-2</v>
      </c>
      <c r="BY157" s="16">
        <f t="shared" si="319"/>
        <v>1</v>
      </c>
      <c r="BZ157" s="49">
        <f t="shared" si="320"/>
        <v>2.4999999999999998E-5</v>
      </c>
      <c r="CA157" s="3">
        <f t="shared" si="321"/>
        <v>2E-3</v>
      </c>
      <c r="CB157" s="49">
        <f t="shared" si="322"/>
        <v>9.9999999999999657E-7</v>
      </c>
      <c r="CC157" s="49">
        <f t="shared" si="323"/>
        <v>0</v>
      </c>
      <c r="CD157" s="49">
        <f t="shared" si="324"/>
        <v>4.5000000000000003E-7</v>
      </c>
      <c r="CE157" s="3">
        <f t="shared" si="325"/>
        <v>0.01</v>
      </c>
      <c r="CF157" s="50">
        <f t="shared" si="346"/>
        <v>1.0198072180686897E-2</v>
      </c>
      <c r="CG157" s="3">
        <f t="shared" si="326"/>
        <v>3.3749999999999994E-5</v>
      </c>
      <c r="CH157" s="3">
        <f t="shared" si="327"/>
        <v>2.0874999999999999E-3</v>
      </c>
      <c r="CI157" s="3">
        <f t="shared" si="347"/>
        <v>9.9999999999999657E-7</v>
      </c>
      <c r="CJ157" s="3">
        <f t="shared" si="348"/>
        <v>0</v>
      </c>
      <c r="CK157" s="3">
        <f t="shared" si="328"/>
        <v>4.5000000000000003E-7</v>
      </c>
      <c r="CL157" s="214">
        <f t="shared" si="329"/>
        <v>1.35E-2</v>
      </c>
      <c r="CM157" s="50">
        <f t="shared" si="349"/>
        <v>1.3660485497045849E-2</v>
      </c>
    </row>
    <row r="158" spans="16:91">
      <c r="P158" s="116">
        <f t="shared" ref="P158:P179" si="350">10*P140</f>
        <v>250</v>
      </c>
      <c r="Q158" s="135">
        <f t="shared" si="275"/>
        <v>1.25</v>
      </c>
      <c r="R158" s="49">
        <f t="shared" si="276"/>
        <v>4.0000000000000002E-4</v>
      </c>
      <c r="S158" s="3">
        <f t="shared" si="277"/>
        <v>8.0000000000000002E-3</v>
      </c>
      <c r="T158" s="49">
        <f t="shared" si="278"/>
        <v>3.1999999999999888E-6</v>
      </c>
      <c r="U158" s="49">
        <f t="shared" si="279"/>
        <v>0</v>
      </c>
      <c r="V158" s="49">
        <f t="shared" si="280"/>
        <v>3.2000000000000001E-7</v>
      </c>
      <c r="W158" s="3">
        <f t="shared" si="281"/>
        <v>0.01</v>
      </c>
      <c r="X158" s="50">
        <f t="shared" si="330"/>
        <v>1.2812594208137556E-2</v>
      </c>
      <c r="Y158" s="3">
        <f t="shared" si="282"/>
        <v>4.28E-4</v>
      </c>
      <c r="Z158" s="3">
        <f t="shared" si="283"/>
        <v>8.6999999999999994E-3</v>
      </c>
      <c r="AA158" s="3">
        <f t="shared" si="331"/>
        <v>3.1999999999999888E-6</v>
      </c>
      <c r="AB158" s="3">
        <f t="shared" si="332"/>
        <v>0</v>
      </c>
      <c r="AC158" s="3">
        <f t="shared" si="284"/>
        <v>3.2000000000000001E-7</v>
      </c>
      <c r="AD158" s="214">
        <f t="shared" si="285"/>
        <v>1.35E-2</v>
      </c>
      <c r="AE158" s="136">
        <f t="shared" si="333"/>
        <v>1.6066298065901801E-2</v>
      </c>
      <c r="AF158" s="16">
        <f t="shared" si="286"/>
        <v>1.25</v>
      </c>
      <c r="AG158" s="49">
        <f t="shared" si="287"/>
        <v>6.3999999999999997E-6</v>
      </c>
      <c r="AH158" s="3">
        <f t="shared" si="288"/>
        <v>1.4999999999999999E-4</v>
      </c>
      <c r="AI158" s="49">
        <f t="shared" si="289"/>
        <v>4.0094978690181632E-8</v>
      </c>
      <c r="AJ158" s="49">
        <f t="shared" si="290"/>
        <v>9.107359661284905E-7</v>
      </c>
      <c r="AK158" s="49">
        <f t="shared" si="291"/>
        <v>1.8000000000000002E-7</v>
      </c>
      <c r="AL158" s="3">
        <f t="shared" si="292"/>
        <v>0.01</v>
      </c>
      <c r="AM158" s="50">
        <f t="shared" si="334"/>
        <v>1.0001127639777205E-2</v>
      </c>
      <c r="AN158" s="3">
        <f t="shared" si="293"/>
        <v>9.2E-6</v>
      </c>
      <c r="AO158" s="3">
        <f t="shared" si="294"/>
        <v>2.1999999999999998E-4</v>
      </c>
      <c r="AP158" s="3">
        <f t="shared" si="335"/>
        <v>4.0094978690181632E-8</v>
      </c>
      <c r="AQ158" s="3">
        <f t="shared" si="336"/>
        <v>9.107359661284905E-7</v>
      </c>
      <c r="AR158" s="3">
        <f t="shared" si="295"/>
        <v>1.8000000000000002E-7</v>
      </c>
      <c r="AS158" s="214">
        <f t="shared" si="296"/>
        <v>1.35E-2</v>
      </c>
      <c r="AT158" s="50">
        <f t="shared" si="337"/>
        <v>1.3501796290559595E-2</v>
      </c>
      <c r="AU158" s="16">
        <f t="shared" si="297"/>
        <v>1.25</v>
      </c>
      <c r="AV158" s="49">
        <f t="shared" si="298"/>
        <v>1.1999999999999999E-4</v>
      </c>
      <c r="AW158" s="3">
        <f t="shared" si="299"/>
        <v>8.0000000000000002E-3</v>
      </c>
      <c r="AX158" s="49">
        <f t="shared" si="300"/>
        <v>3.1999999999999888E-6</v>
      </c>
      <c r="AY158" s="49">
        <f t="shared" si="301"/>
        <v>6.0571905070098508E-4</v>
      </c>
      <c r="AZ158" s="49">
        <f t="shared" si="302"/>
        <v>3.2000000000000001E-7</v>
      </c>
      <c r="BA158" s="3">
        <f t="shared" si="303"/>
        <v>0.01</v>
      </c>
      <c r="BB158" s="50">
        <f t="shared" si="338"/>
        <v>1.2826976381239455E-2</v>
      </c>
      <c r="BC158" s="3">
        <f t="shared" si="304"/>
        <v>1.4799999999999999E-4</v>
      </c>
      <c r="BD158" s="3">
        <f t="shared" si="305"/>
        <v>8.6999999999999994E-3</v>
      </c>
      <c r="BE158" s="3">
        <f t="shared" si="339"/>
        <v>3.1999999999999888E-6</v>
      </c>
      <c r="BF158" s="3">
        <f t="shared" si="340"/>
        <v>6.0571905070098508E-4</v>
      </c>
      <c r="BG158" s="3">
        <f t="shared" si="306"/>
        <v>3.2000000000000001E-7</v>
      </c>
      <c r="BH158" s="214">
        <f t="shared" si="307"/>
        <v>1.35E-2</v>
      </c>
      <c r="BI158" s="50">
        <f t="shared" si="341"/>
        <v>1.6078337182423873E-2</v>
      </c>
      <c r="BJ158" s="16">
        <f t="shared" si="308"/>
        <v>1.25</v>
      </c>
      <c r="BK158" s="49">
        <f t="shared" si="309"/>
        <v>1.1999999999999999E-4</v>
      </c>
      <c r="BL158" s="3">
        <f t="shared" si="310"/>
        <v>1E-3</v>
      </c>
      <c r="BM158" s="49">
        <f t="shared" si="311"/>
        <v>7.9999999999999721E-7</v>
      </c>
      <c r="BN158" s="49">
        <f t="shared" si="312"/>
        <v>2.8800000000000002E-5</v>
      </c>
      <c r="BO158" s="49">
        <f t="shared" si="313"/>
        <v>1.8000000000000002E-7</v>
      </c>
      <c r="BP158" s="3">
        <f t="shared" si="314"/>
        <v>0.01</v>
      </c>
      <c r="BQ158" s="50">
        <f t="shared" si="342"/>
        <v>1.0050989015634233E-2</v>
      </c>
      <c r="BR158" s="3">
        <f t="shared" si="315"/>
        <v>1.3399999999999998E-4</v>
      </c>
      <c r="BS158" s="3">
        <f t="shared" si="316"/>
        <v>1.175E-3</v>
      </c>
      <c r="BT158" s="3">
        <f t="shared" si="343"/>
        <v>7.9999999999999721E-7</v>
      </c>
      <c r="BU158" s="3">
        <f t="shared" si="344"/>
        <v>2.8800000000000002E-5</v>
      </c>
      <c r="BV158" s="3">
        <f t="shared" si="317"/>
        <v>1.8000000000000002E-7</v>
      </c>
      <c r="BW158" s="214">
        <f t="shared" si="318"/>
        <v>1.35E-2</v>
      </c>
      <c r="BX158" s="50">
        <f t="shared" si="345"/>
        <v>1.355202530961332E-2</v>
      </c>
      <c r="BY158" s="16">
        <f t="shared" si="319"/>
        <v>1.25</v>
      </c>
      <c r="BZ158" s="49">
        <f t="shared" si="320"/>
        <v>1.9999999999999998E-5</v>
      </c>
      <c r="CA158" s="3">
        <f t="shared" si="321"/>
        <v>2E-3</v>
      </c>
      <c r="CB158" s="49">
        <f t="shared" si="322"/>
        <v>7.9999999999999721E-7</v>
      </c>
      <c r="CC158" s="49">
        <f t="shared" si="323"/>
        <v>0</v>
      </c>
      <c r="CD158" s="49">
        <f t="shared" si="324"/>
        <v>3.6000000000000005E-7</v>
      </c>
      <c r="CE158" s="3">
        <f t="shared" si="325"/>
        <v>0.01</v>
      </c>
      <c r="CF158" s="50">
        <f t="shared" si="346"/>
        <v>1.0198060245438836E-2</v>
      </c>
      <c r="CG158" s="3">
        <f t="shared" si="326"/>
        <v>2.6999999999999999E-5</v>
      </c>
      <c r="CH158" s="3">
        <f t="shared" si="327"/>
        <v>2.0874999999999999E-3</v>
      </c>
      <c r="CI158" s="3">
        <f t="shared" si="347"/>
        <v>7.9999999999999721E-7</v>
      </c>
      <c r="CJ158" s="3">
        <f t="shared" si="348"/>
        <v>0</v>
      </c>
      <c r="CK158" s="3">
        <f t="shared" si="328"/>
        <v>3.6000000000000005E-7</v>
      </c>
      <c r="CL158" s="214">
        <f t="shared" si="329"/>
        <v>1.35E-2</v>
      </c>
      <c r="CM158" s="50">
        <f t="shared" si="349"/>
        <v>1.3660469582690047E-2</v>
      </c>
    </row>
    <row r="159" spans="16:91">
      <c r="P159" s="116">
        <f t="shared" si="350"/>
        <v>300</v>
      </c>
      <c r="Q159" s="135">
        <f t="shared" si="275"/>
        <v>1.5</v>
      </c>
      <c r="R159" s="49">
        <f t="shared" si="276"/>
        <v>3.3333333333333332E-4</v>
      </c>
      <c r="S159" s="3">
        <f t="shared" si="277"/>
        <v>8.0000000000000002E-3</v>
      </c>
      <c r="T159" s="49">
        <f t="shared" si="278"/>
        <v>2.6666666666666575E-6</v>
      </c>
      <c r="U159" s="49">
        <f t="shared" si="279"/>
        <v>0</v>
      </c>
      <c r="V159" s="49">
        <f t="shared" si="280"/>
        <v>2.6666666666666667E-7</v>
      </c>
      <c r="W159" s="3">
        <f t="shared" si="281"/>
        <v>0.01</v>
      </c>
      <c r="X159" s="50">
        <f t="shared" si="330"/>
        <v>1.2810655567577761E-2</v>
      </c>
      <c r="Y159" s="3">
        <f t="shared" si="282"/>
        <v>3.5666666666666664E-4</v>
      </c>
      <c r="Z159" s="3">
        <f t="shared" si="283"/>
        <v>8.6999999999999994E-3</v>
      </c>
      <c r="AA159" s="3">
        <f t="shared" si="331"/>
        <v>2.6666666666666575E-6</v>
      </c>
      <c r="AB159" s="3">
        <f t="shared" si="332"/>
        <v>0</v>
      </c>
      <c r="AC159" s="3">
        <f t="shared" si="284"/>
        <v>2.6666666666666667E-7</v>
      </c>
      <c r="AD159" s="214">
        <f t="shared" si="285"/>
        <v>1.35E-2</v>
      </c>
      <c r="AE159" s="136">
        <f t="shared" si="333"/>
        <v>1.6064529887785561E-2</v>
      </c>
      <c r="AF159" s="16">
        <f t="shared" si="286"/>
        <v>1.5</v>
      </c>
      <c r="AG159" s="49">
        <f t="shared" si="287"/>
        <v>5.3333333333333328E-6</v>
      </c>
      <c r="AH159" s="3">
        <f t="shared" si="288"/>
        <v>1.4999999999999999E-4</v>
      </c>
      <c r="AI159" s="49">
        <f t="shared" si="289"/>
        <v>3.3412482241818023E-8</v>
      </c>
      <c r="AJ159" s="49">
        <f t="shared" si="290"/>
        <v>7.5894663844040878E-7</v>
      </c>
      <c r="AK159" s="49">
        <f t="shared" si="291"/>
        <v>1.5000000000000002E-7</v>
      </c>
      <c r="AL159" s="3">
        <f t="shared" si="292"/>
        <v>0.01</v>
      </c>
      <c r="AM159" s="50">
        <f t="shared" si="334"/>
        <v>1.000112681384493E-2</v>
      </c>
      <c r="AN159" s="3">
        <f t="shared" si="293"/>
        <v>7.6666666666666655E-6</v>
      </c>
      <c r="AO159" s="3">
        <f t="shared" si="294"/>
        <v>2.1999999999999998E-4</v>
      </c>
      <c r="AP159" s="3">
        <f t="shared" si="335"/>
        <v>3.3412482241818023E-8</v>
      </c>
      <c r="AQ159" s="3">
        <f t="shared" si="336"/>
        <v>7.5894663844040878E-7</v>
      </c>
      <c r="AR159" s="3">
        <f t="shared" si="295"/>
        <v>1.5000000000000002E-7</v>
      </c>
      <c r="AS159" s="214">
        <f t="shared" si="296"/>
        <v>1.35E-2</v>
      </c>
      <c r="AT159" s="50">
        <f t="shared" si="337"/>
        <v>1.350179512426467E-2</v>
      </c>
      <c r="AU159" s="16">
        <f t="shared" si="297"/>
        <v>1.5</v>
      </c>
      <c r="AV159" s="49">
        <f t="shared" si="298"/>
        <v>9.9999999999999991E-5</v>
      </c>
      <c r="AW159" s="3">
        <f t="shared" si="299"/>
        <v>8.0000000000000002E-3</v>
      </c>
      <c r="AX159" s="49">
        <f t="shared" si="300"/>
        <v>2.6666666666666575E-6</v>
      </c>
      <c r="AY159" s="49">
        <f t="shared" si="301"/>
        <v>5.0476587558415424E-4</v>
      </c>
      <c r="AZ159" s="49">
        <f t="shared" si="302"/>
        <v>2.6666666666666667E-7</v>
      </c>
      <c r="BA159" s="3">
        <f t="shared" si="303"/>
        <v>0.01</v>
      </c>
      <c r="BB159" s="50">
        <f t="shared" si="338"/>
        <v>1.2820646409775772E-2</v>
      </c>
      <c r="BC159" s="3">
        <f t="shared" si="304"/>
        <v>1.2333333333333331E-4</v>
      </c>
      <c r="BD159" s="3">
        <f t="shared" si="305"/>
        <v>8.6999999999999994E-3</v>
      </c>
      <c r="BE159" s="3">
        <f t="shared" si="339"/>
        <v>2.6666666666666575E-6</v>
      </c>
      <c r="BF159" s="3">
        <f t="shared" si="340"/>
        <v>5.0476587558415424E-4</v>
      </c>
      <c r="BG159" s="3">
        <f t="shared" si="306"/>
        <v>2.6666666666666667E-7</v>
      </c>
      <c r="BH159" s="214">
        <f t="shared" si="307"/>
        <v>1.35E-2</v>
      </c>
      <c r="BI159" s="50">
        <f t="shared" si="341"/>
        <v>1.6072892261846109E-2</v>
      </c>
      <c r="BJ159" s="16">
        <f t="shared" si="308"/>
        <v>1.5</v>
      </c>
      <c r="BK159" s="49">
        <f t="shared" si="309"/>
        <v>9.9999999999999991E-5</v>
      </c>
      <c r="BL159" s="3">
        <f t="shared" si="310"/>
        <v>1E-3</v>
      </c>
      <c r="BM159" s="49">
        <f t="shared" si="311"/>
        <v>6.6666666666666438E-7</v>
      </c>
      <c r="BN159" s="49">
        <f t="shared" si="312"/>
        <v>2.4000000000000001E-5</v>
      </c>
      <c r="BO159" s="49">
        <f t="shared" si="313"/>
        <v>1.5000000000000002E-7</v>
      </c>
      <c r="BP159" s="3">
        <f t="shared" si="314"/>
        <v>0.01</v>
      </c>
      <c r="BQ159" s="50">
        <f t="shared" si="342"/>
        <v>1.0050648824841E-2</v>
      </c>
      <c r="BR159" s="3">
        <f t="shared" si="315"/>
        <v>1.1166666666666665E-4</v>
      </c>
      <c r="BS159" s="3">
        <f t="shared" si="316"/>
        <v>1.175E-3</v>
      </c>
      <c r="BT159" s="3">
        <f t="shared" si="343"/>
        <v>6.6666666666666438E-7</v>
      </c>
      <c r="BU159" s="3">
        <f t="shared" si="344"/>
        <v>2.4000000000000001E-5</v>
      </c>
      <c r="BV159" s="3">
        <f t="shared" si="317"/>
        <v>1.5000000000000002E-7</v>
      </c>
      <c r="BW159" s="214">
        <f t="shared" si="318"/>
        <v>1.35E-2</v>
      </c>
      <c r="BX159" s="50">
        <f t="shared" si="345"/>
        <v>1.3551723573047E-2</v>
      </c>
      <c r="BY159" s="16">
        <f t="shared" si="319"/>
        <v>1.5</v>
      </c>
      <c r="BZ159" s="49">
        <f t="shared" si="320"/>
        <v>1.6666666666666664E-5</v>
      </c>
      <c r="CA159" s="3">
        <f t="shared" si="321"/>
        <v>2E-3</v>
      </c>
      <c r="CB159" s="49">
        <f t="shared" si="322"/>
        <v>6.6666666666666438E-7</v>
      </c>
      <c r="CC159" s="49">
        <f t="shared" si="323"/>
        <v>0</v>
      </c>
      <c r="CD159" s="49">
        <f t="shared" si="324"/>
        <v>3.0000000000000004E-7</v>
      </c>
      <c r="CE159" s="3">
        <f t="shared" si="325"/>
        <v>0.01</v>
      </c>
      <c r="CF159" s="50">
        <f t="shared" si="346"/>
        <v>1.0198053762088355E-2</v>
      </c>
      <c r="CG159" s="3">
        <f t="shared" si="326"/>
        <v>2.2499999999999998E-5</v>
      </c>
      <c r="CH159" s="3">
        <f t="shared" si="327"/>
        <v>2.0874999999999999E-3</v>
      </c>
      <c r="CI159" s="3">
        <f t="shared" si="347"/>
        <v>6.6666666666666438E-7</v>
      </c>
      <c r="CJ159" s="3">
        <f t="shared" si="348"/>
        <v>0</v>
      </c>
      <c r="CK159" s="3">
        <f t="shared" si="328"/>
        <v>3.0000000000000004E-7</v>
      </c>
      <c r="CL159" s="214">
        <f t="shared" si="329"/>
        <v>1.35E-2</v>
      </c>
      <c r="CM159" s="50">
        <f t="shared" si="349"/>
        <v>1.3660460937847025E-2</v>
      </c>
    </row>
    <row r="160" spans="16:91">
      <c r="P160" s="116">
        <f t="shared" si="350"/>
        <v>350</v>
      </c>
      <c r="Q160" s="135">
        <f t="shared" si="275"/>
        <v>1.75</v>
      </c>
      <c r="R160" s="49">
        <f t="shared" si="276"/>
        <v>2.8571428571428574E-4</v>
      </c>
      <c r="S160" s="3">
        <f t="shared" si="277"/>
        <v>8.0000000000000002E-3</v>
      </c>
      <c r="T160" s="49">
        <f t="shared" si="278"/>
        <v>2.2857142857142779E-6</v>
      </c>
      <c r="U160" s="49">
        <f t="shared" si="279"/>
        <v>0</v>
      </c>
      <c r="V160" s="49">
        <f t="shared" si="280"/>
        <v>2.285714285714286E-7</v>
      </c>
      <c r="W160" s="3">
        <f t="shared" si="281"/>
        <v>0.01</v>
      </c>
      <c r="X160" s="50">
        <f t="shared" si="330"/>
        <v>1.280948648667248E-2</v>
      </c>
      <c r="Y160" s="3">
        <f t="shared" si="282"/>
        <v>3.0571428571428573E-4</v>
      </c>
      <c r="Z160" s="3">
        <f t="shared" si="283"/>
        <v>8.6999999999999994E-3</v>
      </c>
      <c r="AA160" s="3">
        <f t="shared" si="331"/>
        <v>2.2857142857142779E-6</v>
      </c>
      <c r="AB160" s="3">
        <f t="shared" si="332"/>
        <v>0</v>
      </c>
      <c r="AC160" s="3">
        <f t="shared" si="284"/>
        <v>2.285714285714286E-7</v>
      </c>
      <c r="AD160" s="214">
        <f t="shared" si="285"/>
        <v>1.35E-2</v>
      </c>
      <c r="AE160" s="136">
        <f t="shared" si="333"/>
        <v>1.6063463638090164E-2</v>
      </c>
      <c r="AF160" s="16">
        <f t="shared" si="286"/>
        <v>1.75</v>
      </c>
      <c r="AG160" s="49">
        <f t="shared" si="287"/>
        <v>4.5714285714285711E-6</v>
      </c>
      <c r="AH160" s="3">
        <f t="shared" si="288"/>
        <v>1.4999999999999999E-4</v>
      </c>
      <c r="AI160" s="49">
        <f t="shared" si="289"/>
        <v>2.8639270492986879E-8</v>
      </c>
      <c r="AJ160" s="49">
        <f t="shared" si="290"/>
        <v>6.5052569009177896E-7</v>
      </c>
      <c r="AK160" s="49">
        <f t="shared" si="291"/>
        <v>1.2857142857142858E-7</v>
      </c>
      <c r="AL160" s="3">
        <f t="shared" si="292"/>
        <v>0.01</v>
      </c>
      <c r="AM160" s="50">
        <f t="shared" si="334"/>
        <v>1.0001126315833785E-2</v>
      </c>
      <c r="AN160" s="3">
        <f t="shared" si="293"/>
        <v>6.5714285714285714E-6</v>
      </c>
      <c r="AO160" s="3">
        <f t="shared" si="294"/>
        <v>2.1999999999999998E-4</v>
      </c>
      <c r="AP160" s="3">
        <f t="shared" si="335"/>
        <v>2.8639270492986879E-8</v>
      </c>
      <c r="AQ160" s="3">
        <f t="shared" si="336"/>
        <v>6.5052569009177896E-7</v>
      </c>
      <c r="AR160" s="3">
        <f t="shared" si="295"/>
        <v>1.2857142857142858E-7</v>
      </c>
      <c r="AS160" s="214">
        <f t="shared" si="296"/>
        <v>1.35E-2</v>
      </c>
      <c r="AT160" s="50">
        <f t="shared" si="337"/>
        <v>1.3501794421025568E-2</v>
      </c>
      <c r="AU160" s="16">
        <f t="shared" si="297"/>
        <v>1.75</v>
      </c>
      <c r="AV160" s="49">
        <f t="shared" si="298"/>
        <v>8.5714285714285713E-5</v>
      </c>
      <c r="AW160" s="3">
        <f t="shared" si="299"/>
        <v>8.0000000000000002E-3</v>
      </c>
      <c r="AX160" s="49">
        <f t="shared" si="300"/>
        <v>2.2857142857142779E-6</v>
      </c>
      <c r="AY160" s="49">
        <f t="shared" si="301"/>
        <v>4.3265646478641797E-4</v>
      </c>
      <c r="AZ160" s="49">
        <f t="shared" si="302"/>
        <v>2.285714285714286E-7</v>
      </c>
      <c r="BA160" s="3">
        <f t="shared" si="303"/>
        <v>0.01</v>
      </c>
      <c r="BB160" s="50">
        <f t="shared" si="338"/>
        <v>1.2816828125810566E-2</v>
      </c>
      <c r="BC160" s="3">
        <f t="shared" si="304"/>
        <v>1.0571428571428571E-4</v>
      </c>
      <c r="BD160" s="3">
        <f t="shared" si="305"/>
        <v>8.6999999999999994E-3</v>
      </c>
      <c r="BE160" s="3">
        <f t="shared" si="339"/>
        <v>2.2857142857142779E-6</v>
      </c>
      <c r="BF160" s="3">
        <f t="shared" si="340"/>
        <v>4.3265646478641797E-4</v>
      </c>
      <c r="BG160" s="3">
        <f t="shared" si="306"/>
        <v>2.285714285714286E-7</v>
      </c>
      <c r="BH160" s="214">
        <f t="shared" si="307"/>
        <v>1.35E-2</v>
      </c>
      <c r="BI160" s="50">
        <f t="shared" si="341"/>
        <v>1.6069608254875418E-2</v>
      </c>
      <c r="BJ160" s="16">
        <f t="shared" si="308"/>
        <v>1.75</v>
      </c>
      <c r="BK160" s="49">
        <f t="shared" si="309"/>
        <v>8.5714285714285713E-5</v>
      </c>
      <c r="BL160" s="3">
        <f t="shared" si="310"/>
        <v>1E-3</v>
      </c>
      <c r="BM160" s="49">
        <f t="shared" si="311"/>
        <v>5.7142857142856948E-7</v>
      </c>
      <c r="BN160" s="49">
        <f t="shared" si="312"/>
        <v>2.0571428571428573E-5</v>
      </c>
      <c r="BO160" s="49">
        <f t="shared" si="313"/>
        <v>1.2857142857142858E-7</v>
      </c>
      <c r="BP160" s="3">
        <f t="shared" si="314"/>
        <v>0.01</v>
      </c>
      <c r="BQ160" s="50">
        <f t="shared" si="342"/>
        <v>1.0050443694957462E-2</v>
      </c>
      <c r="BR160" s="3">
        <f t="shared" si="315"/>
        <v>9.5714285714285712E-5</v>
      </c>
      <c r="BS160" s="3">
        <f t="shared" si="316"/>
        <v>1.175E-3</v>
      </c>
      <c r="BT160" s="3">
        <f t="shared" si="343"/>
        <v>5.7142857142856948E-7</v>
      </c>
      <c r="BU160" s="3">
        <f t="shared" si="344"/>
        <v>2.0571428571428573E-5</v>
      </c>
      <c r="BV160" s="3">
        <f t="shared" si="317"/>
        <v>1.2857142857142858E-7</v>
      </c>
      <c r="BW160" s="214">
        <f t="shared" si="318"/>
        <v>1.35E-2</v>
      </c>
      <c r="BX160" s="50">
        <f t="shared" si="345"/>
        <v>1.3551541632167438E-2</v>
      </c>
      <c r="BY160" s="16">
        <f t="shared" si="319"/>
        <v>1.75</v>
      </c>
      <c r="BZ160" s="49">
        <f t="shared" si="320"/>
        <v>1.4285714285714284E-5</v>
      </c>
      <c r="CA160" s="3">
        <f t="shared" si="321"/>
        <v>2E-3</v>
      </c>
      <c r="CB160" s="49">
        <f t="shared" si="322"/>
        <v>5.7142857142856948E-7</v>
      </c>
      <c r="CC160" s="49">
        <f t="shared" si="323"/>
        <v>0</v>
      </c>
      <c r="CD160" s="49">
        <f t="shared" si="324"/>
        <v>2.5714285714285716E-7</v>
      </c>
      <c r="CE160" s="3">
        <f t="shared" si="325"/>
        <v>0.01</v>
      </c>
      <c r="CF160" s="50">
        <f t="shared" si="346"/>
        <v>1.0198049852830507E-2</v>
      </c>
      <c r="CG160" s="3">
        <f t="shared" si="326"/>
        <v>1.9285714285714285E-5</v>
      </c>
      <c r="CH160" s="3">
        <f t="shared" si="327"/>
        <v>2.0874999999999999E-3</v>
      </c>
      <c r="CI160" s="3">
        <f t="shared" si="347"/>
        <v>5.7142857142856948E-7</v>
      </c>
      <c r="CJ160" s="3">
        <f t="shared" si="348"/>
        <v>0</v>
      </c>
      <c r="CK160" s="3">
        <f t="shared" si="328"/>
        <v>2.5714285714285716E-7</v>
      </c>
      <c r="CL160" s="214">
        <f t="shared" si="329"/>
        <v>1.35E-2</v>
      </c>
      <c r="CM160" s="50">
        <f t="shared" si="349"/>
        <v>1.3660455725276697E-2</v>
      </c>
    </row>
    <row r="161" spans="16:91">
      <c r="P161" s="116">
        <f t="shared" si="350"/>
        <v>400</v>
      </c>
      <c r="Q161" s="135">
        <f t="shared" si="275"/>
        <v>2</v>
      </c>
      <c r="R161" s="49">
        <f t="shared" si="276"/>
        <v>2.5000000000000001E-4</v>
      </c>
      <c r="S161" s="3">
        <f t="shared" si="277"/>
        <v>8.0000000000000002E-3</v>
      </c>
      <c r="T161" s="49">
        <f t="shared" si="278"/>
        <v>1.9999999999999931E-6</v>
      </c>
      <c r="U161" s="49">
        <f t="shared" si="279"/>
        <v>0</v>
      </c>
      <c r="V161" s="49">
        <f t="shared" si="280"/>
        <v>2.0000000000000002E-7</v>
      </c>
      <c r="W161" s="3">
        <f t="shared" si="281"/>
        <v>0.01</v>
      </c>
      <c r="X161" s="50">
        <f t="shared" si="330"/>
        <v>1.2808727651097902E-2</v>
      </c>
      <c r="Y161" s="3">
        <f t="shared" si="282"/>
        <v>2.675E-4</v>
      </c>
      <c r="Z161" s="3">
        <f t="shared" si="283"/>
        <v>8.6999999999999994E-3</v>
      </c>
      <c r="AA161" s="3">
        <f t="shared" si="331"/>
        <v>1.9999999999999931E-6</v>
      </c>
      <c r="AB161" s="3">
        <f t="shared" si="332"/>
        <v>0</v>
      </c>
      <c r="AC161" s="3">
        <f t="shared" si="284"/>
        <v>2.0000000000000002E-7</v>
      </c>
      <c r="AD161" s="214">
        <f t="shared" si="285"/>
        <v>1.35E-2</v>
      </c>
      <c r="AE161" s="136">
        <f t="shared" si="333"/>
        <v>1.6062771563151855E-2</v>
      </c>
      <c r="AF161" s="16">
        <f t="shared" si="286"/>
        <v>2</v>
      </c>
      <c r="AG161" s="49">
        <f t="shared" si="287"/>
        <v>3.9999999999999998E-6</v>
      </c>
      <c r="AH161" s="3">
        <f t="shared" si="288"/>
        <v>1.4999999999999999E-4</v>
      </c>
      <c r="AI161" s="49">
        <f t="shared" si="289"/>
        <v>2.5059361681363519E-8</v>
      </c>
      <c r="AJ161" s="49">
        <f t="shared" si="290"/>
        <v>5.6920997883030656E-7</v>
      </c>
      <c r="AK161" s="49">
        <f t="shared" si="291"/>
        <v>1.1250000000000001E-7</v>
      </c>
      <c r="AL161" s="3">
        <f t="shared" si="292"/>
        <v>0.01</v>
      </c>
      <c r="AM161" s="50">
        <f t="shared" si="334"/>
        <v>1.0001125992605385E-2</v>
      </c>
      <c r="AN161" s="3">
        <f t="shared" si="293"/>
        <v>5.75E-6</v>
      </c>
      <c r="AO161" s="3">
        <f t="shared" si="294"/>
        <v>2.1999999999999998E-4</v>
      </c>
      <c r="AP161" s="3">
        <f t="shared" si="335"/>
        <v>2.5059361681363519E-8</v>
      </c>
      <c r="AQ161" s="3">
        <f t="shared" si="336"/>
        <v>5.6920997883030656E-7</v>
      </c>
      <c r="AR161" s="3">
        <f t="shared" si="295"/>
        <v>1.1250000000000001E-7</v>
      </c>
      <c r="AS161" s="214">
        <f t="shared" si="296"/>
        <v>1.35E-2</v>
      </c>
      <c r="AT161" s="50">
        <f t="shared" si="337"/>
        <v>1.3501793964596323E-2</v>
      </c>
      <c r="AU161" s="16">
        <f t="shared" si="297"/>
        <v>2</v>
      </c>
      <c r="AV161" s="49">
        <f t="shared" si="298"/>
        <v>7.4999999999999993E-5</v>
      </c>
      <c r="AW161" s="3">
        <f t="shared" si="299"/>
        <v>8.0000000000000002E-3</v>
      </c>
      <c r="AX161" s="49">
        <f t="shared" si="300"/>
        <v>1.9999999999999931E-6</v>
      </c>
      <c r="AY161" s="49">
        <f t="shared" si="301"/>
        <v>3.785744066881157E-4</v>
      </c>
      <c r="AZ161" s="49">
        <f t="shared" si="302"/>
        <v>2.0000000000000002E-7</v>
      </c>
      <c r="BA161" s="3">
        <f t="shared" si="303"/>
        <v>0.01</v>
      </c>
      <c r="BB161" s="50">
        <f t="shared" si="338"/>
        <v>1.2814349303808962E-2</v>
      </c>
      <c r="BC161" s="3">
        <f t="shared" si="304"/>
        <v>9.2499999999999999E-5</v>
      </c>
      <c r="BD161" s="3">
        <f t="shared" si="305"/>
        <v>8.6999999999999994E-3</v>
      </c>
      <c r="BE161" s="3">
        <f t="shared" si="339"/>
        <v>1.9999999999999931E-6</v>
      </c>
      <c r="BF161" s="3">
        <f t="shared" si="340"/>
        <v>3.785744066881157E-4</v>
      </c>
      <c r="BG161" s="3">
        <f t="shared" si="306"/>
        <v>2.0000000000000002E-7</v>
      </c>
      <c r="BH161" s="214">
        <f t="shared" si="307"/>
        <v>1.35E-2</v>
      </c>
      <c r="BI161" s="50">
        <f t="shared" si="341"/>
        <v>1.6067476448847321E-2</v>
      </c>
      <c r="BJ161" s="16">
        <f t="shared" si="308"/>
        <v>2</v>
      </c>
      <c r="BK161" s="49">
        <f t="shared" si="309"/>
        <v>7.4999999999999993E-5</v>
      </c>
      <c r="BL161" s="3">
        <f t="shared" si="310"/>
        <v>1E-3</v>
      </c>
      <c r="BM161" s="49">
        <f t="shared" si="311"/>
        <v>4.9999999999999828E-7</v>
      </c>
      <c r="BN161" s="49">
        <f t="shared" si="312"/>
        <v>1.8E-5</v>
      </c>
      <c r="BO161" s="49">
        <f t="shared" si="313"/>
        <v>1.1250000000000001E-7</v>
      </c>
      <c r="BP161" s="3">
        <f t="shared" si="314"/>
        <v>0.01</v>
      </c>
      <c r="BQ161" s="50">
        <f t="shared" si="342"/>
        <v>1.0050310555532911E-2</v>
      </c>
      <c r="BR161" s="3">
        <f t="shared" si="315"/>
        <v>8.3749999999999989E-5</v>
      </c>
      <c r="BS161" s="3">
        <f t="shared" si="316"/>
        <v>1.175E-3</v>
      </c>
      <c r="BT161" s="3">
        <f t="shared" si="343"/>
        <v>4.9999999999999828E-7</v>
      </c>
      <c r="BU161" s="3">
        <f t="shared" si="344"/>
        <v>1.8E-5</v>
      </c>
      <c r="BV161" s="3">
        <f t="shared" si="317"/>
        <v>1.1250000000000001E-7</v>
      </c>
      <c r="BW161" s="214">
        <f t="shared" si="318"/>
        <v>1.35E-2</v>
      </c>
      <c r="BX161" s="50">
        <f t="shared" si="345"/>
        <v>1.3551423544231663E-2</v>
      </c>
      <c r="BY161" s="16">
        <f t="shared" si="319"/>
        <v>2</v>
      </c>
      <c r="BZ161" s="49">
        <f t="shared" si="320"/>
        <v>1.2499999999999999E-5</v>
      </c>
      <c r="CA161" s="3">
        <f t="shared" si="321"/>
        <v>2E-3</v>
      </c>
      <c r="CB161" s="49">
        <f t="shared" si="322"/>
        <v>4.9999999999999828E-7</v>
      </c>
      <c r="CC161" s="49">
        <f t="shared" si="323"/>
        <v>0</v>
      </c>
      <c r="CD161" s="49">
        <f t="shared" si="324"/>
        <v>2.2500000000000002E-7</v>
      </c>
      <c r="CE161" s="3">
        <f t="shared" si="325"/>
        <v>0.01</v>
      </c>
      <c r="CF161" s="50">
        <f t="shared" si="346"/>
        <v>1.0198047315571005E-2</v>
      </c>
      <c r="CG161" s="3">
        <f t="shared" si="326"/>
        <v>1.6874999999999997E-5</v>
      </c>
      <c r="CH161" s="3">
        <f t="shared" si="327"/>
        <v>2.0874999999999999E-3</v>
      </c>
      <c r="CI161" s="3">
        <f t="shared" si="347"/>
        <v>4.9999999999999828E-7</v>
      </c>
      <c r="CJ161" s="3">
        <f t="shared" si="348"/>
        <v>0</v>
      </c>
      <c r="CK161" s="3">
        <f t="shared" si="328"/>
        <v>2.2500000000000002E-7</v>
      </c>
      <c r="CL161" s="214">
        <f t="shared" si="329"/>
        <v>1.35E-2</v>
      </c>
      <c r="CM161" s="50">
        <f t="shared" si="349"/>
        <v>1.3660452342117007E-2</v>
      </c>
    </row>
    <row r="162" spans="16:91">
      <c r="P162" s="116">
        <f t="shared" si="350"/>
        <v>450.00000000000006</v>
      </c>
      <c r="Q162" s="135">
        <f t="shared" si="275"/>
        <v>2.2500000000000004</v>
      </c>
      <c r="R162" s="49">
        <f t="shared" si="276"/>
        <v>2.2222222222222218E-4</v>
      </c>
      <c r="S162" s="3">
        <f t="shared" si="277"/>
        <v>8.0000000000000002E-3</v>
      </c>
      <c r="T162" s="49">
        <f t="shared" si="278"/>
        <v>1.7777777777777714E-6</v>
      </c>
      <c r="U162" s="49">
        <f t="shared" si="279"/>
        <v>0</v>
      </c>
      <c r="V162" s="49">
        <f t="shared" si="280"/>
        <v>1.7777777777777776E-7</v>
      </c>
      <c r="W162" s="3">
        <f t="shared" si="281"/>
        <v>0.01</v>
      </c>
      <c r="X162" s="50">
        <f t="shared" si="330"/>
        <v>1.2808207369948572E-2</v>
      </c>
      <c r="Y162" s="3">
        <f t="shared" si="282"/>
        <v>2.3777777777777773E-4</v>
      </c>
      <c r="Z162" s="3">
        <f t="shared" si="283"/>
        <v>8.6999999999999994E-3</v>
      </c>
      <c r="AA162" s="3">
        <f t="shared" si="331"/>
        <v>1.7777777777777714E-6</v>
      </c>
      <c r="AB162" s="3">
        <f t="shared" si="332"/>
        <v>0</v>
      </c>
      <c r="AC162" s="3">
        <f t="shared" si="284"/>
        <v>1.7777777777777776E-7</v>
      </c>
      <c r="AD162" s="214">
        <f t="shared" si="285"/>
        <v>1.35E-2</v>
      </c>
      <c r="AE162" s="136">
        <f t="shared" si="333"/>
        <v>1.6062297061622363E-2</v>
      </c>
      <c r="AF162" s="16">
        <f t="shared" si="286"/>
        <v>2.2500000000000004</v>
      </c>
      <c r="AG162" s="49">
        <f t="shared" si="287"/>
        <v>3.5555555555555546E-6</v>
      </c>
      <c r="AH162" s="3">
        <f t="shared" si="288"/>
        <v>1.4999999999999999E-4</v>
      </c>
      <c r="AI162" s="49">
        <f t="shared" si="289"/>
        <v>2.2274988161212011E-8</v>
      </c>
      <c r="AJ162" s="49">
        <f t="shared" si="290"/>
        <v>5.0596442562693908E-7</v>
      </c>
      <c r="AK162" s="49">
        <f t="shared" si="291"/>
        <v>9.9999999999999995E-8</v>
      </c>
      <c r="AL162" s="3">
        <f t="shared" si="292"/>
        <v>0.01</v>
      </c>
      <c r="AM162" s="50">
        <f t="shared" si="334"/>
        <v>1.0001125771001051E-2</v>
      </c>
      <c r="AN162" s="3">
        <f t="shared" si="293"/>
        <v>5.1111111111111098E-6</v>
      </c>
      <c r="AO162" s="3">
        <f t="shared" si="294"/>
        <v>2.1999999999999998E-4</v>
      </c>
      <c r="AP162" s="3">
        <f t="shared" si="335"/>
        <v>2.2274988161212011E-8</v>
      </c>
      <c r="AQ162" s="3">
        <f t="shared" si="336"/>
        <v>5.0596442562693908E-7</v>
      </c>
      <c r="AR162" s="3">
        <f t="shared" si="295"/>
        <v>9.9999999999999995E-8</v>
      </c>
      <c r="AS162" s="214">
        <f t="shared" si="296"/>
        <v>1.35E-2</v>
      </c>
      <c r="AT162" s="50">
        <f t="shared" si="337"/>
        <v>1.3501793651669926E-2</v>
      </c>
      <c r="AU162" s="16">
        <f t="shared" si="297"/>
        <v>2.2500000000000004</v>
      </c>
      <c r="AV162" s="49">
        <f t="shared" si="298"/>
        <v>6.6666666666666643E-5</v>
      </c>
      <c r="AW162" s="3">
        <f t="shared" si="299"/>
        <v>8.0000000000000002E-3</v>
      </c>
      <c r="AX162" s="49">
        <f t="shared" si="300"/>
        <v>1.7777777777777714E-6</v>
      </c>
      <c r="AY162" s="49">
        <f t="shared" si="301"/>
        <v>3.3651058372276944E-4</v>
      </c>
      <c r="AZ162" s="49">
        <f t="shared" si="302"/>
        <v>1.7777777777777776E-7</v>
      </c>
      <c r="BA162" s="3">
        <f t="shared" si="303"/>
        <v>0.01</v>
      </c>
      <c r="BB162" s="50">
        <f t="shared" si="338"/>
        <v>1.2812649554500538E-2</v>
      </c>
      <c r="BC162" s="3">
        <f t="shared" si="304"/>
        <v>8.2222222222222191E-5</v>
      </c>
      <c r="BD162" s="3">
        <f t="shared" si="305"/>
        <v>8.6999999999999994E-3</v>
      </c>
      <c r="BE162" s="3">
        <f t="shared" si="339"/>
        <v>1.7777777777777714E-6</v>
      </c>
      <c r="BF162" s="3">
        <f t="shared" si="340"/>
        <v>3.3651058372276944E-4</v>
      </c>
      <c r="BG162" s="3">
        <f t="shared" si="306"/>
        <v>1.7777777777777776E-7</v>
      </c>
      <c r="BH162" s="214">
        <f t="shared" si="307"/>
        <v>1.35E-2</v>
      </c>
      <c r="BI162" s="50">
        <f t="shared" si="341"/>
        <v>1.6066014726204746E-2</v>
      </c>
      <c r="BJ162" s="16">
        <f t="shared" si="308"/>
        <v>2.2500000000000004</v>
      </c>
      <c r="BK162" s="49">
        <f t="shared" si="309"/>
        <v>6.6666666666666643E-5</v>
      </c>
      <c r="BL162" s="3">
        <f t="shared" si="310"/>
        <v>1E-3</v>
      </c>
      <c r="BM162" s="49">
        <f t="shared" si="311"/>
        <v>4.4444444444444285E-7</v>
      </c>
      <c r="BN162" s="49">
        <f t="shared" si="312"/>
        <v>1.5999999999999996E-5</v>
      </c>
      <c r="BO162" s="49">
        <f t="shared" si="313"/>
        <v>9.9999999999999995E-8</v>
      </c>
      <c r="BP162" s="3">
        <f t="shared" si="314"/>
        <v>0.01</v>
      </c>
      <c r="BQ162" s="50">
        <f t="shared" si="342"/>
        <v>1.0050219274562627E-2</v>
      </c>
      <c r="BR162" s="3">
        <f t="shared" si="315"/>
        <v>7.4444444444444417E-5</v>
      </c>
      <c r="BS162" s="3">
        <f t="shared" si="316"/>
        <v>1.175E-3</v>
      </c>
      <c r="BT162" s="3">
        <f t="shared" si="343"/>
        <v>4.4444444444444285E-7</v>
      </c>
      <c r="BU162" s="3">
        <f t="shared" si="344"/>
        <v>1.5999999999999996E-5</v>
      </c>
      <c r="BV162" s="3">
        <f t="shared" si="317"/>
        <v>9.9999999999999995E-8</v>
      </c>
      <c r="BW162" s="214">
        <f t="shared" si="318"/>
        <v>1.35E-2</v>
      </c>
      <c r="BX162" s="50">
        <f t="shared" si="345"/>
        <v>1.3551342582937066E-2</v>
      </c>
      <c r="BY162" s="16">
        <f t="shared" si="319"/>
        <v>2.2500000000000004</v>
      </c>
      <c r="BZ162" s="49">
        <f t="shared" si="320"/>
        <v>1.1111111111111108E-5</v>
      </c>
      <c r="CA162" s="3">
        <f t="shared" si="321"/>
        <v>2E-3</v>
      </c>
      <c r="CB162" s="49">
        <f t="shared" si="322"/>
        <v>4.4444444444444285E-7</v>
      </c>
      <c r="CC162" s="49">
        <f t="shared" si="323"/>
        <v>0</v>
      </c>
      <c r="CD162" s="49">
        <f t="shared" si="324"/>
        <v>1.9999999999999999E-7</v>
      </c>
      <c r="CE162" s="3">
        <f t="shared" si="325"/>
        <v>0.01</v>
      </c>
      <c r="CF162" s="50">
        <f t="shared" si="346"/>
        <v>1.019804557603388E-2</v>
      </c>
      <c r="CG162" s="3">
        <f t="shared" si="326"/>
        <v>1.4999999999999995E-5</v>
      </c>
      <c r="CH162" s="3">
        <f t="shared" si="327"/>
        <v>2.0874999999999999E-3</v>
      </c>
      <c r="CI162" s="3">
        <f t="shared" si="347"/>
        <v>4.4444444444444285E-7</v>
      </c>
      <c r="CJ162" s="3">
        <f t="shared" si="348"/>
        <v>0</v>
      </c>
      <c r="CK162" s="3">
        <f t="shared" si="328"/>
        <v>1.9999999999999999E-7</v>
      </c>
      <c r="CL162" s="214">
        <f t="shared" si="329"/>
        <v>1.35E-2</v>
      </c>
      <c r="CM162" s="50">
        <f t="shared" si="349"/>
        <v>1.3660450022633375E-2</v>
      </c>
    </row>
    <row r="163" spans="16:91">
      <c r="P163" s="116">
        <f t="shared" si="350"/>
        <v>500</v>
      </c>
      <c r="Q163" s="135">
        <f t="shared" si="275"/>
        <v>2.5</v>
      </c>
      <c r="R163" s="49">
        <f t="shared" si="276"/>
        <v>2.0000000000000001E-4</v>
      </c>
      <c r="S163" s="3">
        <f t="shared" si="277"/>
        <v>8.0000000000000002E-3</v>
      </c>
      <c r="T163" s="49">
        <f t="shared" si="278"/>
        <v>1.5999999999999944E-6</v>
      </c>
      <c r="U163" s="49">
        <f t="shared" si="279"/>
        <v>0</v>
      </c>
      <c r="V163" s="49">
        <f t="shared" si="280"/>
        <v>1.6E-7</v>
      </c>
      <c r="W163" s="3">
        <f t="shared" si="281"/>
        <v>0.01</v>
      </c>
      <c r="X163" s="50">
        <f t="shared" si="330"/>
        <v>1.2807835202937302E-2</v>
      </c>
      <c r="Y163" s="3">
        <f t="shared" si="282"/>
        <v>2.14E-4</v>
      </c>
      <c r="Z163" s="3">
        <f t="shared" si="283"/>
        <v>8.6999999999999994E-3</v>
      </c>
      <c r="AA163" s="3">
        <f t="shared" si="331"/>
        <v>1.5999999999999944E-6</v>
      </c>
      <c r="AB163" s="3">
        <f t="shared" si="332"/>
        <v>0</v>
      </c>
      <c r="AC163" s="3">
        <f t="shared" si="284"/>
        <v>1.6E-7</v>
      </c>
      <c r="AD163" s="214">
        <f t="shared" si="285"/>
        <v>1.35E-2</v>
      </c>
      <c r="AE163" s="136">
        <f t="shared" si="333"/>
        <v>1.6061957644870065E-2</v>
      </c>
      <c r="AF163" s="16">
        <f t="shared" si="286"/>
        <v>2.5</v>
      </c>
      <c r="AG163" s="49">
        <f t="shared" si="287"/>
        <v>3.1999999999999999E-6</v>
      </c>
      <c r="AH163" s="3">
        <f t="shared" si="288"/>
        <v>1.4999999999999999E-4</v>
      </c>
      <c r="AI163" s="49">
        <f t="shared" si="289"/>
        <v>2.0047489345090816E-8</v>
      </c>
      <c r="AJ163" s="49">
        <f t="shared" si="290"/>
        <v>4.5536798306424525E-7</v>
      </c>
      <c r="AK163" s="49">
        <f t="shared" si="291"/>
        <v>9.0000000000000012E-8</v>
      </c>
      <c r="AL163" s="3">
        <f t="shared" si="292"/>
        <v>0.01</v>
      </c>
      <c r="AM163" s="50">
        <f t="shared" si="334"/>
        <v>1.0001125612488771E-2</v>
      </c>
      <c r="AN163" s="3">
        <f t="shared" si="293"/>
        <v>4.6E-6</v>
      </c>
      <c r="AO163" s="3">
        <f t="shared" si="294"/>
        <v>2.1999999999999998E-4</v>
      </c>
      <c r="AP163" s="3">
        <f t="shared" si="335"/>
        <v>2.0047489345090816E-8</v>
      </c>
      <c r="AQ163" s="3">
        <f t="shared" si="336"/>
        <v>4.5536798306424525E-7</v>
      </c>
      <c r="AR163" s="3">
        <f t="shared" si="295"/>
        <v>9.0000000000000012E-8</v>
      </c>
      <c r="AS163" s="214">
        <f t="shared" si="296"/>
        <v>1.35E-2</v>
      </c>
      <c r="AT163" s="50">
        <f t="shared" si="337"/>
        <v>1.3501793427835512E-2</v>
      </c>
      <c r="AU163" s="16">
        <f t="shared" si="297"/>
        <v>2.5</v>
      </c>
      <c r="AV163" s="49">
        <f t="shared" si="298"/>
        <v>5.9999999999999995E-5</v>
      </c>
      <c r="AW163" s="3">
        <f t="shared" si="299"/>
        <v>8.0000000000000002E-3</v>
      </c>
      <c r="AX163" s="49">
        <f t="shared" si="300"/>
        <v>1.5999999999999944E-6</v>
      </c>
      <c r="AY163" s="49">
        <f t="shared" si="301"/>
        <v>3.0285952535049254E-4</v>
      </c>
      <c r="AZ163" s="49">
        <f t="shared" si="302"/>
        <v>1.6E-7</v>
      </c>
      <c r="BA163" s="3">
        <f t="shared" si="303"/>
        <v>0.01</v>
      </c>
      <c r="BB163" s="50">
        <f t="shared" si="338"/>
        <v>1.2811433595473175E-2</v>
      </c>
      <c r="BC163" s="3">
        <f t="shared" si="304"/>
        <v>7.3999999999999996E-5</v>
      </c>
      <c r="BD163" s="3">
        <f t="shared" si="305"/>
        <v>8.6999999999999994E-3</v>
      </c>
      <c r="BE163" s="3">
        <f t="shared" si="339"/>
        <v>1.5999999999999944E-6</v>
      </c>
      <c r="BF163" s="3">
        <f t="shared" si="340"/>
        <v>3.0285952535049254E-4</v>
      </c>
      <c r="BG163" s="3">
        <f t="shared" si="306"/>
        <v>1.6E-7</v>
      </c>
      <c r="BH163" s="214">
        <f t="shared" si="307"/>
        <v>1.35E-2</v>
      </c>
      <c r="BI163" s="50">
        <f t="shared" si="341"/>
        <v>1.6064969083005684E-2</v>
      </c>
      <c r="BJ163" s="16">
        <f t="shared" si="308"/>
        <v>2.5</v>
      </c>
      <c r="BK163" s="49">
        <f t="shared" si="309"/>
        <v>5.9999999999999995E-5</v>
      </c>
      <c r="BL163" s="3">
        <f t="shared" si="310"/>
        <v>1E-3</v>
      </c>
      <c r="BM163" s="49">
        <f t="shared" si="311"/>
        <v>3.9999999999999861E-7</v>
      </c>
      <c r="BN163" s="49">
        <f t="shared" si="312"/>
        <v>1.4400000000000001E-5</v>
      </c>
      <c r="BO163" s="49">
        <f t="shared" si="313"/>
        <v>9.0000000000000012E-8</v>
      </c>
      <c r="BP163" s="3">
        <f t="shared" si="314"/>
        <v>0.01</v>
      </c>
      <c r="BQ163" s="50">
        <f t="shared" si="342"/>
        <v>1.0050153981312922E-2</v>
      </c>
      <c r="BR163" s="3">
        <f t="shared" si="315"/>
        <v>6.6999999999999989E-5</v>
      </c>
      <c r="BS163" s="3">
        <f t="shared" si="316"/>
        <v>1.175E-3</v>
      </c>
      <c r="BT163" s="3">
        <f t="shared" si="343"/>
        <v>3.9999999999999861E-7</v>
      </c>
      <c r="BU163" s="3">
        <f t="shared" si="344"/>
        <v>1.4400000000000001E-5</v>
      </c>
      <c r="BV163" s="3">
        <f t="shared" si="317"/>
        <v>9.0000000000000012E-8</v>
      </c>
      <c r="BW163" s="214">
        <f t="shared" si="318"/>
        <v>1.35E-2</v>
      </c>
      <c r="BX163" s="50">
        <f t="shared" si="345"/>
        <v>1.355128467150255E-2</v>
      </c>
      <c r="BY163" s="16">
        <f t="shared" si="319"/>
        <v>2.5</v>
      </c>
      <c r="BZ163" s="49">
        <f t="shared" si="320"/>
        <v>9.9999999999999991E-6</v>
      </c>
      <c r="CA163" s="3">
        <f t="shared" si="321"/>
        <v>2E-3</v>
      </c>
      <c r="CB163" s="49">
        <f t="shared" si="322"/>
        <v>3.9999999999999861E-7</v>
      </c>
      <c r="CC163" s="49">
        <f t="shared" si="323"/>
        <v>0</v>
      </c>
      <c r="CD163" s="49">
        <f t="shared" si="324"/>
        <v>1.8000000000000002E-7</v>
      </c>
      <c r="CE163" s="3">
        <f t="shared" si="325"/>
        <v>0.01</v>
      </c>
      <c r="CF163" s="50">
        <f t="shared" si="346"/>
        <v>1.0198044331753026E-2</v>
      </c>
      <c r="CG163" s="3">
        <f t="shared" si="326"/>
        <v>1.3499999999999999E-5</v>
      </c>
      <c r="CH163" s="3">
        <f t="shared" si="327"/>
        <v>2.0874999999999999E-3</v>
      </c>
      <c r="CI163" s="3">
        <f t="shared" si="347"/>
        <v>3.9999999999999861E-7</v>
      </c>
      <c r="CJ163" s="3">
        <f t="shared" si="348"/>
        <v>0</v>
      </c>
      <c r="CK163" s="3">
        <f t="shared" si="328"/>
        <v>1.8000000000000002E-7</v>
      </c>
      <c r="CL163" s="214">
        <f t="shared" si="329"/>
        <v>1.35E-2</v>
      </c>
      <c r="CM163" s="50">
        <f t="shared" si="349"/>
        <v>1.3660448363520136E-2</v>
      </c>
    </row>
    <row r="164" spans="16:91">
      <c r="P164" s="116">
        <f t="shared" si="350"/>
        <v>549.99999999999989</v>
      </c>
      <c r="Q164" s="135">
        <f t="shared" si="275"/>
        <v>2.7499999999999996</v>
      </c>
      <c r="R164" s="49">
        <f t="shared" si="276"/>
        <v>1.8181818181818186E-4</v>
      </c>
      <c r="S164" s="3">
        <f t="shared" si="277"/>
        <v>8.0000000000000002E-3</v>
      </c>
      <c r="T164" s="49">
        <f t="shared" si="278"/>
        <v>1.4545454545454498E-6</v>
      </c>
      <c r="U164" s="49">
        <f t="shared" si="279"/>
        <v>0</v>
      </c>
      <c r="V164" s="49">
        <f t="shared" si="280"/>
        <v>1.4545454545454551E-7</v>
      </c>
      <c r="W164" s="3">
        <f t="shared" si="281"/>
        <v>0.01</v>
      </c>
      <c r="X164" s="50">
        <f t="shared" si="330"/>
        <v>1.280755983447741E-2</v>
      </c>
      <c r="Y164" s="3">
        <f t="shared" si="282"/>
        <v>1.9454545454545459E-4</v>
      </c>
      <c r="Z164" s="3">
        <f t="shared" si="283"/>
        <v>8.6999999999999994E-3</v>
      </c>
      <c r="AA164" s="3">
        <f t="shared" si="331"/>
        <v>1.4545454545454498E-6</v>
      </c>
      <c r="AB164" s="3">
        <f t="shared" si="332"/>
        <v>0</v>
      </c>
      <c r="AC164" s="3">
        <f t="shared" si="284"/>
        <v>1.4545454545454551E-7</v>
      </c>
      <c r="AD164" s="214">
        <f t="shared" si="285"/>
        <v>1.35E-2</v>
      </c>
      <c r="AE164" s="136">
        <f t="shared" si="333"/>
        <v>1.6061706510242212E-2</v>
      </c>
      <c r="AF164" s="16">
        <f t="shared" si="286"/>
        <v>2.7499999999999996</v>
      </c>
      <c r="AG164" s="49">
        <f t="shared" si="287"/>
        <v>2.9090909090909093E-6</v>
      </c>
      <c r="AH164" s="3">
        <f t="shared" si="288"/>
        <v>1.4999999999999999E-4</v>
      </c>
      <c r="AI164" s="49">
        <f t="shared" si="289"/>
        <v>1.8224990313718927E-8</v>
      </c>
      <c r="AJ164" s="49">
        <f t="shared" si="290"/>
        <v>4.1397089369476846E-7</v>
      </c>
      <c r="AK164" s="49">
        <f t="shared" si="291"/>
        <v>8.1818181818181834E-8</v>
      </c>
      <c r="AL164" s="3">
        <f t="shared" si="292"/>
        <v>0.01</v>
      </c>
      <c r="AM164" s="50">
        <f t="shared" si="334"/>
        <v>1.0001125495207609E-2</v>
      </c>
      <c r="AN164" s="3">
        <f t="shared" si="293"/>
        <v>4.1818181818181823E-6</v>
      </c>
      <c r="AO164" s="3">
        <f t="shared" si="294"/>
        <v>2.1999999999999998E-4</v>
      </c>
      <c r="AP164" s="3">
        <f t="shared" si="335"/>
        <v>1.8224990313718927E-8</v>
      </c>
      <c r="AQ164" s="3">
        <f t="shared" si="336"/>
        <v>4.1397089369476846E-7</v>
      </c>
      <c r="AR164" s="3">
        <f t="shared" si="295"/>
        <v>8.1818181818181834E-8</v>
      </c>
      <c r="AS164" s="214">
        <f t="shared" si="296"/>
        <v>1.35E-2</v>
      </c>
      <c r="AT164" s="50">
        <f t="shared" si="337"/>
        <v>1.3501793262223356E-2</v>
      </c>
      <c r="AU164" s="16">
        <f t="shared" si="297"/>
        <v>2.7499999999999996</v>
      </c>
      <c r="AV164" s="49">
        <f t="shared" si="298"/>
        <v>5.4545454545454546E-5</v>
      </c>
      <c r="AW164" s="3">
        <f t="shared" si="299"/>
        <v>8.0000000000000002E-3</v>
      </c>
      <c r="AX164" s="49">
        <f t="shared" si="300"/>
        <v>1.4545454545454498E-6</v>
      </c>
      <c r="AY164" s="49">
        <f t="shared" si="301"/>
        <v>2.7532684122772057E-4</v>
      </c>
      <c r="AZ164" s="49">
        <f t="shared" si="302"/>
        <v>1.4545454545454551E-7</v>
      </c>
      <c r="BA164" s="3">
        <f t="shared" si="303"/>
        <v>0.01</v>
      </c>
      <c r="BB164" s="50">
        <f t="shared" si="338"/>
        <v>1.2810533849019524E-2</v>
      </c>
      <c r="BC164" s="3">
        <f t="shared" si="304"/>
        <v>6.7272727272727273E-5</v>
      </c>
      <c r="BD164" s="3">
        <f t="shared" si="305"/>
        <v>8.6999999999999994E-3</v>
      </c>
      <c r="BE164" s="3">
        <f t="shared" si="339"/>
        <v>1.4545454545454498E-6</v>
      </c>
      <c r="BF164" s="3">
        <f t="shared" si="340"/>
        <v>2.7532684122772057E-4</v>
      </c>
      <c r="BG164" s="3">
        <f t="shared" si="306"/>
        <v>1.4545454545454551E-7</v>
      </c>
      <c r="BH164" s="214">
        <f t="shared" si="307"/>
        <v>1.35E-2</v>
      </c>
      <c r="BI164" s="50">
        <f t="shared" si="341"/>
        <v>1.606419538148383E-2</v>
      </c>
      <c r="BJ164" s="16">
        <f t="shared" si="308"/>
        <v>2.7499999999999996</v>
      </c>
      <c r="BK164" s="49">
        <f t="shared" si="309"/>
        <v>5.4545454545454546E-5</v>
      </c>
      <c r="BL164" s="3">
        <f t="shared" si="310"/>
        <v>1E-3</v>
      </c>
      <c r="BM164" s="49">
        <f t="shared" si="311"/>
        <v>3.6363636363636244E-7</v>
      </c>
      <c r="BN164" s="49">
        <f t="shared" si="312"/>
        <v>1.3090909090909093E-5</v>
      </c>
      <c r="BO164" s="49">
        <f t="shared" si="313"/>
        <v>8.1818181818181834E-8</v>
      </c>
      <c r="BP164" s="3">
        <f t="shared" si="314"/>
        <v>0.01</v>
      </c>
      <c r="BQ164" s="50">
        <f t="shared" si="342"/>
        <v>1.0050105671419292E-2</v>
      </c>
      <c r="BR164" s="3">
        <f t="shared" si="315"/>
        <v>6.0909090909090913E-5</v>
      </c>
      <c r="BS164" s="3">
        <f t="shared" si="316"/>
        <v>1.175E-3</v>
      </c>
      <c r="BT164" s="3">
        <f t="shared" si="343"/>
        <v>3.6363636363636244E-7</v>
      </c>
      <c r="BU164" s="3">
        <f t="shared" si="344"/>
        <v>1.3090909090909093E-5</v>
      </c>
      <c r="BV164" s="3">
        <f t="shared" si="317"/>
        <v>8.1818181818181834E-8</v>
      </c>
      <c r="BW164" s="214">
        <f t="shared" si="318"/>
        <v>1.35E-2</v>
      </c>
      <c r="BX164" s="50">
        <f t="shared" si="345"/>
        <v>1.3551241823431068E-2</v>
      </c>
      <c r="BY164" s="16">
        <f t="shared" si="319"/>
        <v>2.7499999999999996</v>
      </c>
      <c r="BZ164" s="49">
        <f t="shared" si="320"/>
        <v>9.090909090909091E-6</v>
      </c>
      <c r="CA164" s="3">
        <f t="shared" si="321"/>
        <v>2E-3</v>
      </c>
      <c r="CB164" s="49">
        <f t="shared" si="322"/>
        <v>3.6363636363636244E-7</v>
      </c>
      <c r="CC164" s="49">
        <f t="shared" si="323"/>
        <v>0</v>
      </c>
      <c r="CD164" s="49">
        <f t="shared" si="324"/>
        <v>1.6363636363636367E-7</v>
      </c>
      <c r="CE164" s="3">
        <f t="shared" si="325"/>
        <v>0.01</v>
      </c>
      <c r="CF164" s="50">
        <f t="shared" si="346"/>
        <v>1.0198043411125813E-2</v>
      </c>
      <c r="CG164" s="3">
        <f t="shared" si="326"/>
        <v>1.2272727272727273E-5</v>
      </c>
      <c r="CH164" s="3">
        <f t="shared" si="327"/>
        <v>2.0874999999999999E-3</v>
      </c>
      <c r="CI164" s="3">
        <f t="shared" si="347"/>
        <v>3.6363636363636244E-7</v>
      </c>
      <c r="CJ164" s="3">
        <f t="shared" si="348"/>
        <v>0</v>
      </c>
      <c r="CK164" s="3">
        <f t="shared" si="328"/>
        <v>1.6363636363636367E-7</v>
      </c>
      <c r="CL164" s="214">
        <f t="shared" si="329"/>
        <v>1.35E-2</v>
      </c>
      <c r="CM164" s="50">
        <f t="shared" si="349"/>
        <v>1.3660447135963845E-2</v>
      </c>
    </row>
    <row r="165" spans="16:91">
      <c r="P165" s="116">
        <f t="shared" si="350"/>
        <v>600</v>
      </c>
      <c r="Q165" s="135">
        <f t="shared" si="275"/>
        <v>3</v>
      </c>
      <c r="R165" s="49">
        <f t="shared" si="276"/>
        <v>1.6666666666666666E-4</v>
      </c>
      <c r="S165" s="3">
        <f t="shared" si="277"/>
        <v>8.0000000000000002E-3</v>
      </c>
      <c r="T165" s="49">
        <f t="shared" si="278"/>
        <v>1.3333333333333288E-6</v>
      </c>
      <c r="U165" s="49">
        <f t="shared" si="279"/>
        <v>0</v>
      </c>
      <c r="V165" s="49">
        <f t="shared" si="280"/>
        <v>1.3333333333333334E-7</v>
      </c>
      <c r="W165" s="3">
        <f t="shared" si="281"/>
        <v>0.01</v>
      </c>
      <c r="X165" s="50">
        <f t="shared" si="330"/>
        <v>1.2807350390216462E-2</v>
      </c>
      <c r="Y165" s="3">
        <f t="shared" si="282"/>
        <v>1.7833333333333332E-4</v>
      </c>
      <c r="Z165" s="3">
        <f t="shared" si="283"/>
        <v>8.6999999999999994E-3</v>
      </c>
      <c r="AA165" s="3">
        <f t="shared" si="331"/>
        <v>1.3333333333333288E-6</v>
      </c>
      <c r="AB165" s="3">
        <f t="shared" si="332"/>
        <v>0</v>
      </c>
      <c r="AC165" s="3">
        <f t="shared" si="284"/>
        <v>1.3333333333333334E-7</v>
      </c>
      <c r="AD165" s="214">
        <f t="shared" si="285"/>
        <v>1.35E-2</v>
      </c>
      <c r="AE165" s="136">
        <f t="shared" si="333"/>
        <v>1.6061515499132976E-2</v>
      </c>
      <c r="AF165" s="16">
        <f t="shared" si="286"/>
        <v>3</v>
      </c>
      <c r="AG165" s="49">
        <f t="shared" si="287"/>
        <v>2.6666666666666664E-6</v>
      </c>
      <c r="AH165" s="3">
        <f t="shared" si="288"/>
        <v>1.4999999999999999E-4</v>
      </c>
      <c r="AI165" s="49">
        <f t="shared" si="289"/>
        <v>1.6706241120909012E-8</v>
      </c>
      <c r="AJ165" s="49">
        <f t="shared" si="290"/>
        <v>3.7947331922020439E-7</v>
      </c>
      <c r="AK165" s="49">
        <f t="shared" si="291"/>
        <v>7.500000000000001E-8</v>
      </c>
      <c r="AL165" s="3">
        <f t="shared" si="292"/>
        <v>0.01</v>
      </c>
      <c r="AM165" s="50">
        <f t="shared" si="334"/>
        <v>1.0001125406005666E-2</v>
      </c>
      <c r="AN165" s="3">
        <f t="shared" si="293"/>
        <v>3.8333333333333328E-6</v>
      </c>
      <c r="AO165" s="3">
        <f t="shared" si="294"/>
        <v>2.1999999999999998E-4</v>
      </c>
      <c r="AP165" s="3">
        <f t="shared" si="335"/>
        <v>1.6706241120909012E-8</v>
      </c>
      <c r="AQ165" s="3">
        <f t="shared" si="336"/>
        <v>3.7947331922020439E-7</v>
      </c>
      <c r="AR165" s="3">
        <f t="shared" si="295"/>
        <v>7.500000000000001E-8</v>
      </c>
      <c r="AS165" s="214">
        <f t="shared" si="296"/>
        <v>1.35E-2</v>
      </c>
      <c r="AT165" s="50">
        <f t="shared" si="337"/>
        <v>1.3501793136261727E-2</v>
      </c>
      <c r="AU165" s="16">
        <f t="shared" si="297"/>
        <v>3</v>
      </c>
      <c r="AV165" s="49">
        <f t="shared" si="298"/>
        <v>4.9999999999999996E-5</v>
      </c>
      <c r="AW165" s="3">
        <f t="shared" si="299"/>
        <v>8.0000000000000002E-3</v>
      </c>
      <c r="AX165" s="49">
        <f t="shared" si="300"/>
        <v>1.3333333333333288E-6</v>
      </c>
      <c r="AY165" s="49">
        <f t="shared" si="301"/>
        <v>2.5238293779207712E-4</v>
      </c>
      <c r="AZ165" s="49">
        <f t="shared" si="302"/>
        <v>1.3333333333333334E-7</v>
      </c>
      <c r="BA165" s="3">
        <f t="shared" si="303"/>
        <v>0.01</v>
      </c>
      <c r="BB165" s="50">
        <f t="shared" si="338"/>
        <v>1.2809849475740303E-2</v>
      </c>
      <c r="BC165" s="3">
        <f t="shared" si="304"/>
        <v>6.1666666666666657E-5</v>
      </c>
      <c r="BD165" s="3">
        <f t="shared" si="305"/>
        <v>8.6999999999999994E-3</v>
      </c>
      <c r="BE165" s="3">
        <f t="shared" si="339"/>
        <v>1.3333333333333288E-6</v>
      </c>
      <c r="BF165" s="3">
        <f t="shared" si="340"/>
        <v>2.5238293779207712E-4</v>
      </c>
      <c r="BG165" s="3">
        <f t="shared" si="306"/>
        <v>1.3333333333333334E-7</v>
      </c>
      <c r="BH165" s="214">
        <f t="shared" si="307"/>
        <v>1.35E-2</v>
      </c>
      <c r="BI165" s="50">
        <f t="shared" si="341"/>
        <v>1.6063606893074421E-2</v>
      </c>
      <c r="BJ165" s="16">
        <f t="shared" si="308"/>
        <v>3</v>
      </c>
      <c r="BK165" s="49">
        <f t="shared" si="309"/>
        <v>4.9999999999999996E-5</v>
      </c>
      <c r="BL165" s="3">
        <f t="shared" si="310"/>
        <v>1E-3</v>
      </c>
      <c r="BM165" s="49">
        <f t="shared" si="311"/>
        <v>3.3333333333333219E-7</v>
      </c>
      <c r="BN165" s="49">
        <f t="shared" si="312"/>
        <v>1.2E-5</v>
      </c>
      <c r="BO165" s="49">
        <f t="shared" si="313"/>
        <v>7.500000000000001E-8</v>
      </c>
      <c r="BP165" s="3">
        <f t="shared" si="314"/>
        <v>0.01</v>
      </c>
      <c r="BQ165" s="50">
        <f t="shared" si="342"/>
        <v>1.0050068927627782E-2</v>
      </c>
      <c r="BR165" s="3">
        <f t="shared" si="315"/>
        <v>5.5833333333333326E-5</v>
      </c>
      <c r="BS165" s="3">
        <f t="shared" si="316"/>
        <v>1.175E-3</v>
      </c>
      <c r="BT165" s="3">
        <f t="shared" si="343"/>
        <v>3.3333333333333219E-7</v>
      </c>
      <c r="BU165" s="3">
        <f t="shared" si="344"/>
        <v>1.2E-5</v>
      </c>
      <c r="BV165" s="3">
        <f t="shared" si="317"/>
        <v>7.500000000000001E-8</v>
      </c>
      <c r="BW165" s="214">
        <f t="shared" si="318"/>
        <v>1.35E-2</v>
      </c>
      <c r="BX165" s="50">
        <f t="shared" si="345"/>
        <v>1.3551209233868003E-2</v>
      </c>
      <c r="BY165" s="16">
        <f t="shared" si="319"/>
        <v>3</v>
      </c>
      <c r="BZ165" s="49">
        <f t="shared" si="320"/>
        <v>8.333333333333332E-6</v>
      </c>
      <c r="CA165" s="3">
        <f t="shared" si="321"/>
        <v>2E-3</v>
      </c>
      <c r="CB165" s="49">
        <f t="shared" si="322"/>
        <v>3.3333333333333219E-7</v>
      </c>
      <c r="CC165" s="49">
        <f t="shared" si="323"/>
        <v>0</v>
      </c>
      <c r="CD165" s="49">
        <f t="shared" si="324"/>
        <v>1.5000000000000002E-7</v>
      </c>
      <c r="CE165" s="3">
        <f t="shared" si="325"/>
        <v>0.01</v>
      </c>
      <c r="CF165" s="50">
        <f t="shared" si="346"/>
        <v>1.0198042710913261E-2</v>
      </c>
      <c r="CG165" s="3">
        <f t="shared" si="326"/>
        <v>1.1249999999999999E-5</v>
      </c>
      <c r="CH165" s="3">
        <f t="shared" si="327"/>
        <v>2.0874999999999999E-3</v>
      </c>
      <c r="CI165" s="3">
        <f t="shared" si="347"/>
        <v>3.3333333333333219E-7</v>
      </c>
      <c r="CJ165" s="3">
        <f t="shared" si="348"/>
        <v>0</v>
      </c>
      <c r="CK165" s="3">
        <f t="shared" si="328"/>
        <v>1.5000000000000002E-7</v>
      </c>
      <c r="CL165" s="214">
        <f t="shared" si="329"/>
        <v>1.35E-2</v>
      </c>
      <c r="CM165" s="50">
        <f t="shared" si="349"/>
        <v>1.3660446202306538E-2</v>
      </c>
    </row>
    <row r="166" spans="16:91">
      <c r="P166" s="116">
        <f t="shared" si="350"/>
        <v>650</v>
      </c>
      <c r="Q166" s="135">
        <f t="shared" si="275"/>
        <v>3.25</v>
      </c>
      <c r="R166" s="49">
        <f t="shared" si="276"/>
        <v>1.5384615384615385E-4</v>
      </c>
      <c r="S166" s="3">
        <f t="shared" si="277"/>
        <v>8.0000000000000002E-3</v>
      </c>
      <c r="T166" s="49">
        <f t="shared" si="278"/>
        <v>1.2307692307692265E-6</v>
      </c>
      <c r="U166" s="49">
        <f t="shared" si="279"/>
        <v>0</v>
      </c>
      <c r="V166" s="49">
        <f t="shared" si="280"/>
        <v>1.2307692307692308E-7</v>
      </c>
      <c r="W166" s="3">
        <f t="shared" si="281"/>
        <v>0.01</v>
      </c>
      <c r="X166" s="50">
        <f t="shared" si="330"/>
        <v>1.2807187390962113E-2</v>
      </c>
      <c r="Y166" s="3">
        <f t="shared" si="282"/>
        <v>1.6461538461538461E-4</v>
      </c>
      <c r="Z166" s="3">
        <f t="shared" si="283"/>
        <v>8.6999999999999994E-3</v>
      </c>
      <c r="AA166" s="3">
        <f t="shared" si="331"/>
        <v>1.2307692307692265E-6</v>
      </c>
      <c r="AB166" s="3">
        <f t="shared" si="332"/>
        <v>0</v>
      </c>
      <c r="AC166" s="3">
        <f t="shared" si="284"/>
        <v>1.2307692307692308E-7</v>
      </c>
      <c r="AD166" s="214">
        <f t="shared" si="285"/>
        <v>1.35E-2</v>
      </c>
      <c r="AE166" s="136">
        <f t="shared" si="333"/>
        <v>1.6061366846003285E-2</v>
      </c>
      <c r="AF166" s="16">
        <f t="shared" si="286"/>
        <v>3.25</v>
      </c>
      <c r="AG166" s="49">
        <f t="shared" si="287"/>
        <v>2.4615384615384615E-6</v>
      </c>
      <c r="AH166" s="3">
        <f t="shared" si="288"/>
        <v>1.4999999999999999E-4</v>
      </c>
      <c r="AI166" s="49">
        <f t="shared" si="289"/>
        <v>1.5421145650069858E-8</v>
      </c>
      <c r="AJ166" s="49">
        <f t="shared" si="290"/>
        <v>3.5028306389557326E-7</v>
      </c>
      <c r="AK166" s="49">
        <f t="shared" si="291"/>
        <v>6.9230769230769232E-8</v>
      </c>
      <c r="AL166" s="3">
        <f t="shared" si="292"/>
        <v>0.01</v>
      </c>
      <c r="AM166" s="50">
        <f t="shared" si="334"/>
        <v>1.000112533658558E-2</v>
      </c>
      <c r="AN166" s="3">
        <f t="shared" si="293"/>
        <v>3.5384615384615382E-6</v>
      </c>
      <c r="AO166" s="3">
        <f t="shared" si="294"/>
        <v>2.1999999999999998E-4</v>
      </c>
      <c r="AP166" s="3">
        <f t="shared" si="335"/>
        <v>1.5421145650069858E-8</v>
      </c>
      <c r="AQ166" s="3">
        <f t="shared" si="336"/>
        <v>3.5028306389557326E-7</v>
      </c>
      <c r="AR166" s="3">
        <f t="shared" si="295"/>
        <v>6.9230769230769232E-8</v>
      </c>
      <c r="AS166" s="214">
        <f t="shared" si="296"/>
        <v>1.35E-2</v>
      </c>
      <c r="AT166" s="50">
        <f t="shared" si="337"/>
        <v>1.3501793038233963E-2</v>
      </c>
      <c r="AU166" s="16">
        <f t="shared" si="297"/>
        <v>3.25</v>
      </c>
      <c r="AV166" s="49">
        <f t="shared" si="298"/>
        <v>4.6153846153846151E-5</v>
      </c>
      <c r="AW166" s="3">
        <f t="shared" si="299"/>
        <v>8.0000000000000002E-3</v>
      </c>
      <c r="AX166" s="49">
        <f t="shared" si="300"/>
        <v>1.2307692307692265E-6</v>
      </c>
      <c r="AY166" s="49">
        <f t="shared" si="301"/>
        <v>2.3296886565422504E-4</v>
      </c>
      <c r="AZ166" s="49">
        <f t="shared" si="302"/>
        <v>1.2307692307692308E-7</v>
      </c>
      <c r="BA166" s="3">
        <f t="shared" si="303"/>
        <v>0.01</v>
      </c>
      <c r="BB166" s="50">
        <f t="shared" si="338"/>
        <v>1.2809316847103069E-2</v>
      </c>
      <c r="BC166" s="3">
        <f t="shared" si="304"/>
        <v>5.6923076923076921E-5</v>
      </c>
      <c r="BD166" s="3">
        <f t="shared" si="305"/>
        <v>8.6999999999999994E-3</v>
      </c>
      <c r="BE166" s="3">
        <f t="shared" si="339"/>
        <v>1.2307692307692265E-6</v>
      </c>
      <c r="BF166" s="3">
        <f t="shared" si="340"/>
        <v>2.3296886565422504E-4</v>
      </c>
      <c r="BG166" s="3">
        <f t="shared" si="306"/>
        <v>1.2307692307692308E-7</v>
      </c>
      <c r="BH166" s="214">
        <f t="shared" si="307"/>
        <v>1.35E-2</v>
      </c>
      <c r="BI166" s="50">
        <f t="shared" si="341"/>
        <v>1.6063148895794944E-2</v>
      </c>
      <c r="BJ166" s="16">
        <f t="shared" si="308"/>
        <v>3.25</v>
      </c>
      <c r="BK166" s="49">
        <f t="shared" si="309"/>
        <v>4.6153846153846151E-5</v>
      </c>
      <c r="BL166" s="3">
        <f t="shared" si="310"/>
        <v>1E-3</v>
      </c>
      <c r="BM166" s="49">
        <f t="shared" si="311"/>
        <v>3.0769230769230663E-7</v>
      </c>
      <c r="BN166" s="49">
        <f t="shared" si="312"/>
        <v>1.1076923076923077E-5</v>
      </c>
      <c r="BO166" s="49">
        <f t="shared" si="313"/>
        <v>6.9230769230769232E-8</v>
      </c>
      <c r="BP166" s="3">
        <f t="shared" si="314"/>
        <v>0.01</v>
      </c>
      <c r="BQ166" s="50">
        <f t="shared" si="342"/>
        <v>1.0050040332224997E-2</v>
      </c>
      <c r="BR166" s="3">
        <f t="shared" si="315"/>
        <v>5.1538461538461536E-5</v>
      </c>
      <c r="BS166" s="3">
        <f t="shared" si="316"/>
        <v>1.175E-3</v>
      </c>
      <c r="BT166" s="3">
        <f t="shared" si="343"/>
        <v>3.0769230769230663E-7</v>
      </c>
      <c r="BU166" s="3">
        <f t="shared" si="344"/>
        <v>1.1076923076923077E-5</v>
      </c>
      <c r="BV166" s="3">
        <f t="shared" si="317"/>
        <v>6.9230769230769232E-8</v>
      </c>
      <c r="BW166" s="214">
        <f t="shared" si="318"/>
        <v>1.35E-2</v>
      </c>
      <c r="BX166" s="50">
        <f t="shared" si="345"/>
        <v>1.3551183871470505E-2</v>
      </c>
      <c r="BY166" s="16">
        <f t="shared" si="319"/>
        <v>3.25</v>
      </c>
      <c r="BZ166" s="49">
        <f t="shared" si="320"/>
        <v>7.6923076923076919E-6</v>
      </c>
      <c r="CA166" s="3">
        <f t="shared" si="321"/>
        <v>2E-3</v>
      </c>
      <c r="CB166" s="49">
        <f t="shared" si="322"/>
        <v>3.0769230769230663E-7</v>
      </c>
      <c r="CC166" s="49">
        <f t="shared" si="323"/>
        <v>0</v>
      </c>
      <c r="CD166" s="49">
        <f t="shared" si="324"/>
        <v>1.3846153846153846E-7</v>
      </c>
      <c r="CE166" s="3">
        <f t="shared" si="325"/>
        <v>0.01</v>
      </c>
      <c r="CF166" s="50">
        <f t="shared" si="346"/>
        <v>1.0198042165983214E-2</v>
      </c>
      <c r="CG166" s="3">
        <f t="shared" si="326"/>
        <v>1.0384615384615384E-5</v>
      </c>
      <c r="CH166" s="3">
        <f t="shared" si="327"/>
        <v>2.0874999999999999E-3</v>
      </c>
      <c r="CI166" s="3">
        <f t="shared" si="347"/>
        <v>3.0769230769230663E-7</v>
      </c>
      <c r="CJ166" s="3">
        <f t="shared" si="348"/>
        <v>0</v>
      </c>
      <c r="CK166" s="3">
        <f t="shared" si="328"/>
        <v>1.3846153846153846E-7</v>
      </c>
      <c r="CL166" s="214">
        <f t="shared" si="329"/>
        <v>1.35E-2</v>
      </c>
      <c r="CM166" s="50">
        <f t="shared" si="349"/>
        <v>1.3660445475701565E-2</v>
      </c>
    </row>
    <row r="167" spans="16:91">
      <c r="P167" s="116">
        <f t="shared" si="350"/>
        <v>700</v>
      </c>
      <c r="Q167" s="135">
        <f t="shared" si="275"/>
        <v>3.5</v>
      </c>
      <c r="R167" s="49">
        <f t="shared" si="276"/>
        <v>1.4285714285714287E-4</v>
      </c>
      <c r="S167" s="3">
        <f t="shared" si="277"/>
        <v>8.0000000000000002E-3</v>
      </c>
      <c r="T167" s="49">
        <f t="shared" si="278"/>
        <v>1.142857142857139E-6</v>
      </c>
      <c r="U167" s="49">
        <f t="shared" si="279"/>
        <v>0</v>
      </c>
      <c r="V167" s="49">
        <f t="shared" si="280"/>
        <v>1.142857142857143E-7</v>
      </c>
      <c r="W167" s="3">
        <f t="shared" si="281"/>
        <v>0.01</v>
      </c>
      <c r="X167" s="50">
        <f t="shared" si="330"/>
        <v>1.280705805456746E-2</v>
      </c>
      <c r="Y167" s="3">
        <f t="shared" si="282"/>
        <v>1.5285714285714287E-4</v>
      </c>
      <c r="Z167" s="3">
        <f t="shared" si="283"/>
        <v>8.6999999999999994E-3</v>
      </c>
      <c r="AA167" s="3">
        <f t="shared" si="331"/>
        <v>1.142857142857139E-6</v>
      </c>
      <c r="AB167" s="3">
        <f t="shared" si="332"/>
        <v>0</v>
      </c>
      <c r="AC167" s="3">
        <f t="shared" si="284"/>
        <v>1.142857142857143E-7</v>
      </c>
      <c r="AD167" s="214">
        <f t="shared" si="285"/>
        <v>1.35E-2</v>
      </c>
      <c r="AE167" s="136">
        <f t="shared" si="333"/>
        <v>1.6061248893316522E-2</v>
      </c>
      <c r="AF167" s="16">
        <f t="shared" si="286"/>
        <v>3.5</v>
      </c>
      <c r="AG167" s="49">
        <f t="shared" si="287"/>
        <v>2.2857142857142856E-6</v>
      </c>
      <c r="AH167" s="3">
        <f t="shared" si="288"/>
        <v>1.4999999999999999E-4</v>
      </c>
      <c r="AI167" s="49">
        <f t="shared" si="289"/>
        <v>1.431963524649344E-8</v>
      </c>
      <c r="AJ167" s="49">
        <f t="shared" si="290"/>
        <v>3.2526284504588948E-7</v>
      </c>
      <c r="AK167" s="49">
        <f t="shared" si="291"/>
        <v>6.428571428571429E-8</v>
      </c>
      <c r="AL167" s="3">
        <f t="shared" si="292"/>
        <v>0.01</v>
      </c>
      <c r="AM167" s="50">
        <f t="shared" si="334"/>
        <v>1.0001125281502866E-2</v>
      </c>
      <c r="AN167" s="3">
        <f t="shared" si="293"/>
        <v>3.2857142857142857E-6</v>
      </c>
      <c r="AO167" s="3">
        <f t="shared" si="294"/>
        <v>2.1999999999999998E-4</v>
      </c>
      <c r="AP167" s="3">
        <f t="shared" si="335"/>
        <v>1.431963524649344E-8</v>
      </c>
      <c r="AQ167" s="3">
        <f t="shared" si="336"/>
        <v>3.2526284504588948E-7</v>
      </c>
      <c r="AR167" s="3">
        <f t="shared" si="295"/>
        <v>6.428571428571429E-8</v>
      </c>
      <c r="AS167" s="214">
        <f t="shared" si="296"/>
        <v>1.35E-2</v>
      </c>
      <c r="AT167" s="50">
        <f t="shared" si="337"/>
        <v>1.3501792960451928E-2</v>
      </c>
      <c r="AU167" s="16">
        <f t="shared" si="297"/>
        <v>3.5</v>
      </c>
      <c r="AV167" s="49">
        <f t="shared" si="298"/>
        <v>4.2857142857142856E-5</v>
      </c>
      <c r="AW167" s="3">
        <f t="shared" si="299"/>
        <v>8.0000000000000002E-3</v>
      </c>
      <c r="AX167" s="49">
        <f t="shared" si="300"/>
        <v>1.142857142857139E-6</v>
      </c>
      <c r="AY167" s="49">
        <f t="shared" si="301"/>
        <v>2.1632823239320899E-4</v>
      </c>
      <c r="AZ167" s="49">
        <f t="shared" si="302"/>
        <v>1.142857142857143E-7</v>
      </c>
      <c r="BA167" s="3">
        <f t="shared" si="303"/>
        <v>0.01</v>
      </c>
      <c r="BB167" s="50">
        <f t="shared" si="338"/>
        <v>1.2808894206825279E-2</v>
      </c>
      <c r="BC167" s="3">
        <f t="shared" si="304"/>
        <v>5.2857142857142855E-5</v>
      </c>
      <c r="BD167" s="3">
        <f t="shared" si="305"/>
        <v>8.6999999999999994E-3</v>
      </c>
      <c r="BE167" s="3">
        <f t="shared" si="339"/>
        <v>1.142857142857139E-6</v>
      </c>
      <c r="BF167" s="3">
        <f t="shared" si="340"/>
        <v>2.1632823239320899E-4</v>
      </c>
      <c r="BG167" s="3">
        <f t="shared" si="306"/>
        <v>1.142857142857143E-7</v>
      </c>
      <c r="BH167" s="214">
        <f t="shared" si="307"/>
        <v>1.35E-2</v>
      </c>
      <c r="BI167" s="50">
        <f t="shared" si="341"/>
        <v>1.6062785479682224E-2</v>
      </c>
      <c r="BJ167" s="16">
        <f t="shared" si="308"/>
        <v>3.5</v>
      </c>
      <c r="BK167" s="49">
        <f t="shared" si="309"/>
        <v>4.2857142857142856E-5</v>
      </c>
      <c r="BL167" s="3">
        <f t="shared" si="310"/>
        <v>1E-3</v>
      </c>
      <c r="BM167" s="49">
        <f t="shared" si="311"/>
        <v>2.8571428571428474E-7</v>
      </c>
      <c r="BN167" s="49">
        <f t="shared" si="312"/>
        <v>1.0285714285714286E-5</v>
      </c>
      <c r="BO167" s="49">
        <f t="shared" si="313"/>
        <v>6.428571428571429E-8</v>
      </c>
      <c r="BP167" s="3">
        <f t="shared" si="314"/>
        <v>0.01</v>
      </c>
      <c r="BQ167" s="50">
        <f t="shared" si="342"/>
        <v>1.0050017642590362E-2</v>
      </c>
      <c r="BR167" s="3">
        <f t="shared" si="315"/>
        <v>4.7857142857142856E-5</v>
      </c>
      <c r="BS167" s="3">
        <f t="shared" si="316"/>
        <v>1.175E-3</v>
      </c>
      <c r="BT167" s="3">
        <f t="shared" si="343"/>
        <v>2.8571428571428474E-7</v>
      </c>
      <c r="BU167" s="3">
        <f t="shared" si="344"/>
        <v>1.0285714285714286E-5</v>
      </c>
      <c r="BV167" s="3">
        <f t="shared" si="317"/>
        <v>6.428571428571429E-8</v>
      </c>
      <c r="BW167" s="214">
        <f t="shared" si="318"/>
        <v>1.35E-2</v>
      </c>
      <c r="BX167" s="50">
        <f t="shared" si="345"/>
        <v>1.3551163747150716E-2</v>
      </c>
      <c r="BY167" s="16">
        <f t="shared" si="319"/>
        <v>3.5</v>
      </c>
      <c r="BZ167" s="49">
        <f t="shared" si="320"/>
        <v>7.1428571428571419E-6</v>
      </c>
      <c r="CA167" s="3">
        <f t="shared" si="321"/>
        <v>2E-3</v>
      </c>
      <c r="CB167" s="49">
        <f t="shared" si="322"/>
        <v>2.8571428571428474E-7</v>
      </c>
      <c r="CC167" s="49">
        <f t="shared" si="323"/>
        <v>0</v>
      </c>
      <c r="CD167" s="49">
        <f t="shared" si="324"/>
        <v>1.2857142857142858E-7</v>
      </c>
      <c r="CE167" s="3">
        <f t="shared" si="325"/>
        <v>0.01</v>
      </c>
      <c r="CF167" s="50">
        <f t="shared" si="346"/>
        <v>1.0198041733597882E-2</v>
      </c>
      <c r="CG167" s="3">
        <f t="shared" si="326"/>
        <v>9.6428571428571425E-6</v>
      </c>
      <c r="CH167" s="3">
        <f t="shared" si="327"/>
        <v>2.0874999999999999E-3</v>
      </c>
      <c r="CI167" s="3">
        <f t="shared" si="347"/>
        <v>2.8571428571428474E-7</v>
      </c>
      <c r="CJ167" s="3">
        <f t="shared" si="348"/>
        <v>0</v>
      </c>
      <c r="CK167" s="3">
        <f t="shared" si="328"/>
        <v>1.2857142857142858E-7</v>
      </c>
      <c r="CL167" s="214">
        <f t="shared" si="329"/>
        <v>1.35E-2</v>
      </c>
      <c r="CM167" s="50">
        <f t="shared" si="349"/>
        <v>1.3660444899162735E-2</v>
      </c>
    </row>
    <row r="168" spans="16:91">
      <c r="P168" s="116">
        <f t="shared" si="350"/>
        <v>750</v>
      </c>
      <c r="Q168" s="135">
        <f t="shared" si="275"/>
        <v>3.75</v>
      </c>
      <c r="R168" s="49">
        <f t="shared" si="276"/>
        <v>1.3333333333333334E-4</v>
      </c>
      <c r="S168" s="3">
        <f t="shared" si="277"/>
        <v>8.0000000000000002E-3</v>
      </c>
      <c r="T168" s="49">
        <f t="shared" si="278"/>
        <v>1.0666666666666631E-6</v>
      </c>
      <c r="U168" s="49">
        <f t="shared" si="279"/>
        <v>0</v>
      </c>
      <c r="V168" s="49">
        <f t="shared" si="280"/>
        <v>1.0666666666666667E-7</v>
      </c>
      <c r="W168" s="3">
        <f t="shared" si="281"/>
        <v>0.01</v>
      </c>
      <c r="X168" s="50">
        <f t="shared" si="330"/>
        <v>1.2806953711612211E-2</v>
      </c>
      <c r="Y168" s="3">
        <f t="shared" si="282"/>
        <v>1.4266666666666667E-4</v>
      </c>
      <c r="Z168" s="3">
        <f t="shared" si="283"/>
        <v>8.6999999999999994E-3</v>
      </c>
      <c r="AA168" s="3">
        <f t="shared" si="331"/>
        <v>1.0666666666666631E-6</v>
      </c>
      <c r="AB168" s="3">
        <f t="shared" si="332"/>
        <v>0</v>
      </c>
      <c r="AC168" s="3">
        <f t="shared" si="284"/>
        <v>1.0666666666666667E-7</v>
      </c>
      <c r="AD168" s="214">
        <f t="shared" si="285"/>
        <v>1.35E-2</v>
      </c>
      <c r="AE168" s="136">
        <f t="shared" si="333"/>
        <v>1.6061153734476512E-2</v>
      </c>
      <c r="AF168" s="16">
        <f t="shared" si="286"/>
        <v>3.75</v>
      </c>
      <c r="AG168" s="49">
        <f t="shared" si="287"/>
        <v>2.1333333333333334E-6</v>
      </c>
      <c r="AH168" s="3">
        <f t="shared" si="288"/>
        <v>1.4999999999999999E-4</v>
      </c>
      <c r="AI168" s="49">
        <f t="shared" si="289"/>
        <v>1.3364992896727211E-8</v>
      </c>
      <c r="AJ168" s="49">
        <f t="shared" si="290"/>
        <v>3.0357865537616348E-7</v>
      </c>
      <c r="AK168" s="49">
        <f t="shared" si="291"/>
        <v>6.0000000000000008E-8</v>
      </c>
      <c r="AL168" s="3">
        <f t="shared" si="292"/>
        <v>0.01</v>
      </c>
      <c r="AM168" s="50">
        <f t="shared" si="334"/>
        <v>1.0001125237064942E-2</v>
      </c>
      <c r="AN168" s="3">
        <f t="shared" si="293"/>
        <v>3.0666666666666668E-6</v>
      </c>
      <c r="AO168" s="3">
        <f t="shared" si="294"/>
        <v>2.1999999999999998E-4</v>
      </c>
      <c r="AP168" s="3">
        <f t="shared" si="335"/>
        <v>1.3364992896727211E-8</v>
      </c>
      <c r="AQ168" s="3">
        <f t="shared" si="336"/>
        <v>3.0357865537616348E-7</v>
      </c>
      <c r="AR168" s="3">
        <f t="shared" si="295"/>
        <v>6.0000000000000008E-8</v>
      </c>
      <c r="AS168" s="214">
        <f t="shared" si="296"/>
        <v>1.35E-2</v>
      </c>
      <c r="AT168" s="50">
        <f t="shared" si="337"/>
        <v>1.3501792897701355E-2</v>
      </c>
      <c r="AU168" s="16">
        <f t="shared" si="297"/>
        <v>3.75</v>
      </c>
      <c r="AV168" s="49">
        <f t="shared" si="298"/>
        <v>3.9999999999999996E-5</v>
      </c>
      <c r="AW168" s="3">
        <f t="shared" si="299"/>
        <v>8.0000000000000002E-3</v>
      </c>
      <c r="AX168" s="49">
        <f t="shared" si="300"/>
        <v>1.0666666666666631E-6</v>
      </c>
      <c r="AY168" s="49">
        <f t="shared" si="301"/>
        <v>2.0190635023366172E-4</v>
      </c>
      <c r="AZ168" s="49">
        <f t="shared" si="302"/>
        <v>1.0666666666666667E-7</v>
      </c>
      <c r="BA168" s="3">
        <f t="shared" si="303"/>
        <v>0.01</v>
      </c>
      <c r="BB168" s="50">
        <f t="shared" si="338"/>
        <v>1.2808553232052378E-2</v>
      </c>
      <c r="BC168" s="3">
        <f t="shared" si="304"/>
        <v>4.9333333333333331E-5</v>
      </c>
      <c r="BD168" s="3">
        <f t="shared" si="305"/>
        <v>8.6999999999999994E-3</v>
      </c>
      <c r="BE168" s="3">
        <f t="shared" si="339"/>
        <v>1.0666666666666631E-6</v>
      </c>
      <c r="BF168" s="3">
        <f t="shared" si="340"/>
        <v>2.0190635023366172E-4</v>
      </c>
      <c r="BG168" s="3">
        <f t="shared" si="306"/>
        <v>1.0666666666666667E-7</v>
      </c>
      <c r="BH168" s="214">
        <f t="shared" si="307"/>
        <v>1.35E-2</v>
      </c>
      <c r="BI168" s="50">
        <f t="shared" si="341"/>
        <v>1.6062492288114755E-2</v>
      </c>
      <c r="BJ168" s="16">
        <f t="shared" si="308"/>
        <v>3.75</v>
      </c>
      <c r="BK168" s="49">
        <f t="shared" si="309"/>
        <v>3.9999999999999996E-5</v>
      </c>
      <c r="BL168" s="3">
        <f t="shared" si="310"/>
        <v>1E-3</v>
      </c>
      <c r="BM168" s="49">
        <f t="shared" si="311"/>
        <v>2.6666666666666577E-7</v>
      </c>
      <c r="BN168" s="49">
        <f t="shared" si="312"/>
        <v>9.5999999999999996E-6</v>
      </c>
      <c r="BO168" s="49">
        <f t="shared" si="313"/>
        <v>6.0000000000000008E-8</v>
      </c>
      <c r="BP168" s="3">
        <f t="shared" si="314"/>
        <v>0.01</v>
      </c>
      <c r="BQ168" s="50">
        <f t="shared" si="342"/>
        <v>1.0049999337713632E-2</v>
      </c>
      <c r="BR168" s="3">
        <f t="shared" si="315"/>
        <v>4.4666666666666664E-5</v>
      </c>
      <c r="BS168" s="3">
        <f t="shared" si="316"/>
        <v>1.175E-3</v>
      </c>
      <c r="BT168" s="3">
        <f t="shared" si="343"/>
        <v>2.6666666666666577E-7</v>
      </c>
      <c r="BU168" s="3">
        <f t="shared" si="344"/>
        <v>9.5999999999999996E-6</v>
      </c>
      <c r="BV168" s="3">
        <f t="shared" si="317"/>
        <v>6.0000000000000008E-8</v>
      </c>
      <c r="BW168" s="214">
        <f t="shared" si="318"/>
        <v>1.35E-2</v>
      </c>
      <c r="BX168" s="50">
        <f t="shared" si="345"/>
        <v>1.3551147511854648E-2</v>
      </c>
      <c r="BY168" s="16">
        <f t="shared" si="319"/>
        <v>3.75</v>
      </c>
      <c r="BZ168" s="49">
        <f t="shared" si="320"/>
        <v>6.6666666666666658E-6</v>
      </c>
      <c r="CA168" s="3">
        <f t="shared" si="321"/>
        <v>2E-3</v>
      </c>
      <c r="CB168" s="49">
        <f t="shared" si="322"/>
        <v>2.6666666666666577E-7</v>
      </c>
      <c r="CC168" s="49">
        <f t="shared" si="323"/>
        <v>0</v>
      </c>
      <c r="CD168" s="49">
        <f t="shared" si="324"/>
        <v>1.2000000000000002E-7</v>
      </c>
      <c r="CE168" s="3">
        <f t="shared" si="325"/>
        <v>0.01</v>
      </c>
      <c r="CF168" s="50">
        <f t="shared" si="346"/>
        <v>1.0198041384771445E-2</v>
      </c>
      <c r="CG168" s="3">
        <f t="shared" si="326"/>
        <v>8.9999999999999985E-6</v>
      </c>
      <c r="CH168" s="3">
        <f t="shared" si="327"/>
        <v>2.0874999999999999E-3</v>
      </c>
      <c r="CI168" s="3">
        <f t="shared" si="347"/>
        <v>2.6666666666666577E-7</v>
      </c>
      <c r="CJ168" s="3">
        <f t="shared" si="348"/>
        <v>0</v>
      </c>
      <c r="CK168" s="3">
        <f t="shared" si="328"/>
        <v>1.2000000000000002E-7</v>
      </c>
      <c r="CL168" s="214">
        <f t="shared" si="329"/>
        <v>1.35E-2</v>
      </c>
      <c r="CM168" s="50">
        <f t="shared" si="349"/>
        <v>1.366044443404061E-2</v>
      </c>
    </row>
    <row r="169" spans="16:91">
      <c r="P169" s="116">
        <f t="shared" si="350"/>
        <v>800</v>
      </c>
      <c r="Q169" s="135">
        <f t="shared" si="275"/>
        <v>4</v>
      </c>
      <c r="R169" s="49">
        <f t="shared" si="276"/>
        <v>1.25E-4</v>
      </c>
      <c r="S169" s="3">
        <f t="shared" si="277"/>
        <v>8.0000000000000002E-3</v>
      </c>
      <c r="T169" s="49">
        <f t="shared" si="278"/>
        <v>9.9999999999999657E-7</v>
      </c>
      <c r="U169" s="49">
        <f t="shared" si="279"/>
        <v>0</v>
      </c>
      <c r="V169" s="49">
        <f t="shared" si="280"/>
        <v>1.0000000000000001E-7</v>
      </c>
      <c r="W169" s="3">
        <f t="shared" si="281"/>
        <v>0.01</v>
      </c>
      <c r="X169" s="50">
        <f t="shared" si="330"/>
        <v>1.280686831391656E-2</v>
      </c>
      <c r="Y169" s="3">
        <f t="shared" si="282"/>
        <v>1.3375E-4</v>
      </c>
      <c r="Z169" s="3">
        <f t="shared" si="283"/>
        <v>8.6999999999999994E-3</v>
      </c>
      <c r="AA169" s="3">
        <f t="shared" si="331"/>
        <v>9.9999999999999657E-7</v>
      </c>
      <c r="AB169" s="3">
        <f t="shared" si="332"/>
        <v>0</v>
      </c>
      <c r="AC169" s="3">
        <f t="shared" si="284"/>
        <v>1.0000000000000001E-7</v>
      </c>
      <c r="AD169" s="214">
        <f t="shared" si="285"/>
        <v>1.35E-2</v>
      </c>
      <c r="AE169" s="136">
        <f t="shared" si="333"/>
        <v>1.6061075853519277E-2</v>
      </c>
      <c r="AF169" s="16">
        <f t="shared" si="286"/>
        <v>4</v>
      </c>
      <c r="AG169" s="49">
        <f t="shared" si="287"/>
        <v>1.9999999999999999E-6</v>
      </c>
      <c r="AH169" s="3">
        <f t="shared" si="288"/>
        <v>1.4999999999999999E-4</v>
      </c>
      <c r="AI169" s="49">
        <f t="shared" si="289"/>
        <v>1.2529680840681759E-8</v>
      </c>
      <c r="AJ169" s="49">
        <f t="shared" si="290"/>
        <v>2.8460498941515328E-7</v>
      </c>
      <c r="AK169" s="49">
        <f t="shared" si="291"/>
        <v>5.6250000000000004E-8</v>
      </c>
      <c r="AL169" s="3">
        <f t="shared" si="292"/>
        <v>0.01</v>
      </c>
      <c r="AM169" s="50">
        <f t="shared" si="334"/>
        <v>1.0001125200695758E-2</v>
      </c>
      <c r="AN169" s="3">
        <f t="shared" si="293"/>
        <v>2.875E-6</v>
      </c>
      <c r="AO169" s="3">
        <f t="shared" si="294"/>
        <v>2.1999999999999998E-4</v>
      </c>
      <c r="AP169" s="3">
        <f t="shared" si="335"/>
        <v>1.2529680840681759E-8</v>
      </c>
      <c r="AQ169" s="3">
        <f t="shared" si="336"/>
        <v>2.8460498941515328E-7</v>
      </c>
      <c r="AR169" s="3">
        <f t="shared" si="295"/>
        <v>5.6250000000000004E-8</v>
      </c>
      <c r="AS169" s="214">
        <f t="shared" si="296"/>
        <v>1.35E-2</v>
      </c>
      <c r="AT169" s="50">
        <f t="shared" si="337"/>
        <v>1.3501792846344608E-2</v>
      </c>
      <c r="AU169" s="16">
        <f t="shared" si="297"/>
        <v>4</v>
      </c>
      <c r="AV169" s="49">
        <f t="shared" si="298"/>
        <v>3.7499999999999997E-5</v>
      </c>
      <c r="AW169" s="3">
        <f t="shared" si="299"/>
        <v>8.0000000000000002E-3</v>
      </c>
      <c r="AX169" s="49">
        <f t="shared" si="300"/>
        <v>9.9999999999999657E-7</v>
      </c>
      <c r="AY169" s="49">
        <f t="shared" si="301"/>
        <v>1.8928720334405785E-4</v>
      </c>
      <c r="AZ169" s="49">
        <f t="shared" si="302"/>
        <v>1.0000000000000001E-7</v>
      </c>
      <c r="BA169" s="3">
        <f t="shared" si="303"/>
        <v>0.01</v>
      </c>
      <c r="BB169" s="50">
        <f t="shared" si="338"/>
        <v>1.2808274162431382E-2</v>
      </c>
      <c r="BC169" s="3">
        <f t="shared" si="304"/>
        <v>4.6249999999999999E-5</v>
      </c>
      <c r="BD169" s="3">
        <f t="shared" si="305"/>
        <v>8.6999999999999994E-3</v>
      </c>
      <c r="BE169" s="3">
        <f t="shared" si="339"/>
        <v>9.9999999999999657E-7</v>
      </c>
      <c r="BF169" s="3">
        <f t="shared" si="340"/>
        <v>1.8928720334405785E-4</v>
      </c>
      <c r="BG169" s="3">
        <f t="shared" si="306"/>
        <v>1.0000000000000001E-7</v>
      </c>
      <c r="BH169" s="214">
        <f t="shared" si="307"/>
        <v>1.35E-2</v>
      </c>
      <c r="BI169" s="50">
        <f t="shared" si="341"/>
        <v>1.6062252328318274E-2</v>
      </c>
      <c r="BJ169" s="16">
        <f t="shared" si="308"/>
        <v>4</v>
      </c>
      <c r="BK169" s="49">
        <f t="shared" si="309"/>
        <v>3.7499999999999997E-5</v>
      </c>
      <c r="BL169" s="3">
        <f t="shared" si="310"/>
        <v>1E-3</v>
      </c>
      <c r="BM169" s="49">
        <f t="shared" si="311"/>
        <v>2.4999999999999914E-7</v>
      </c>
      <c r="BN169" s="49">
        <f t="shared" si="312"/>
        <v>9.0000000000000002E-6</v>
      </c>
      <c r="BO169" s="49">
        <f t="shared" si="313"/>
        <v>5.6250000000000004E-8</v>
      </c>
      <c r="BP169" s="3">
        <f t="shared" si="314"/>
        <v>0.01</v>
      </c>
      <c r="BQ169" s="50">
        <f t="shared" si="342"/>
        <v>1.0049984356488524E-2</v>
      </c>
      <c r="BR169" s="3">
        <f t="shared" si="315"/>
        <v>4.1874999999999995E-5</v>
      </c>
      <c r="BS169" s="3">
        <f t="shared" si="316"/>
        <v>1.175E-3</v>
      </c>
      <c r="BT169" s="3">
        <f t="shared" si="343"/>
        <v>2.4999999999999914E-7</v>
      </c>
      <c r="BU169" s="3">
        <f t="shared" si="344"/>
        <v>9.0000000000000002E-6</v>
      </c>
      <c r="BV169" s="3">
        <f t="shared" si="317"/>
        <v>5.6250000000000004E-8</v>
      </c>
      <c r="BW169" s="214">
        <f t="shared" si="318"/>
        <v>1.35E-2</v>
      </c>
      <c r="BX169" s="50">
        <f t="shared" si="345"/>
        <v>1.3551134224439999E-2</v>
      </c>
      <c r="BY169" s="16">
        <f t="shared" si="319"/>
        <v>4</v>
      </c>
      <c r="BZ169" s="49">
        <f t="shared" si="320"/>
        <v>6.2499999999999995E-6</v>
      </c>
      <c r="CA169" s="3">
        <f t="shared" si="321"/>
        <v>2E-3</v>
      </c>
      <c r="CB169" s="49">
        <f t="shared" si="322"/>
        <v>2.4999999999999914E-7</v>
      </c>
      <c r="CC169" s="49">
        <f t="shared" si="323"/>
        <v>0</v>
      </c>
      <c r="CD169" s="49">
        <f t="shared" si="324"/>
        <v>1.1250000000000001E-7</v>
      </c>
      <c r="CE169" s="3">
        <f t="shared" si="325"/>
        <v>0.01</v>
      </c>
      <c r="CF169" s="50">
        <f t="shared" si="346"/>
        <v>1.0198041099282561E-2</v>
      </c>
      <c r="CG169" s="3">
        <f t="shared" si="326"/>
        <v>8.4374999999999984E-6</v>
      </c>
      <c r="CH169" s="3">
        <f t="shared" si="327"/>
        <v>2.0874999999999999E-3</v>
      </c>
      <c r="CI169" s="3">
        <f t="shared" si="347"/>
        <v>2.4999999999999914E-7</v>
      </c>
      <c r="CJ169" s="3">
        <f t="shared" si="348"/>
        <v>0</v>
      </c>
      <c r="CK169" s="3">
        <f t="shared" si="328"/>
        <v>1.1250000000000001E-7</v>
      </c>
      <c r="CL169" s="214">
        <f t="shared" si="329"/>
        <v>1.35E-2</v>
      </c>
      <c r="CM169" s="50">
        <f t="shared" si="349"/>
        <v>1.3660444053372222E-2</v>
      </c>
    </row>
    <row r="170" spans="16:91">
      <c r="P170" s="116">
        <f t="shared" si="350"/>
        <v>850</v>
      </c>
      <c r="Q170" s="135">
        <f t="shared" si="275"/>
        <v>4.25</v>
      </c>
      <c r="R170" s="49">
        <f t="shared" si="276"/>
        <v>1.1764705882352942E-4</v>
      </c>
      <c r="S170" s="3">
        <f t="shared" si="277"/>
        <v>8.0000000000000002E-3</v>
      </c>
      <c r="T170" s="49">
        <f t="shared" si="278"/>
        <v>9.4117647058823206E-7</v>
      </c>
      <c r="U170" s="49">
        <f t="shared" si="279"/>
        <v>0</v>
      </c>
      <c r="V170" s="49">
        <f t="shared" si="280"/>
        <v>9.4117647058823539E-8</v>
      </c>
      <c r="W170" s="3">
        <f t="shared" si="281"/>
        <v>0.01</v>
      </c>
      <c r="X170" s="50">
        <f t="shared" si="330"/>
        <v>1.2806797537964295E-2</v>
      </c>
      <c r="Y170" s="3">
        <f t="shared" si="282"/>
        <v>1.2588235294117646E-4</v>
      </c>
      <c r="Z170" s="3">
        <f t="shared" si="283"/>
        <v>8.6999999999999994E-3</v>
      </c>
      <c r="AA170" s="3">
        <f t="shared" si="331"/>
        <v>9.4117647058823206E-7</v>
      </c>
      <c r="AB170" s="3">
        <f t="shared" si="332"/>
        <v>0</v>
      </c>
      <c r="AC170" s="3">
        <f t="shared" si="284"/>
        <v>9.4117647058823539E-8</v>
      </c>
      <c r="AD170" s="214">
        <f t="shared" si="285"/>
        <v>1.35E-2</v>
      </c>
      <c r="AE170" s="136">
        <f t="shared" si="333"/>
        <v>1.6061011307401243E-2</v>
      </c>
      <c r="AF170" s="16">
        <f t="shared" si="286"/>
        <v>4.25</v>
      </c>
      <c r="AG170" s="49">
        <f t="shared" si="287"/>
        <v>1.8823529411764705E-6</v>
      </c>
      <c r="AH170" s="3">
        <f t="shared" si="288"/>
        <v>1.4999999999999999E-4</v>
      </c>
      <c r="AI170" s="49">
        <f t="shared" si="289"/>
        <v>1.1792640791229892E-8</v>
      </c>
      <c r="AJ170" s="49">
        <f t="shared" si="290"/>
        <v>2.6786351944955604E-7</v>
      </c>
      <c r="AK170" s="49">
        <f t="shared" si="291"/>
        <v>5.2941176470588239E-8</v>
      </c>
      <c r="AL170" s="3">
        <f t="shared" si="292"/>
        <v>0.01</v>
      </c>
      <c r="AM170" s="50">
        <f t="shared" si="334"/>
        <v>1.0001125170553868E-2</v>
      </c>
      <c r="AN170" s="3">
        <f t="shared" si="293"/>
        <v>2.7058823529411766E-6</v>
      </c>
      <c r="AO170" s="3">
        <f t="shared" si="294"/>
        <v>2.1999999999999998E-4</v>
      </c>
      <c r="AP170" s="3">
        <f t="shared" si="335"/>
        <v>1.1792640791229892E-8</v>
      </c>
      <c r="AQ170" s="3">
        <f t="shared" si="336"/>
        <v>2.6786351944955604E-7</v>
      </c>
      <c r="AR170" s="3">
        <f t="shared" si="295"/>
        <v>5.2941176470588239E-8</v>
      </c>
      <c r="AS170" s="214">
        <f t="shared" si="296"/>
        <v>1.35E-2</v>
      </c>
      <c r="AT170" s="50">
        <f t="shared" si="337"/>
        <v>1.3501792803781391E-2</v>
      </c>
      <c r="AU170" s="16">
        <f t="shared" si="297"/>
        <v>4.25</v>
      </c>
      <c r="AV170" s="49">
        <f t="shared" si="298"/>
        <v>3.529411764705882E-5</v>
      </c>
      <c r="AW170" s="3">
        <f t="shared" si="299"/>
        <v>8.0000000000000002E-3</v>
      </c>
      <c r="AX170" s="49">
        <f t="shared" si="300"/>
        <v>9.4117647058823206E-7</v>
      </c>
      <c r="AY170" s="49">
        <f t="shared" si="301"/>
        <v>1.7815266197087799E-4</v>
      </c>
      <c r="AZ170" s="49">
        <f t="shared" si="302"/>
        <v>9.4117647058823539E-8</v>
      </c>
      <c r="BA170" s="3">
        <f t="shared" si="303"/>
        <v>0.01</v>
      </c>
      <c r="BB170" s="50">
        <f t="shared" si="338"/>
        <v>1.2808042871749531E-2</v>
      </c>
      <c r="BC170" s="3">
        <f t="shared" si="304"/>
        <v>4.3529411764705879E-5</v>
      </c>
      <c r="BD170" s="3">
        <f t="shared" si="305"/>
        <v>8.6999999999999994E-3</v>
      </c>
      <c r="BE170" s="3">
        <f t="shared" si="339"/>
        <v>9.4117647058823206E-7</v>
      </c>
      <c r="BF170" s="3">
        <f t="shared" si="340"/>
        <v>1.7815266197087799E-4</v>
      </c>
      <c r="BG170" s="3">
        <f t="shared" si="306"/>
        <v>9.4117647058823539E-8</v>
      </c>
      <c r="BH170" s="214">
        <f t="shared" si="307"/>
        <v>1.35E-2</v>
      </c>
      <c r="BI170" s="50">
        <f t="shared" si="341"/>
        <v>1.6062053452793341E-2</v>
      </c>
      <c r="BJ170" s="16">
        <f t="shared" si="308"/>
        <v>4.25</v>
      </c>
      <c r="BK170" s="49">
        <f t="shared" si="309"/>
        <v>3.529411764705882E-5</v>
      </c>
      <c r="BL170" s="3">
        <f t="shared" si="310"/>
        <v>1E-3</v>
      </c>
      <c r="BM170" s="49">
        <f t="shared" si="311"/>
        <v>2.3529411764705801E-7</v>
      </c>
      <c r="BN170" s="49">
        <f t="shared" si="312"/>
        <v>8.4705882352941183E-6</v>
      </c>
      <c r="BO170" s="49">
        <f t="shared" si="313"/>
        <v>5.2941176470588239E-8</v>
      </c>
      <c r="BP170" s="3">
        <f t="shared" si="314"/>
        <v>0.01</v>
      </c>
      <c r="BQ170" s="50">
        <f t="shared" si="342"/>
        <v>1.0049971940398778E-2</v>
      </c>
      <c r="BR170" s="3">
        <f t="shared" si="315"/>
        <v>3.9411764705882349E-5</v>
      </c>
      <c r="BS170" s="3">
        <f t="shared" si="316"/>
        <v>1.175E-3</v>
      </c>
      <c r="BT170" s="3">
        <f t="shared" si="343"/>
        <v>2.3529411764705801E-7</v>
      </c>
      <c r="BU170" s="3">
        <f t="shared" si="344"/>
        <v>8.4705882352941183E-6</v>
      </c>
      <c r="BV170" s="3">
        <f t="shared" si="317"/>
        <v>5.2941176470588239E-8</v>
      </c>
      <c r="BW170" s="214">
        <f t="shared" si="318"/>
        <v>1.35E-2</v>
      </c>
      <c r="BX170" s="50">
        <f t="shared" si="345"/>
        <v>1.3551123212145967E-2</v>
      </c>
      <c r="BY170" s="16">
        <f t="shared" si="319"/>
        <v>4.25</v>
      </c>
      <c r="BZ170" s="49">
        <f t="shared" si="320"/>
        <v>5.8823529411764701E-6</v>
      </c>
      <c r="CA170" s="3">
        <f t="shared" si="321"/>
        <v>2E-3</v>
      </c>
      <c r="CB170" s="49">
        <f t="shared" si="322"/>
        <v>2.3529411764705801E-7</v>
      </c>
      <c r="CC170" s="49">
        <f t="shared" si="323"/>
        <v>0</v>
      </c>
      <c r="CD170" s="49">
        <f t="shared" si="324"/>
        <v>1.0588235294117648E-7</v>
      </c>
      <c r="CE170" s="3">
        <f t="shared" si="325"/>
        <v>0.01</v>
      </c>
      <c r="CF170" s="50">
        <f t="shared" si="346"/>
        <v>1.0198040862676351E-2</v>
      </c>
      <c r="CG170" s="3">
        <f t="shared" si="326"/>
        <v>7.9411764705882346E-6</v>
      </c>
      <c r="CH170" s="3">
        <f t="shared" si="327"/>
        <v>2.0874999999999999E-3</v>
      </c>
      <c r="CI170" s="3">
        <f t="shared" si="347"/>
        <v>2.3529411764705801E-7</v>
      </c>
      <c r="CJ170" s="3">
        <f t="shared" si="348"/>
        <v>0</v>
      </c>
      <c r="CK170" s="3">
        <f t="shared" si="328"/>
        <v>1.0588235294117648E-7</v>
      </c>
      <c r="CL170" s="214">
        <f t="shared" si="329"/>
        <v>1.35E-2</v>
      </c>
      <c r="CM170" s="50">
        <f t="shared" si="349"/>
        <v>1.3660443737883566E-2</v>
      </c>
    </row>
    <row r="171" spans="16:91">
      <c r="P171" s="116">
        <f t="shared" si="350"/>
        <v>900.00000000000011</v>
      </c>
      <c r="Q171" s="135">
        <f t="shared" ref="Q171:Q183" si="351">IF(calcshunt="Yes",($P171*$C$32/1000),($P171*$J$19/1000))</f>
        <v>4.5000000000000009</v>
      </c>
      <c r="R171" s="49">
        <f t="shared" ref="R171:R183" si="352">IF(RTC="Yes",0,((VOS_1/1000000)/Q171))</f>
        <v>1.1111111111111109E-4</v>
      </c>
      <c r="S171" s="3">
        <f t="shared" ref="S171:S183" si="353">IF(R$8&lt;&gt;0,"ERROR",IF(RTC="Yes",0,GE_1))</f>
        <v>8.0000000000000002E-3</v>
      </c>
      <c r="T171" s="49">
        <f t="shared" ref="T171:T183" si="354">IF(RTC="Yes",0,(($T$7*ABS(Vsupply-$T$8))/Q171))</f>
        <v>8.888888888888857E-7</v>
      </c>
      <c r="U171" s="49">
        <f t="shared" ref="U171:U183" si="355">IF(RTC="Yes",0,(($U$7*ABS(Vcm-$U$8))/Q171))</f>
        <v>0</v>
      </c>
      <c r="V171" s="49">
        <f t="shared" ref="V171:V183" si="356">IF(RTC="Yes",0,((ibias1/1000000)/$P171))</f>
        <v>8.8888888888888882E-8</v>
      </c>
      <c r="W171" s="3">
        <f t="shared" ref="W171:W183" si="357">IF(RTC="Yes",0,$J$20)</f>
        <v>0.01</v>
      </c>
      <c r="X171" s="50">
        <f t="shared" si="330"/>
        <v>1.2806738226726634E-2</v>
      </c>
      <c r="Y171" s="3">
        <f t="shared" ref="Y171:Y183" si="358">R171+((VOSD1*0.000001*ABS(Desiredtemp-25)))/Q171</f>
        <v>1.1888888888888886E-4</v>
      </c>
      <c r="Z171" s="3">
        <f t="shared" ref="Z171:Z183" si="359">S171+(GED_1/1000000*ABS(Desiredtemp-25))</f>
        <v>8.6999999999999994E-3</v>
      </c>
      <c r="AA171" s="3">
        <f t="shared" si="331"/>
        <v>8.888888888888857E-7</v>
      </c>
      <c r="AB171" s="3">
        <f t="shared" si="332"/>
        <v>0</v>
      </c>
      <c r="AC171" s="3">
        <f t="shared" ref="AC171:AC183" si="360">(ibias1/1000000)/$P171</f>
        <v>8.8888888888888882E-8</v>
      </c>
      <c r="AD171" s="214">
        <f t="shared" ref="AD171:AD183" si="361">((resdrift/1000000)*ABS(Desiredtemp-25))+W171</f>
        <v>1.35E-2</v>
      </c>
      <c r="AE171" s="136">
        <f t="shared" si="333"/>
        <v>1.6060957216926724E-2</v>
      </c>
      <c r="AF171" s="16">
        <f t="shared" ref="AF171:AF183" si="362">IF(calcshunt="Yes",($P171*$D$32/1000),($P171*$J$19/1000))</f>
        <v>4.5000000000000009</v>
      </c>
      <c r="AG171" s="49">
        <f t="shared" ref="AG171:AG183" si="363">IF(RTC="Yes",0,((VOS_2/1000000)/AF171))</f>
        <v>1.7777777777777773E-6</v>
      </c>
      <c r="AH171" s="3">
        <f t="shared" ref="AH171:AH183" si="364">IF(AG$8&lt;&gt;0,"ERROR",IF(RTC="Yes",0,GE_2))</f>
        <v>1.4999999999999999E-4</v>
      </c>
      <c r="AI171" s="49">
        <f t="shared" ref="AI171:AI183" si="365">IF(RTC="Yes",0,(($AI$7*ABS(Vsupply-$AI$8))/AF171))</f>
        <v>1.1137494080606005E-8</v>
      </c>
      <c r="AJ171" s="49">
        <f t="shared" ref="AJ171:AJ183" si="366">IF(RTC="Yes",0,(($AJ$7*ABS(Vcm-$AJ$8))/AF171))</f>
        <v>2.5298221281346954E-7</v>
      </c>
      <c r="AK171" s="49">
        <f t="shared" ref="AK171:AK183" si="367">IF(RTC="Yes",0,((ibias2/1000000)/$P171))</f>
        <v>4.9999999999999998E-8</v>
      </c>
      <c r="AL171" s="3">
        <f t="shared" ref="AL171:AL183" si="368">IF(RTC="Yes",0,$J$20)</f>
        <v>0.01</v>
      </c>
      <c r="AM171" s="50">
        <f t="shared" si="334"/>
        <v>1.000112514529467E-2</v>
      </c>
      <c r="AN171" s="3">
        <f t="shared" ref="AN171:AN183" si="369">AG171+((VOSD2*0.000001*ABS(Desiredtemp-25)))/AF171</f>
        <v>2.5555555555555549E-6</v>
      </c>
      <c r="AO171" s="3">
        <f t="shared" ref="AO171:AO183" si="370">AH171+(GED_2/1000000*ABS(Desiredtemp-25))</f>
        <v>2.1999999999999998E-4</v>
      </c>
      <c r="AP171" s="3">
        <f t="shared" si="335"/>
        <v>1.1137494080606005E-8</v>
      </c>
      <c r="AQ171" s="3">
        <f t="shared" si="336"/>
        <v>2.5298221281346954E-7</v>
      </c>
      <c r="AR171" s="3">
        <f t="shared" ref="AR171:AR183" si="371">(ibias2/1000000)/$P171</f>
        <v>4.9999999999999998E-8</v>
      </c>
      <c r="AS171" s="214">
        <f t="shared" ref="AS171:AS183" si="372">((resdrift/1000000)*ABS(Desiredtemp-25))+AL171</f>
        <v>1.35E-2</v>
      </c>
      <c r="AT171" s="50">
        <f t="shared" si="337"/>
        <v>1.3501792768113002E-2</v>
      </c>
      <c r="AU171" s="16">
        <f t="shared" ref="AU171:AU183" si="373">IF(calcshunt="Yes",($P171*$E$32/1000),($P171*$J$19/1000))</f>
        <v>4.5000000000000009</v>
      </c>
      <c r="AV171" s="49">
        <f t="shared" ref="AV171:AV183" si="374">IF(RTC="Yes",0,((VOS_3/1000000)/AU171))</f>
        <v>3.3333333333333321E-5</v>
      </c>
      <c r="AW171" s="3">
        <f t="shared" ref="AW171:AW183" si="375">IF(AV$8&lt;&gt;0,"ERROR",IF(RTC="Yes",0,GE_3))</f>
        <v>8.0000000000000002E-3</v>
      </c>
      <c r="AX171" s="49">
        <f t="shared" ref="AX171:AX183" si="376">IF(RTC="Yes",0,(($AX$7*ABS(Vsupply-$AX$8))/AU171))</f>
        <v>8.888888888888857E-7</v>
      </c>
      <c r="AY171" s="49">
        <f t="shared" ref="AY171:AY183" si="377">IF(RTC="Yes",0,(($AY$7*ABS(Vcm-$AY$8))/AU171))</f>
        <v>1.6825529186138472E-4</v>
      </c>
      <c r="AZ171" s="49">
        <f t="shared" ref="AZ171:AZ183" si="378">IF(RTC="Yes",0,((ibias3/1000000)/$P171))</f>
        <v>8.8888888888888882E-8</v>
      </c>
      <c r="BA171" s="3">
        <f t="shared" ref="BA171:BA183" si="379">IF(RTC="Yes",0,$J$20)</f>
        <v>0.01</v>
      </c>
      <c r="BB171" s="50">
        <f t="shared" si="338"/>
        <v>1.2807849044691724E-2</v>
      </c>
      <c r="BC171" s="3">
        <f t="shared" ref="BC171:BC183" si="380">AV171+((VOSD3*0.000001*ABS(Desiredtemp-25)))/AU171</f>
        <v>4.1111111111111095E-5</v>
      </c>
      <c r="BD171" s="3">
        <f t="shared" ref="BD171:BD183" si="381">AW171+(GED_3/1000000*ABS(Desiredtemp-25))</f>
        <v>8.6999999999999994E-3</v>
      </c>
      <c r="BE171" s="3">
        <f t="shared" si="339"/>
        <v>8.888888888888857E-7</v>
      </c>
      <c r="BF171" s="3">
        <f t="shared" si="340"/>
        <v>1.6825529186138472E-4</v>
      </c>
      <c r="BG171" s="3">
        <f t="shared" ref="BG171:BG183" si="382">(ibias3/1000000)/$P171</f>
        <v>8.8888888888888882E-8</v>
      </c>
      <c r="BH171" s="214">
        <f t="shared" ref="BH171:BH183" si="383">((resdrift/1000000)*ABS(Desiredtemp-25))+BA171</f>
        <v>1.35E-2</v>
      </c>
      <c r="BI171" s="50">
        <f t="shared" si="341"/>
        <v>1.606188679127259E-2</v>
      </c>
      <c r="BJ171" s="16">
        <f t="shared" ref="BJ171:BJ183" si="384">IF(calcshunt="Yes",($P171*$F$32/1000),($P171*$J$19/1000))</f>
        <v>4.5000000000000009</v>
      </c>
      <c r="BK171" s="49">
        <f t="shared" ref="BK171:BK183" si="385">IF(RTC="Yes",0,((VOS_4/1000000)/BJ171))</f>
        <v>3.3333333333333321E-5</v>
      </c>
      <c r="BL171" s="3">
        <f t="shared" ref="BL171:BL183" si="386">IF(BK$8&lt;&gt;0,"ERROR",IF(RTC="Yes",0,GE_4))</f>
        <v>1E-3</v>
      </c>
      <c r="BM171" s="49">
        <f t="shared" ref="BM171:BM183" si="387">IF(RTC="Yes",0,(($BM$7*ABS(Vsupply-$BM$8))/BJ171))</f>
        <v>2.2222222222222142E-7</v>
      </c>
      <c r="BN171" s="49">
        <f t="shared" ref="BN171:BN183" si="388">IF(RTC="Yes",0,(($BN$7*ABS(Vcm-$BN$8))/BJ171))</f>
        <v>7.9999999999999979E-6</v>
      </c>
      <c r="BO171" s="49">
        <f t="shared" ref="BO171:BO183" si="389">IF(RTC="Yes",0,((ibias4/1000000)/$P171))</f>
        <v>4.9999999999999998E-8</v>
      </c>
      <c r="BP171" s="3">
        <f t="shared" ref="BP171:BP183" si="390">IF(RTC="Yes",0,$J$20)</f>
        <v>0.01</v>
      </c>
      <c r="BQ171" s="50">
        <f t="shared" si="342"/>
        <v>1.0049961535582986E-2</v>
      </c>
      <c r="BR171" s="3">
        <f t="shared" ref="BR171:BR183" si="391">BK171+((VOSD4*0.000001*ABS(Desiredtemp-25)))/BJ171</f>
        <v>3.7222222222222208E-5</v>
      </c>
      <c r="BS171" s="3">
        <f t="shared" ref="BS171:BS183" si="392">BL171+(GED_4/1000000*ABS(Desiredtemp-25))</f>
        <v>1.175E-3</v>
      </c>
      <c r="BT171" s="3">
        <f t="shared" si="343"/>
        <v>2.2222222222222142E-7</v>
      </c>
      <c r="BU171" s="3">
        <f t="shared" si="344"/>
        <v>7.9999999999999979E-6</v>
      </c>
      <c r="BV171" s="3">
        <f t="shared" ref="BV171:BV183" si="393">(ibias4/1000000)/$P171</f>
        <v>4.9999999999999998E-8</v>
      </c>
      <c r="BW171" s="214">
        <f t="shared" ref="BW171:BW183" si="394">((resdrift/1000000)*ABS(Desiredtemp-25))+BP171</f>
        <v>1.35E-2</v>
      </c>
      <c r="BX171" s="50">
        <f t="shared" si="345"/>
        <v>1.3551113983729561E-2</v>
      </c>
      <c r="BY171" s="16">
        <f t="shared" ref="BY171:BY183" si="395">IF(calcshunt="Yes",($P171*$G$32/1000),($P171*$J$19/1000))</f>
        <v>4.5000000000000009</v>
      </c>
      <c r="BZ171" s="49">
        <f t="shared" ref="BZ171:BZ183" si="396">IF(RTC="Yes",0,((VOS_5/1000000)/BY171))</f>
        <v>5.5555555555555541E-6</v>
      </c>
      <c r="CA171" s="3">
        <f t="shared" ref="CA171:CA183" si="397">IF(BZ$8&lt;&gt;0,"ERROR",IF(RTC="Yes",0,GE_5))</f>
        <v>2E-3</v>
      </c>
      <c r="CB171" s="49">
        <f t="shared" ref="CB171:CB183" si="398">IF(RTC="Yes",0,(($CB$7*ABS(Vsupply-$CB$8))/BY171))</f>
        <v>2.2222222222222142E-7</v>
      </c>
      <c r="CC171" s="49">
        <f t="shared" ref="CC171:CC183" si="399">IF(RTC="Yes",0,(($CC$7*ABS(Vcm-$CC$8))/BY171))</f>
        <v>0</v>
      </c>
      <c r="CD171" s="49">
        <f t="shared" ref="CD171:CD183" si="400">IF(RTC="Yes",0,((ibias5/1000000)/$P171))</f>
        <v>9.9999999999999995E-8</v>
      </c>
      <c r="CE171" s="3">
        <f t="shared" ref="CE171:CE183" si="401">IF(RTC="Yes",0,$J$20)</f>
        <v>0.01</v>
      </c>
      <c r="CF171" s="50">
        <f t="shared" si="346"/>
        <v>1.0198040664398042E-2</v>
      </c>
      <c r="CG171" s="3">
        <f t="shared" ref="CG171:CG183" si="402">BZ171+((VOSD5*0.000001*ABS(Desiredtemp-25)))/BY171</f>
        <v>7.4999999999999976E-6</v>
      </c>
      <c r="CH171" s="3">
        <f t="shared" ref="CH171:CH183" si="403">CA171+(GED_5/1000000*ABS(Desiredtemp-25))</f>
        <v>2.0874999999999999E-3</v>
      </c>
      <c r="CI171" s="3">
        <f t="shared" si="347"/>
        <v>2.2222222222222142E-7</v>
      </c>
      <c r="CJ171" s="3">
        <f t="shared" si="348"/>
        <v>0</v>
      </c>
      <c r="CK171" s="3">
        <f t="shared" ref="CK171:CK183" si="404">(ibias5/1000000)/$P171</f>
        <v>9.9999999999999995E-8</v>
      </c>
      <c r="CL171" s="214">
        <f t="shared" ref="CL171:CL183" si="405">((resdrift/1000000)*ABS(Desiredtemp-25))+CE171</f>
        <v>1.35E-2</v>
      </c>
      <c r="CM171" s="50">
        <f t="shared" si="349"/>
        <v>1.3660443473500998E-2</v>
      </c>
    </row>
    <row r="172" spans="16:91">
      <c r="P172" s="116">
        <f t="shared" si="350"/>
        <v>950.00000000000011</v>
      </c>
      <c r="Q172" s="135">
        <f t="shared" si="351"/>
        <v>4.7500000000000009</v>
      </c>
      <c r="R172" s="49">
        <f t="shared" si="352"/>
        <v>1.0526315789473682E-4</v>
      </c>
      <c r="S172" s="3">
        <f t="shared" si="353"/>
        <v>8.0000000000000002E-3</v>
      </c>
      <c r="T172" s="49">
        <f t="shared" si="354"/>
        <v>8.4210526315789169E-7</v>
      </c>
      <c r="U172" s="49">
        <f t="shared" si="355"/>
        <v>0</v>
      </c>
      <c r="V172" s="49">
        <f t="shared" si="356"/>
        <v>8.4210526315789473E-8</v>
      </c>
      <c r="W172" s="3">
        <f t="shared" si="357"/>
        <v>0.01</v>
      </c>
      <c r="X172" s="50">
        <f t="shared" si="330"/>
        <v>1.2806688031413946E-2</v>
      </c>
      <c r="Y172" s="3">
        <f t="shared" si="358"/>
        <v>1.126315789473684E-4</v>
      </c>
      <c r="Z172" s="3">
        <f t="shared" si="359"/>
        <v>8.6999999999999994E-3</v>
      </c>
      <c r="AA172" s="3">
        <f t="shared" si="331"/>
        <v>8.4210526315789169E-7</v>
      </c>
      <c r="AB172" s="3">
        <f t="shared" si="332"/>
        <v>0</v>
      </c>
      <c r="AC172" s="3">
        <f t="shared" si="360"/>
        <v>8.4210526315789473E-8</v>
      </c>
      <c r="AD172" s="214">
        <f t="shared" si="361"/>
        <v>1.35E-2</v>
      </c>
      <c r="AE172" s="136">
        <f t="shared" si="333"/>
        <v>1.6060911440017957E-2</v>
      </c>
      <c r="AF172" s="16">
        <f t="shared" si="362"/>
        <v>4.7500000000000009</v>
      </c>
      <c r="AG172" s="49">
        <f t="shared" si="363"/>
        <v>1.6842105263157891E-6</v>
      </c>
      <c r="AH172" s="3">
        <f t="shared" si="364"/>
        <v>1.4999999999999999E-4</v>
      </c>
      <c r="AI172" s="49">
        <f t="shared" si="365"/>
        <v>1.0551310181626743E-8</v>
      </c>
      <c r="AJ172" s="49">
        <f t="shared" si="366"/>
        <v>2.3966735950749744E-7</v>
      </c>
      <c r="AK172" s="49">
        <f t="shared" si="367"/>
        <v>4.7368421052631573E-8</v>
      </c>
      <c r="AL172" s="3">
        <f t="shared" si="368"/>
        <v>0.01</v>
      </c>
      <c r="AM172" s="50">
        <f t="shared" si="334"/>
        <v>1.0001125123917813E-2</v>
      </c>
      <c r="AN172" s="3">
        <f t="shared" si="369"/>
        <v>2.4210526315789468E-6</v>
      </c>
      <c r="AO172" s="3">
        <f t="shared" si="370"/>
        <v>2.1999999999999998E-4</v>
      </c>
      <c r="AP172" s="3">
        <f t="shared" si="335"/>
        <v>1.0551310181626743E-8</v>
      </c>
      <c r="AQ172" s="3">
        <f t="shared" si="336"/>
        <v>2.3966735950749744E-7</v>
      </c>
      <c r="AR172" s="3">
        <f t="shared" si="371"/>
        <v>4.7368421052631573E-8</v>
      </c>
      <c r="AS172" s="214">
        <f t="shared" si="372"/>
        <v>1.35E-2</v>
      </c>
      <c r="AT172" s="50">
        <f t="shared" si="337"/>
        <v>1.3501792737926845E-2</v>
      </c>
      <c r="AU172" s="16">
        <f t="shared" si="373"/>
        <v>4.7500000000000009</v>
      </c>
      <c r="AV172" s="49">
        <f t="shared" si="374"/>
        <v>3.1578947368421045E-5</v>
      </c>
      <c r="AW172" s="3">
        <f t="shared" si="375"/>
        <v>8.0000000000000002E-3</v>
      </c>
      <c r="AX172" s="49">
        <f t="shared" si="376"/>
        <v>8.4210526315789169E-7</v>
      </c>
      <c r="AY172" s="49">
        <f t="shared" si="377"/>
        <v>1.5939975018446973E-4</v>
      </c>
      <c r="AZ172" s="49">
        <f t="shared" si="378"/>
        <v>8.4210526315789473E-8</v>
      </c>
      <c r="BA172" s="3">
        <f t="shared" si="379"/>
        <v>0.01</v>
      </c>
      <c r="BB172" s="50">
        <f t="shared" si="338"/>
        <v>1.2807685006568689E-2</v>
      </c>
      <c r="BC172" s="3">
        <f t="shared" si="380"/>
        <v>3.8947368421052622E-5</v>
      </c>
      <c r="BD172" s="3">
        <f t="shared" si="381"/>
        <v>8.6999999999999994E-3</v>
      </c>
      <c r="BE172" s="3">
        <f t="shared" si="339"/>
        <v>8.4210526315789169E-7</v>
      </c>
      <c r="BF172" s="3">
        <f t="shared" si="340"/>
        <v>1.5939975018446973E-4</v>
      </c>
      <c r="BG172" s="3">
        <f t="shared" si="382"/>
        <v>8.4210526315789473E-8</v>
      </c>
      <c r="BH172" s="214">
        <f t="shared" si="383"/>
        <v>1.35E-2</v>
      </c>
      <c r="BI172" s="50">
        <f t="shared" si="341"/>
        <v>1.6061745744283117E-2</v>
      </c>
      <c r="BJ172" s="16">
        <f t="shared" si="384"/>
        <v>4.7500000000000009</v>
      </c>
      <c r="BK172" s="49">
        <f t="shared" si="385"/>
        <v>3.1578947368421045E-5</v>
      </c>
      <c r="BL172" s="3">
        <f t="shared" si="386"/>
        <v>1E-3</v>
      </c>
      <c r="BM172" s="49">
        <f t="shared" si="387"/>
        <v>2.1052631578947292E-7</v>
      </c>
      <c r="BN172" s="49">
        <f t="shared" si="388"/>
        <v>7.578947368421051E-6</v>
      </c>
      <c r="BO172" s="49">
        <f t="shared" si="389"/>
        <v>4.7368421052631573E-8</v>
      </c>
      <c r="BP172" s="3">
        <f t="shared" si="390"/>
        <v>0.01</v>
      </c>
      <c r="BQ172" s="50">
        <f t="shared" si="342"/>
        <v>1.0049952729979378E-2</v>
      </c>
      <c r="BR172" s="3">
        <f t="shared" si="391"/>
        <v>3.5263157894736834E-5</v>
      </c>
      <c r="BS172" s="3">
        <f t="shared" si="392"/>
        <v>1.175E-3</v>
      </c>
      <c r="BT172" s="3">
        <f t="shared" si="343"/>
        <v>2.1052631578947292E-7</v>
      </c>
      <c r="BU172" s="3">
        <f t="shared" si="344"/>
        <v>7.578947368421051E-6</v>
      </c>
      <c r="BV172" s="3">
        <f t="shared" si="393"/>
        <v>4.7368421052631573E-8</v>
      </c>
      <c r="BW172" s="214">
        <f t="shared" si="394"/>
        <v>1.35E-2</v>
      </c>
      <c r="BX172" s="50">
        <f t="shared" si="345"/>
        <v>1.3551106173716212E-2</v>
      </c>
      <c r="BY172" s="16">
        <f t="shared" si="395"/>
        <v>4.7500000000000009</v>
      </c>
      <c r="BZ172" s="49">
        <f t="shared" si="396"/>
        <v>5.2631578947368405E-6</v>
      </c>
      <c r="CA172" s="3">
        <f t="shared" si="397"/>
        <v>2E-3</v>
      </c>
      <c r="CB172" s="49">
        <f t="shared" si="398"/>
        <v>2.1052631578947292E-7</v>
      </c>
      <c r="CC172" s="49">
        <f t="shared" si="399"/>
        <v>0</v>
      </c>
      <c r="CD172" s="49">
        <f t="shared" si="400"/>
        <v>9.4736842105263146E-8</v>
      </c>
      <c r="CE172" s="3">
        <f t="shared" si="401"/>
        <v>0.01</v>
      </c>
      <c r="CF172" s="50">
        <f t="shared" si="346"/>
        <v>1.0198040496595114E-2</v>
      </c>
      <c r="CG172" s="3">
        <f t="shared" si="402"/>
        <v>7.1052631578947349E-6</v>
      </c>
      <c r="CH172" s="3">
        <f t="shared" si="403"/>
        <v>2.0874999999999999E-3</v>
      </c>
      <c r="CI172" s="3">
        <f t="shared" si="347"/>
        <v>2.1052631578947292E-7</v>
      </c>
      <c r="CJ172" s="3">
        <f t="shared" si="348"/>
        <v>0</v>
      </c>
      <c r="CK172" s="3">
        <f t="shared" si="404"/>
        <v>9.4736842105263146E-8</v>
      </c>
      <c r="CL172" s="214">
        <f t="shared" si="405"/>
        <v>1.35E-2</v>
      </c>
      <c r="CM172" s="50">
        <f t="shared" si="349"/>
        <v>1.366044324975404E-2</v>
      </c>
    </row>
    <row r="173" spans="16:91">
      <c r="P173" s="116">
        <f t="shared" si="350"/>
        <v>1000</v>
      </c>
      <c r="Q173" s="135">
        <f t="shared" si="351"/>
        <v>5</v>
      </c>
      <c r="R173" s="49">
        <f t="shared" si="352"/>
        <v>1E-4</v>
      </c>
      <c r="S173" s="3">
        <f t="shared" si="353"/>
        <v>8.0000000000000002E-3</v>
      </c>
      <c r="T173" s="49">
        <f t="shared" si="354"/>
        <v>7.9999999999999721E-7</v>
      </c>
      <c r="U173" s="49">
        <f t="shared" si="355"/>
        <v>0</v>
      </c>
      <c r="V173" s="49">
        <f t="shared" si="356"/>
        <v>8.0000000000000002E-8</v>
      </c>
      <c r="W173" s="3">
        <f t="shared" si="357"/>
        <v>0.01</v>
      </c>
      <c r="X173" s="50">
        <f t="shared" si="330"/>
        <v>1.280664517531426E-2</v>
      </c>
      <c r="Y173" s="3">
        <f t="shared" si="358"/>
        <v>1.07E-4</v>
      </c>
      <c r="Z173" s="3">
        <f t="shared" si="359"/>
        <v>8.6999999999999994E-3</v>
      </c>
      <c r="AA173" s="3">
        <f t="shared" si="331"/>
        <v>7.9999999999999721E-7</v>
      </c>
      <c r="AB173" s="3">
        <f t="shared" si="332"/>
        <v>0</v>
      </c>
      <c r="AC173" s="3">
        <f t="shared" si="360"/>
        <v>8.0000000000000002E-8</v>
      </c>
      <c r="AD173" s="214">
        <f t="shared" si="361"/>
        <v>1.35E-2</v>
      </c>
      <c r="AE173" s="136">
        <f t="shared" si="333"/>
        <v>1.6060872356332329E-2</v>
      </c>
      <c r="AF173" s="16">
        <f t="shared" si="362"/>
        <v>5</v>
      </c>
      <c r="AG173" s="49">
        <f t="shared" si="363"/>
        <v>1.5999999999999999E-6</v>
      </c>
      <c r="AH173" s="3">
        <f t="shared" si="364"/>
        <v>1.4999999999999999E-4</v>
      </c>
      <c r="AI173" s="49">
        <f t="shared" si="365"/>
        <v>1.0023744672545408E-8</v>
      </c>
      <c r="AJ173" s="49">
        <f t="shared" si="366"/>
        <v>2.2768399153212262E-7</v>
      </c>
      <c r="AK173" s="49">
        <f t="shared" si="367"/>
        <v>4.5000000000000006E-8</v>
      </c>
      <c r="AL173" s="3">
        <f t="shared" si="368"/>
        <v>0.01</v>
      </c>
      <c r="AM173" s="50">
        <f t="shared" si="334"/>
        <v>1.0001125105666598E-2</v>
      </c>
      <c r="AN173" s="3">
        <f t="shared" si="369"/>
        <v>2.3E-6</v>
      </c>
      <c r="AO173" s="3">
        <f t="shared" si="370"/>
        <v>2.1999999999999998E-4</v>
      </c>
      <c r="AP173" s="3">
        <f t="shared" si="335"/>
        <v>1.0023744672545408E-8</v>
      </c>
      <c r="AQ173" s="3">
        <f t="shared" si="336"/>
        <v>2.2768399153212262E-7</v>
      </c>
      <c r="AR173" s="3">
        <f t="shared" si="371"/>
        <v>4.5000000000000006E-8</v>
      </c>
      <c r="AS173" s="214">
        <f t="shared" si="372"/>
        <v>1.35E-2</v>
      </c>
      <c r="AT173" s="50">
        <f t="shared" si="337"/>
        <v>1.3501792712154395E-2</v>
      </c>
      <c r="AU173" s="16">
        <f t="shared" si="373"/>
        <v>5</v>
      </c>
      <c r="AV173" s="49">
        <f t="shared" si="374"/>
        <v>2.9999999999999997E-5</v>
      </c>
      <c r="AW173" s="3">
        <f t="shared" si="375"/>
        <v>8.0000000000000002E-3</v>
      </c>
      <c r="AX173" s="49">
        <f t="shared" si="376"/>
        <v>7.9999999999999721E-7</v>
      </c>
      <c r="AY173" s="49">
        <f t="shared" si="377"/>
        <v>1.5142976267524627E-4</v>
      </c>
      <c r="AZ173" s="49">
        <f t="shared" si="378"/>
        <v>8.0000000000000002E-8</v>
      </c>
      <c r="BA173" s="3">
        <f t="shared" si="379"/>
        <v>0.01</v>
      </c>
      <c r="BB173" s="50">
        <f t="shared" si="338"/>
        <v>1.2807544951816671E-2</v>
      </c>
      <c r="BC173" s="3">
        <f t="shared" si="380"/>
        <v>3.6999999999999998E-5</v>
      </c>
      <c r="BD173" s="3">
        <f t="shared" si="381"/>
        <v>8.6999999999999994E-3</v>
      </c>
      <c r="BE173" s="3">
        <f t="shared" si="339"/>
        <v>7.9999999999999721E-7</v>
      </c>
      <c r="BF173" s="3">
        <f t="shared" si="340"/>
        <v>1.5142976267524627E-4</v>
      </c>
      <c r="BG173" s="3">
        <f t="shared" si="382"/>
        <v>8.0000000000000002E-8</v>
      </c>
      <c r="BH173" s="214">
        <f t="shared" si="383"/>
        <v>1.35E-2</v>
      </c>
      <c r="BI173" s="50">
        <f t="shared" si="341"/>
        <v>1.606162531967055E-2</v>
      </c>
      <c r="BJ173" s="16">
        <f t="shared" si="384"/>
        <v>5</v>
      </c>
      <c r="BK173" s="49">
        <f t="shared" si="385"/>
        <v>2.9999999999999997E-5</v>
      </c>
      <c r="BL173" s="3">
        <f t="shared" si="386"/>
        <v>1E-3</v>
      </c>
      <c r="BM173" s="49">
        <f t="shared" si="387"/>
        <v>1.999999999999993E-7</v>
      </c>
      <c r="BN173" s="49">
        <f t="shared" si="388"/>
        <v>7.2000000000000005E-6</v>
      </c>
      <c r="BO173" s="49">
        <f t="shared" si="389"/>
        <v>4.5000000000000006E-8</v>
      </c>
      <c r="BP173" s="3">
        <f t="shared" si="390"/>
        <v>0.01</v>
      </c>
      <c r="BQ173" s="50">
        <f t="shared" si="342"/>
        <v>1.0049945211891705E-2</v>
      </c>
      <c r="BR173" s="3">
        <f t="shared" si="391"/>
        <v>3.3499999999999994E-5</v>
      </c>
      <c r="BS173" s="3">
        <f t="shared" si="392"/>
        <v>1.175E-3</v>
      </c>
      <c r="BT173" s="3">
        <f t="shared" si="343"/>
        <v>1.999999999999993E-7</v>
      </c>
      <c r="BU173" s="3">
        <f t="shared" si="344"/>
        <v>7.2000000000000005E-6</v>
      </c>
      <c r="BV173" s="3">
        <f t="shared" si="393"/>
        <v>4.5000000000000006E-8</v>
      </c>
      <c r="BW173" s="214">
        <f t="shared" si="394"/>
        <v>1.35E-2</v>
      </c>
      <c r="BX173" s="50">
        <f t="shared" si="345"/>
        <v>1.3551099505649901E-2</v>
      </c>
      <c r="BY173" s="16">
        <f t="shared" si="395"/>
        <v>5</v>
      </c>
      <c r="BZ173" s="49">
        <f t="shared" si="396"/>
        <v>4.9999999999999996E-6</v>
      </c>
      <c r="CA173" s="3">
        <f t="shared" si="397"/>
        <v>2E-3</v>
      </c>
      <c r="CB173" s="49">
        <f t="shared" si="398"/>
        <v>1.999999999999993E-7</v>
      </c>
      <c r="CC173" s="49">
        <f t="shared" si="399"/>
        <v>0</v>
      </c>
      <c r="CD173" s="49">
        <f t="shared" si="400"/>
        <v>9.0000000000000012E-8</v>
      </c>
      <c r="CE173" s="3">
        <f t="shared" si="401"/>
        <v>0.01</v>
      </c>
      <c r="CF173" s="50">
        <f t="shared" si="346"/>
        <v>1.0198040353327692E-2</v>
      </c>
      <c r="CG173" s="3">
        <f t="shared" si="402"/>
        <v>6.7499999999999997E-6</v>
      </c>
      <c r="CH173" s="3">
        <f t="shared" si="403"/>
        <v>2.0874999999999999E-3</v>
      </c>
      <c r="CI173" s="3">
        <f t="shared" si="347"/>
        <v>1.999999999999993E-7</v>
      </c>
      <c r="CJ173" s="3">
        <f t="shared" si="348"/>
        <v>0</v>
      </c>
      <c r="CK173" s="3">
        <f t="shared" si="404"/>
        <v>9.0000000000000012E-8</v>
      </c>
      <c r="CL173" s="214">
        <f t="shared" si="405"/>
        <v>1.35E-2</v>
      </c>
      <c r="CM173" s="50">
        <f t="shared" si="349"/>
        <v>1.3660443058722509E-2</v>
      </c>
    </row>
    <row r="174" spans="16:91">
      <c r="P174" s="116">
        <f t="shared" si="350"/>
        <v>1500</v>
      </c>
      <c r="Q174" s="135">
        <f t="shared" si="351"/>
        <v>7.5</v>
      </c>
      <c r="R174" s="49">
        <f t="shared" si="352"/>
        <v>6.666666666666667E-5</v>
      </c>
      <c r="S174" s="3">
        <f t="shared" si="353"/>
        <v>8.0000000000000002E-3</v>
      </c>
      <c r="T174" s="49">
        <f t="shared" si="354"/>
        <v>5.3333333333333154E-7</v>
      </c>
      <c r="U174" s="49">
        <f t="shared" si="355"/>
        <v>0</v>
      </c>
      <c r="V174" s="49">
        <f t="shared" si="356"/>
        <v>5.3333333333333334E-8</v>
      </c>
      <c r="W174" s="3">
        <f t="shared" si="357"/>
        <v>0.01</v>
      </c>
      <c r="X174" s="50">
        <f t="shared" si="330"/>
        <v>1.2806424787693263E-2</v>
      </c>
      <c r="Y174" s="3">
        <f t="shared" si="358"/>
        <v>7.1333333333333337E-5</v>
      </c>
      <c r="Z174" s="3">
        <f t="shared" si="359"/>
        <v>8.6999999999999994E-3</v>
      </c>
      <c r="AA174" s="3">
        <f t="shared" si="331"/>
        <v>5.3333333333333154E-7</v>
      </c>
      <c r="AB174" s="3">
        <f t="shared" si="332"/>
        <v>0</v>
      </c>
      <c r="AC174" s="3">
        <f t="shared" si="360"/>
        <v>5.3333333333333334E-8</v>
      </c>
      <c r="AD174" s="214">
        <f t="shared" si="361"/>
        <v>1.35E-2</v>
      </c>
      <c r="AE174" s="136">
        <f t="shared" si="333"/>
        <v>1.6060671368925465E-2</v>
      </c>
      <c r="AF174" s="16">
        <f t="shared" si="362"/>
        <v>7.5</v>
      </c>
      <c r="AG174" s="49">
        <f t="shared" si="363"/>
        <v>1.0666666666666667E-6</v>
      </c>
      <c r="AH174" s="3">
        <f t="shared" si="364"/>
        <v>1.4999999999999999E-4</v>
      </c>
      <c r="AI174" s="49">
        <f t="shared" si="365"/>
        <v>6.6824964483636053E-9</v>
      </c>
      <c r="AJ174" s="49">
        <f t="shared" si="366"/>
        <v>1.5178932768808174E-7</v>
      </c>
      <c r="AK174" s="49">
        <f t="shared" si="367"/>
        <v>3.0000000000000004E-8</v>
      </c>
      <c r="AL174" s="3">
        <f t="shared" si="368"/>
        <v>0.01</v>
      </c>
      <c r="AM174" s="50">
        <f t="shared" si="334"/>
        <v>1.0001125011810637E-2</v>
      </c>
      <c r="AN174" s="3">
        <f t="shared" si="369"/>
        <v>1.5333333333333334E-6</v>
      </c>
      <c r="AO174" s="3">
        <f t="shared" si="370"/>
        <v>2.1999999999999998E-4</v>
      </c>
      <c r="AP174" s="3">
        <f t="shared" si="335"/>
        <v>6.6824964483636053E-9</v>
      </c>
      <c r="AQ174" s="3">
        <f t="shared" si="336"/>
        <v>1.5178932768808174E-7</v>
      </c>
      <c r="AR174" s="3">
        <f t="shared" si="371"/>
        <v>3.0000000000000004E-8</v>
      </c>
      <c r="AS174" s="214">
        <f t="shared" si="372"/>
        <v>1.35E-2</v>
      </c>
      <c r="AT174" s="50">
        <f t="shared" si="337"/>
        <v>1.3501792579620852E-2</v>
      </c>
      <c r="AU174" s="16">
        <f t="shared" si="373"/>
        <v>7.5</v>
      </c>
      <c r="AV174" s="49">
        <f t="shared" si="374"/>
        <v>1.9999999999999998E-5</v>
      </c>
      <c r="AW174" s="3">
        <f t="shared" si="375"/>
        <v>8.0000000000000002E-3</v>
      </c>
      <c r="AX174" s="49">
        <f t="shared" si="376"/>
        <v>5.3333333333333154E-7</v>
      </c>
      <c r="AY174" s="49">
        <f t="shared" si="377"/>
        <v>1.0095317511683086E-4</v>
      </c>
      <c r="AZ174" s="49">
        <f t="shared" si="378"/>
        <v>5.3333333333333334E-8</v>
      </c>
      <c r="BA174" s="3">
        <f t="shared" si="379"/>
        <v>0.01</v>
      </c>
      <c r="BB174" s="50">
        <f t="shared" si="338"/>
        <v>1.2806824703047195E-2</v>
      </c>
      <c r="BC174" s="3">
        <f t="shared" si="380"/>
        <v>2.4666666666666665E-5</v>
      </c>
      <c r="BD174" s="3">
        <f t="shared" si="381"/>
        <v>8.6999999999999994E-3</v>
      </c>
      <c r="BE174" s="3">
        <f t="shared" si="339"/>
        <v>5.3333333333333154E-7</v>
      </c>
      <c r="BF174" s="3">
        <f t="shared" si="340"/>
        <v>1.0095317511683086E-4</v>
      </c>
      <c r="BG174" s="3">
        <f t="shared" si="382"/>
        <v>5.3333333333333334E-8</v>
      </c>
      <c r="BH174" s="214">
        <f t="shared" si="383"/>
        <v>1.35E-2</v>
      </c>
      <c r="BI174" s="50">
        <f t="shared" si="341"/>
        <v>1.6061006027843848E-2</v>
      </c>
      <c r="BJ174" s="16">
        <f t="shared" si="384"/>
        <v>7.5</v>
      </c>
      <c r="BK174" s="49">
        <f t="shared" si="385"/>
        <v>1.9999999999999998E-5</v>
      </c>
      <c r="BL174" s="3">
        <f t="shared" si="386"/>
        <v>1E-3</v>
      </c>
      <c r="BM174" s="49">
        <f t="shared" si="387"/>
        <v>1.3333333333333289E-7</v>
      </c>
      <c r="BN174" s="49">
        <f t="shared" si="388"/>
        <v>4.7999999999999998E-6</v>
      </c>
      <c r="BO174" s="49">
        <f t="shared" si="389"/>
        <v>3.0000000000000004E-8</v>
      </c>
      <c r="BP174" s="3">
        <f t="shared" si="390"/>
        <v>0.01</v>
      </c>
      <c r="BQ174" s="50">
        <f t="shared" si="342"/>
        <v>1.0049906550411856E-2</v>
      </c>
      <c r="BR174" s="3">
        <f t="shared" si="391"/>
        <v>2.2333333333333332E-5</v>
      </c>
      <c r="BS174" s="3">
        <f t="shared" si="392"/>
        <v>1.175E-3</v>
      </c>
      <c r="BT174" s="3">
        <f t="shared" si="343"/>
        <v>1.3333333333333289E-7</v>
      </c>
      <c r="BU174" s="3">
        <f t="shared" si="344"/>
        <v>4.7999999999999998E-6</v>
      </c>
      <c r="BV174" s="3">
        <f t="shared" si="393"/>
        <v>3.0000000000000004E-8</v>
      </c>
      <c r="BW174" s="214">
        <f t="shared" si="394"/>
        <v>1.35E-2</v>
      </c>
      <c r="BX174" s="50">
        <f t="shared" si="345"/>
        <v>1.3551065215399529E-2</v>
      </c>
      <c r="BY174" s="16">
        <f t="shared" si="395"/>
        <v>7.5</v>
      </c>
      <c r="BZ174" s="49">
        <f t="shared" si="396"/>
        <v>3.3333333333333329E-6</v>
      </c>
      <c r="CA174" s="3">
        <f t="shared" si="397"/>
        <v>2E-3</v>
      </c>
      <c r="CB174" s="49">
        <f t="shared" si="398"/>
        <v>1.3333333333333289E-7</v>
      </c>
      <c r="CC174" s="49">
        <f t="shared" si="399"/>
        <v>0</v>
      </c>
      <c r="CD174" s="49">
        <f t="shared" si="400"/>
        <v>6.0000000000000008E-8</v>
      </c>
      <c r="CE174" s="3">
        <f t="shared" si="401"/>
        <v>0.01</v>
      </c>
      <c r="CF174" s="50">
        <f t="shared" si="346"/>
        <v>1.019803961658209E-2</v>
      </c>
      <c r="CG174" s="3">
        <f t="shared" si="402"/>
        <v>4.4999999999999993E-6</v>
      </c>
      <c r="CH174" s="3">
        <f t="shared" si="403"/>
        <v>2.0874999999999999E-3</v>
      </c>
      <c r="CI174" s="3">
        <f t="shared" si="347"/>
        <v>1.3333333333333289E-7</v>
      </c>
      <c r="CJ174" s="3">
        <f t="shared" si="348"/>
        <v>0</v>
      </c>
      <c r="CK174" s="3">
        <f t="shared" si="404"/>
        <v>6.0000000000000008E-8</v>
      </c>
      <c r="CL174" s="214">
        <f t="shared" si="405"/>
        <v>1.35E-2</v>
      </c>
      <c r="CM174" s="50">
        <f t="shared" si="349"/>
        <v>1.3660442076352352E-2</v>
      </c>
    </row>
    <row r="175" spans="16:91">
      <c r="P175" s="116">
        <f t="shared" si="350"/>
        <v>2000</v>
      </c>
      <c r="Q175" s="135">
        <f t="shared" si="351"/>
        <v>10</v>
      </c>
      <c r="R175" s="49">
        <f t="shared" si="352"/>
        <v>5.0000000000000002E-5</v>
      </c>
      <c r="S175" s="3">
        <f t="shared" si="353"/>
        <v>8.0000000000000002E-3</v>
      </c>
      <c r="T175" s="49">
        <f t="shared" si="354"/>
        <v>3.9999999999999861E-7</v>
      </c>
      <c r="U175" s="49">
        <f t="shared" si="355"/>
        <v>0</v>
      </c>
      <c r="V175" s="49">
        <f t="shared" si="356"/>
        <v>4.0000000000000001E-8</v>
      </c>
      <c r="W175" s="3">
        <f t="shared" si="357"/>
        <v>0.01</v>
      </c>
      <c r="X175" s="50">
        <f t="shared" si="330"/>
        <v>1.2806347651129889E-2</v>
      </c>
      <c r="Y175" s="3">
        <f t="shared" si="358"/>
        <v>5.3499999999999999E-5</v>
      </c>
      <c r="Z175" s="3">
        <f t="shared" si="359"/>
        <v>8.6999999999999994E-3</v>
      </c>
      <c r="AA175" s="3">
        <f t="shared" si="331"/>
        <v>3.9999999999999861E-7</v>
      </c>
      <c r="AB175" s="3">
        <f t="shared" si="332"/>
        <v>0</v>
      </c>
      <c r="AC175" s="3">
        <f t="shared" si="360"/>
        <v>4.0000000000000001E-8</v>
      </c>
      <c r="AD175" s="214">
        <f t="shared" si="361"/>
        <v>1.35E-2</v>
      </c>
      <c r="AE175" s="136">
        <f t="shared" si="333"/>
        <v>1.6060601022738843E-2</v>
      </c>
      <c r="AF175" s="16">
        <f t="shared" si="362"/>
        <v>10</v>
      </c>
      <c r="AG175" s="49">
        <f t="shared" si="363"/>
        <v>7.9999999999999996E-7</v>
      </c>
      <c r="AH175" s="3">
        <f t="shared" si="364"/>
        <v>1.4999999999999999E-4</v>
      </c>
      <c r="AI175" s="49">
        <f t="shared" si="365"/>
        <v>5.011872336272704E-9</v>
      </c>
      <c r="AJ175" s="49">
        <f t="shared" si="366"/>
        <v>1.1384199576606131E-7</v>
      </c>
      <c r="AK175" s="49">
        <f t="shared" si="367"/>
        <v>2.2500000000000003E-8</v>
      </c>
      <c r="AL175" s="3">
        <f t="shared" si="368"/>
        <v>0.01</v>
      </c>
      <c r="AM175" s="50">
        <f t="shared" si="334"/>
        <v>1.0001124978961051E-2</v>
      </c>
      <c r="AN175" s="3">
        <f t="shared" si="369"/>
        <v>1.15E-6</v>
      </c>
      <c r="AO175" s="3">
        <f t="shared" si="370"/>
        <v>2.1999999999999998E-4</v>
      </c>
      <c r="AP175" s="3">
        <f t="shared" si="335"/>
        <v>5.011872336272704E-9</v>
      </c>
      <c r="AQ175" s="3">
        <f t="shared" si="336"/>
        <v>1.1384199576606131E-7</v>
      </c>
      <c r="AR175" s="3">
        <f t="shared" si="371"/>
        <v>2.2500000000000003E-8</v>
      </c>
      <c r="AS175" s="214">
        <f t="shared" si="372"/>
        <v>1.35E-2</v>
      </c>
      <c r="AT175" s="50">
        <f t="shared" si="337"/>
        <v>1.350179253323411E-2</v>
      </c>
      <c r="AU175" s="16">
        <f t="shared" si="373"/>
        <v>10</v>
      </c>
      <c r="AV175" s="49">
        <f t="shared" si="374"/>
        <v>1.4999999999999999E-5</v>
      </c>
      <c r="AW175" s="3">
        <f t="shared" si="375"/>
        <v>8.0000000000000002E-3</v>
      </c>
      <c r="AX175" s="49">
        <f t="shared" si="376"/>
        <v>3.9999999999999861E-7</v>
      </c>
      <c r="AY175" s="49">
        <f t="shared" si="377"/>
        <v>7.5714881337623135E-5</v>
      </c>
      <c r="AZ175" s="49">
        <f t="shared" si="378"/>
        <v>4.0000000000000001E-8</v>
      </c>
      <c r="BA175" s="3">
        <f t="shared" si="379"/>
        <v>0.01</v>
      </c>
      <c r="BB175" s="50">
        <f t="shared" si="338"/>
        <v>1.2806572606408054E-2</v>
      </c>
      <c r="BC175" s="3">
        <f t="shared" si="380"/>
        <v>1.8499999999999999E-5</v>
      </c>
      <c r="BD175" s="3">
        <f t="shared" si="381"/>
        <v>8.6999999999999994E-3</v>
      </c>
      <c r="BE175" s="3">
        <f t="shared" si="339"/>
        <v>3.9999999999999861E-7</v>
      </c>
      <c r="BF175" s="3">
        <f t="shared" si="340"/>
        <v>7.5714881337623135E-5</v>
      </c>
      <c r="BG175" s="3">
        <f t="shared" si="382"/>
        <v>4.0000000000000001E-8</v>
      </c>
      <c r="BH175" s="214">
        <f t="shared" si="383"/>
        <v>1.35E-2</v>
      </c>
      <c r="BI175" s="50">
        <f t="shared" si="341"/>
        <v>1.6060789270062992E-2</v>
      </c>
      <c r="BJ175" s="16">
        <f t="shared" si="384"/>
        <v>10</v>
      </c>
      <c r="BK175" s="49">
        <f t="shared" si="385"/>
        <v>1.4999999999999999E-5</v>
      </c>
      <c r="BL175" s="3">
        <f t="shared" si="386"/>
        <v>1E-3</v>
      </c>
      <c r="BM175" s="49">
        <f t="shared" si="387"/>
        <v>9.9999999999999651E-8</v>
      </c>
      <c r="BN175" s="49">
        <f t="shared" si="388"/>
        <v>3.6000000000000003E-6</v>
      </c>
      <c r="BO175" s="49">
        <f t="shared" si="389"/>
        <v>2.2500000000000003E-8</v>
      </c>
      <c r="BP175" s="3">
        <f t="shared" si="390"/>
        <v>0.01</v>
      </c>
      <c r="BQ175" s="50">
        <f t="shared" si="342"/>
        <v>1.0049893018858771E-2</v>
      </c>
      <c r="BR175" s="3">
        <f t="shared" si="391"/>
        <v>1.6749999999999997E-5</v>
      </c>
      <c r="BS175" s="3">
        <f t="shared" si="392"/>
        <v>1.175E-3</v>
      </c>
      <c r="BT175" s="3">
        <f t="shared" si="343"/>
        <v>9.9999999999999651E-8</v>
      </c>
      <c r="BU175" s="3">
        <f t="shared" si="344"/>
        <v>3.6000000000000003E-6</v>
      </c>
      <c r="BV175" s="3">
        <f t="shared" si="393"/>
        <v>2.2500000000000003E-8</v>
      </c>
      <c r="BW175" s="214">
        <f t="shared" si="394"/>
        <v>1.35E-2</v>
      </c>
      <c r="BX175" s="50">
        <f t="shared" si="345"/>
        <v>1.35510532137914E-2</v>
      </c>
      <c r="BY175" s="16">
        <f t="shared" si="395"/>
        <v>10</v>
      </c>
      <c r="BZ175" s="49">
        <f t="shared" si="396"/>
        <v>2.4999999999999998E-6</v>
      </c>
      <c r="CA175" s="3">
        <f t="shared" si="397"/>
        <v>2E-3</v>
      </c>
      <c r="CB175" s="49">
        <f t="shared" si="398"/>
        <v>9.9999999999999651E-8</v>
      </c>
      <c r="CC175" s="49">
        <f t="shared" si="399"/>
        <v>0</v>
      </c>
      <c r="CD175" s="49">
        <f t="shared" si="400"/>
        <v>4.5000000000000006E-8</v>
      </c>
      <c r="CE175" s="3">
        <f t="shared" si="401"/>
        <v>0.01</v>
      </c>
      <c r="CF175" s="50">
        <f t="shared" si="346"/>
        <v>1.0198039358721116E-2</v>
      </c>
      <c r="CG175" s="3">
        <f t="shared" si="402"/>
        <v>3.3749999999999999E-6</v>
      </c>
      <c r="CH175" s="3">
        <f t="shared" si="403"/>
        <v>2.0874999999999999E-3</v>
      </c>
      <c r="CI175" s="3">
        <f t="shared" si="347"/>
        <v>9.9999999999999651E-8</v>
      </c>
      <c r="CJ175" s="3">
        <f t="shared" si="348"/>
        <v>0</v>
      </c>
      <c r="CK175" s="3">
        <f t="shared" si="404"/>
        <v>4.5000000000000006E-8</v>
      </c>
      <c r="CL175" s="214">
        <f t="shared" si="405"/>
        <v>1.35E-2</v>
      </c>
      <c r="CM175" s="50">
        <f t="shared" si="349"/>
        <v>1.3660441732522781E-2</v>
      </c>
    </row>
    <row r="176" spans="16:91">
      <c r="P176" s="116">
        <f t="shared" si="350"/>
        <v>2500</v>
      </c>
      <c r="Q176" s="135">
        <f t="shared" si="351"/>
        <v>12.5</v>
      </c>
      <c r="R176" s="49">
        <f t="shared" si="352"/>
        <v>4.0000000000000003E-5</v>
      </c>
      <c r="S176" s="3">
        <f t="shared" si="353"/>
        <v>8.0000000000000002E-3</v>
      </c>
      <c r="T176" s="49">
        <f t="shared" si="354"/>
        <v>3.1999999999999889E-7</v>
      </c>
      <c r="U176" s="49">
        <f t="shared" si="355"/>
        <v>0</v>
      </c>
      <c r="V176" s="49">
        <f t="shared" si="356"/>
        <v>3.2000000000000002E-8</v>
      </c>
      <c r="W176" s="3">
        <f t="shared" si="357"/>
        <v>0.01</v>
      </c>
      <c r="X176" s="50">
        <f t="shared" si="330"/>
        <v>1.2806311947763259E-2</v>
      </c>
      <c r="Y176" s="3">
        <f t="shared" si="358"/>
        <v>4.2800000000000004E-5</v>
      </c>
      <c r="Z176" s="3">
        <f t="shared" si="359"/>
        <v>8.6999999999999994E-3</v>
      </c>
      <c r="AA176" s="3">
        <f t="shared" si="331"/>
        <v>3.1999999999999889E-7</v>
      </c>
      <c r="AB176" s="3">
        <f t="shared" si="332"/>
        <v>0</v>
      </c>
      <c r="AC176" s="3">
        <f t="shared" si="360"/>
        <v>3.2000000000000002E-8</v>
      </c>
      <c r="AD176" s="214">
        <f t="shared" si="361"/>
        <v>1.35E-2</v>
      </c>
      <c r="AE176" s="136">
        <f t="shared" si="333"/>
        <v>1.6060568462399578E-2</v>
      </c>
      <c r="AF176" s="16">
        <f t="shared" si="362"/>
        <v>12.5</v>
      </c>
      <c r="AG176" s="49">
        <f t="shared" si="363"/>
        <v>6.4000000000000001E-7</v>
      </c>
      <c r="AH176" s="3">
        <f t="shared" si="364"/>
        <v>1.4999999999999999E-4</v>
      </c>
      <c r="AI176" s="49">
        <f t="shared" si="365"/>
        <v>4.0094978690181632E-9</v>
      </c>
      <c r="AJ176" s="49">
        <f t="shared" si="366"/>
        <v>9.1073596612849052E-8</v>
      </c>
      <c r="AK176" s="49">
        <f t="shared" si="367"/>
        <v>1.8000000000000002E-8</v>
      </c>
      <c r="AL176" s="3">
        <f t="shared" si="368"/>
        <v>0.01</v>
      </c>
      <c r="AM176" s="50">
        <f t="shared" si="334"/>
        <v>1.0001124963756386E-2</v>
      </c>
      <c r="AN176" s="3">
        <f t="shared" si="369"/>
        <v>9.2000000000000009E-7</v>
      </c>
      <c r="AO176" s="3">
        <f t="shared" si="370"/>
        <v>2.1999999999999998E-4</v>
      </c>
      <c r="AP176" s="3">
        <f t="shared" si="335"/>
        <v>4.0094978690181632E-9</v>
      </c>
      <c r="AQ176" s="3">
        <f t="shared" si="336"/>
        <v>9.1073596612849052E-8</v>
      </c>
      <c r="AR176" s="3">
        <f t="shared" si="371"/>
        <v>1.8000000000000002E-8</v>
      </c>
      <c r="AS176" s="214">
        <f t="shared" si="372"/>
        <v>1.35E-2</v>
      </c>
      <c r="AT176" s="50">
        <f t="shared" si="337"/>
        <v>1.3501792511763677E-2</v>
      </c>
      <c r="AU176" s="16">
        <f t="shared" si="373"/>
        <v>12.5</v>
      </c>
      <c r="AV176" s="49">
        <f t="shared" si="374"/>
        <v>1.1999999999999999E-5</v>
      </c>
      <c r="AW176" s="3">
        <f t="shared" si="375"/>
        <v>8.0000000000000002E-3</v>
      </c>
      <c r="AX176" s="49">
        <f t="shared" si="376"/>
        <v>3.1999999999999889E-7</v>
      </c>
      <c r="AY176" s="49">
        <f t="shared" si="377"/>
        <v>6.0571905070098511E-5</v>
      </c>
      <c r="AZ176" s="49">
        <f t="shared" si="378"/>
        <v>3.2000000000000002E-8</v>
      </c>
      <c r="BA176" s="3">
        <f t="shared" si="379"/>
        <v>0.01</v>
      </c>
      <c r="BB176" s="50">
        <f t="shared" si="338"/>
        <v>1.280645591999788E-2</v>
      </c>
      <c r="BC176" s="3">
        <f t="shared" si="380"/>
        <v>1.4799999999999999E-5</v>
      </c>
      <c r="BD176" s="3">
        <f t="shared" si="381"/>
        <v>8.6999999999999994E-3</v>
      </c>
      <c r="BE176" s="3">
        <f t="shared" si="339"/>
        <v>3.1999999999999889E-7</v>
      </c>
      <c r="BF176" s="3">
        <f t="shared" si="340"/>
        <v>6.0571905070098511E-5</v>
      </c>
      <c r="BG176" s="3">
        <f t="shared" si="382"/>
        <v>3.2000000000000002E-8</v>
      </c>
      <c r="BH176" s="214">
        <f t="shared" si="383"/>
        <v>1.35E-2</v>
      </c>
      <c r="BI176" s="50">
        <f t="shared" si="341"/>
        <v>1.6060688941185466E-2</v>
      </c>
      <c r="BJ176" s="16">
        <f t="shared" si="384"/>
        <v>12.5</v>
      </c>
      <c r="BK176" s="49">
        <f t="shared" si="385"/>
        <v>1.1999999999999999E-5</v>
      </c>
      <c r="BL176" s="3">
        <f t="shared" si="386"/>
        <v>1E-3</v>
      </c>
      <c r="BM176" s="49">
        <f t="shared" si="387"/>
        <v>7.9999999999999724E-8</v>
      </c>
      <c r="BN176" s="49">
        <f t="shared" si="388"/>
        <v>2.88E-6</v>
      </c>
      <c r="BO176" s="49">
        <f t="shared" si="389"/>
        <v>1.8000000000000002E-8</v>
      </c>
      <c r="BP176" s="3">
        <f t="shared" si="390"/>
        <v>0.01</v>
      </c>
      <c r="BQ176" s="50">
        <f t="shared" si="342"/>
        <v>1.0049886755676604E-2</v>
      </c>
      <c r="BR176" s="3">
        <f t="shared" si="391"/>
        <v>1.3399999999999999E-5</v>
      </c>
      <c r="BS176" s="3">
        <f t="shared" si="392"/>
        <v>1.175E-3</v>
      </c>
      <c r="BT176" s="3">
        <f t="shared" si="343"/>
        <v>7.9999999999999724E-8</v>
      </c>
      <c r="BU176" s="3">
        <f t="shared" si="344"/>
        <v>2.88E-6</v>
      </c>
      <c r="BV176" s="3">
        <f t="shared" si="393"/>
        <v>1.8000000000000002E-8</v>
      </c>
      <c r="BW176" s="214">
        <f t="shared" si="394"/>
        <v>1.35E-2</v>
      </c>
      <c r="BX176" s="50">
        <f t="shared" si="345"/>
        <v>1.3551047658757753E-2</v>
      </c>
      <c r="BY176" s="16">
        <f t="shared" si="395"/>
        <v>12.5</v>
      </c>
      <c r="BZ176" s="49">
        <f t="shared" si="396"/>
        <v>1.9999999999999999E-6</v>
      </c>
      <c r="CA176" s="3">
        <f t="shared" si="397"/>
        <v>2E-3</v>
      </c>
      <c r="CB176" s="49">
        <f t="shared" si="398"/>
        <v>7.9999999999999724E-8</v>
      </c>
      <c r="CC176" s="49">
        <f t="shared" si="399"/>
        <v>0</v>
      </c>
      <c r="CD176" s="49">
        <f t="shared" si="400"/>
        <v>3.6000000000000005E-8</v>
      </c>
      <c r="CE176" s="3">
        <f t="shared" si="401"/>
        <v>0.01</v>
      </c>
      <c r="CF176" s="50">
        <f t="shared" si="346"/>
        <v>1.0198039239368321E-2</v>
      </c>
      <c r="CG176" s="3">
        <f t="shared" si="402"/>
        <v>2.7E-6</v>
      </c>
      <c r="CH176" s="3">
        <f t="shared" si="403"/>
        <v>2.0874999999999999E-3</v>
      </c>
      <c r="CI176" s="3">
        <f t="shared" si="347"/>
        <v>7.9999999999999724E-8</v>
      </c>
      <c r="CJ176" s="3">
        <f t="shared" si="348"/>
        <v>0</v>
      </c>
      <c r="CK176" s="3">
        <f t="shared" si="404"/>
        <v>3.6000000000000005E-8</v>
      </c>
      <c r="CL176" s="214">
        <f t="shared" si="405"/>
        <v>1.35E-2</v>
      </c>
      <c r="CM176" s="50">
        <f t="shared" si="349"/>
        <v>1.3660441573378805E-2</v>
      </c>
    </row>
    <row r="177" spans="16:91">
      <c r="P177" s="116">
        <f t="shared" si="350"/>
        <v>3000</v>
      </c>
      <c r="Q177" s="135">
        <f t="shared" si="351"/>
        <v>15</v>
      </c>
      <c r="R177" s="49">
        <f t="shared" si="352"/>
        <v>3.3333333333333335E-5</v>
      </c>
      <c r="S177" s="3">
        <f t="shared" si="353"/>
        <v>8.0000000000000002E-3</v>
      </c>
      <c r="T177" s="49">
        <f t="shared" si="354"/>
        <v>2.6666666666666577E-7</v>
      </c>
      <c r="U177" s="49">
        <f t="shared" si="355"/>
        <v>0</v>
      </c>
      <c r="V177" s="49">
        <f t="shared" si="356"/>
        <v>2.6666666666666667E-8</v>
      </c>
      <c r="W177" s="3">
        <f t="shared" si="357"/>
        <v>0.01</v>
      </c>
      <c r="X177" s="50">
        <f t="shared" si="330"/>
        <v>1.280629255330016E-2</v>
      </c>
      <c r="Y177" s="3">
        <f t="shared" si="358"/>
        <v>3.5666666666666669E-5</v>
      </c>
      <c r="Z177" s="3">
        <f t="shared" si="359"/>
        <v>8.6999999999999994E-3</v>
      </c>
      <c r="AA177" s="3">
        <f t="shared" si="331"/>
        <v>2.6666666666666577E-7</v>
      </c>
      <c r="AB177" s="3">
        <f t="shared" si="332"/>
        <v>0</v>
      </c>
      <c r="AC177" s="3">
        <f t="shared" si="360"/>
        <v>2.6666666666666667E-8</v>
      </c>
      <c r="AD177" s="214">
        <f t="shared" si="361"/>
        <v>1.35E-2</v>
      </c>
      <c r="AE177" s="136">
        <f t="shared" si="333"/>
        <v>1.6060550775274039E-2</v>
      </c>
      <c r="AF177" s="16">
        <f t="shared" si="362"/>
        <v>15</v>
      </c>
      <c r="AG177" s="49">
        <f t="shared" si="363"/>
        <v>5.3333333333333334E-7</v>
      </c>
      <c r="AH177" s="3">
        <f t="shared" si="364"/>
        <v>1.4999999999999999E-4</v>
      </c>
      <c r="AI177" s="49">
        <f t="shared" si="365"/>
        <v>3.3412482241818026E-9</v>
      </c>
      <c r="AJ177" s="49">
        <f t="shared" si="366"/>
        <v>7.589466384404087E-8</v>
      </c>
      <c r="AK177" s="49">
        <f t="shared" si="367"/>
        <v>1.5000000000000002E-8</v>
      </c>
      <c r="AL177" s="3">
        <f t="shared" si="368"/>
        <v>0.01</v>
      </c>
      <c r="AM177" s="50">
        <f t="shared" si="334"/>
        <v>1.0001124955497062E-2</v>
      </c>
      <c r="AN177" s="3">
        <f t="shared" si="369"/>
        <v>7.666666666666667E-7</v>
      </c>
      <c r="AO177" s="3">
        <f t="shared" si="370"/>
        <v>2.1999999999999998E-4</v>
      </c>
      <c r="AP177" s="3">
        <f t="shared" si="335"/>
        <v>3.3412482241818026E-9</v>
      </c>
      <c r="AQ177" s="3">
        <f t="shared" si="336"/>
        <v>7.589466384404087E-8</v>
      </c>
      <c r="AR177" s="3">
        <f t="shared" si="371"/>
        <v>1.5000000000000002E-8</v>
      </c>
      <c r="AS177" s="214">
        <f t="shared" si="372"/>
        <v>1.35E-2</v>
      </c>
      <c r="AT177" s="50">
        <f t="shared" si="337"/>
        <v>1.3501792500100723E-2</v>
      </c>
      <c r="AU177" s="16">
        <f t="shared" si="373"/>
        <v>15</v>
      </c>
      <c r="AV177" s="49">
        <f t="shared" si="374"/>
        <v>9.9999999999999991E-6</v>
      </c>
      <c r="AW177" s="3">
        <f t="shared" si="375"/>
        <v>8.0000000000000002E-3</v>
      </c>
      <c r="AX177" s="49">
        <f t="shared" si="376"/>
        <v>2.6666666666666577E-7</v>
      </c>
      <c r="AY177" s="49">
        <f t="shared" si="377"/>
        <v>5.047658755841543E-5</v>
      </c>
      <c r="AZ177" s="49">
        <f t="shared" si="378"/>
        <v>2.6666666666666667E-8</v>
      </c>
      <c r="BA177" s="3">
        <f t="shared" si="379"/>
        <v>0.01</v>
      </c>
      <c r="BB177" s="50">
        <f t="shared" si="338"/>
        <v>1.2806392534341784E-2</v>
      </c>
      <c r="BC177" s="3">
        <f t="shared" si="380"/>
        <v>1.2333333333333333E-5</v>
      </c>
      <c r="BD177" s="3">
        <f t="shared" si="381"/>
        <v>8.6999999999999994E-3</v>
      </c>
      <c r="BE177" s="3">
        <f t="shared" si="339"/>
        <v>2.6666666666666577E-7</v>
      </c>
      <c r="BF177" s="3">
        <f t="shared" si="340"/>
        <v>5.047658755841543E-5</v>
      </c>
      <c r="BG177" s="3">
        <f t="shared" si="382"/>
        <v>2.6666666666666667E-8</v>
      </c>
      <c r="BH177" s="214">
        <f t="shared" si="383"/>
        <v>1.35E-2</v>
      </c>
      <c r="BI177" s="50">
        <f t="shared" si="341"/>
        <v>1.6060634441285596E-2</v>
      </c>
      <c r="BJ177" s="16">
        <f t="shared" si="384"/>
        <v>15</v>
      </c>
      <c r="BK177" s="49">
        <f t="shared" si="385"/>
        <v>9.9999999999999991E-6</v>
      </c>
      <c r="BL177" s="3">
        <f t="shared" si="386"/>
        <v>1E-3</v>
      </c>
      <c r="BM177" s="49">
        <f t="shared" si="387"/>
        <v>6.6666666666666443E-8</v>
      </c>
      <c r="BN177" s="49">
        <f t="shared" si="388"/>
        <v>2.3999999999999999E-6</v>
      </c>
      <c r="BO177" s="49">
        <f t="shared" si="389"/>
        <v>1.5000000000000002E-8</v>
      </c>
      <c r="BP177" s="3">
        <f t="shared" si="390"/>
        <v>0.01</v>
      </c>
      <c r="BQ177" s="50">
        <f t="shared" si="342"/>
        <v>1.0049883353452556E-2</v>
      </c>
      <c r="BR177" s="3">
        <f t="shared" si="391"/>
        <v>1.1166666666666666E-5</v>
      </c>
      <c r="BS177" s="3">
        <f t="shared" si="392"/>
        <v>1.175E-3</v>
      </c>
      <c r="BT177" s="3">
        <f t="shared" si="343"/>
        <v>6.6666666666666443E-8</v>
      </c>
      <c r="BU177" s="3">
        <f t="shared" si="344"/>
        <v>2.3999999999999999E-6</v>
      </c>
      <c r="BV177" s="3">
        <f t="shared" si="393"/>
        <v>1.5000000000000002E-8</v>
      </c>
      <c r="BW177" s="214">
        <f t="shared" si="394"/>
        <v>1.35E-2</v>
      </c>
      <c r="BX177" s="50">
        <f t="shared" si="345"/>
        <v>1.3551044641207658E-2</v>
      </c>
      <c r="BY177" s="16">
        <f t="shared" si="395"/>
        <v>15</v>
      </c>
      <c r="BZ177" s="49">
        <f t="shared" si="396"/>
        <v>1.6666666666666665E-6</v>
      </c>
      <c r="CA177" s="3">
        <f t="shared" si="397"/>
        <v>2E-3</v>
      </c>
      <c r="CB177" s="49">
        <f t="shared" si="398"/>
        <v>6.6666666666666443E-8</v>
      </c>
      <c r="CC177" s="49">
        <f t="shared" si="399"/>
        <v>0</v>
      </c>
      <c r="CD177" s="49">
        <f t="shared" si="400"/>
        <v>3.0000000000000004E-8</v>
      </c>
      <c r="CE177" s="3">
        <f t="shared" si="401"/>
        <v>0.01</v>
      </c>
      <c r="CF177" s="50">
        <f t="shared" si="346"/>
        <v>1.0198039174534703E-2</v>
      </c>
      <c r="CG177" s="3">
        <f t="shared" si="402"/>
        <v>2.2499999999999996E-6</v>
      </c>
      <c r="CH177" s="3">
        <f t="shared" si="403"/>
        <v>2.0874999999999999E-3</v>
      </c>
      <c r="CI177" s="3">
        <f t="shared" si="347"/>
        <v>6.6666666666666443E-8</v>
      </c>
      <c r="CJ177" s="3">
        <f t="shared" si="348"/>
        <v>0</v>
      </c>
      <c r="CK177" s="3">
        <f t="shared" si="404"/>
        <v>3.0000000000000004E-8</v>
      </c>
      <c r="CL177" s="214">
        <f t="shared" si="405"/>
        <v>1.35E-2</v>
      </c>
      <c r="CM177" s="50">
        <f t="shared" si="349"/>
        <v>1.3660441486930224E-2</v>
      </c>
    </row>
    <row r="178" spans="16:91">
      <c r="P178" s="116">
        <f t="shared" si="350"/>
        <v>3500</v>
      </c>
      <c r="Q178" s="135">
        <f t="shared" si="351"/>
        <v>17.5</v>
      </c>
      <c r="R178" s="49">
        <f t="shared" si="352"/>
        <v>2.8571428571428571E-5</v>
      </c>
      <c r="S178" s="3">
        <f t="shared" si="353"/>
        <v>8.0000000000000002E-3</v>
      </c>
      <c r="T178" s="49">
        <f t="shared" si="354"/>
        <v>2.2857142857142778E-7</v>
      </c>
      <c r="U178" s="49">
        <f t="shared" si="355"/>
        <v>0</v>
      </c>
      <c r="V178" s="49">
        <f t="shared" si="356"/>
        <v>2.2857142857142858E-8</v>
      </c>
      <c r="W178" s="3">
        <f t="shared" si="357"/>
        <v>0.01</v>
      </c>
      <c r="X178" s="50">
        <f t="shared" si="330"/>
        <v>1.2806280859036415E-2</v>
      </c>
      <c r="Y178" s="3">
        <f t="shared" si="358"/>
        <v>3.0571428571428572E-5</v>
      </c>
      <c r="Z178" s="3">
        <f t="shared" si="359"/>
        <v>8.6999999999999994E-3</v>
      </c>
      <c r="AA178" s="3">
        <f t="shared" si="331"/>
        <v>2.2857142857142778E-7</v>
      </c>
      <c r="AB178" s="3">
        <f t="shared" si="332"/>
        <v>0</v>
      </c>
      <c r="AC178" s="3">
        <f t="shared" si="360"/>
        <v>2.2857142857142858E-8</v>
      </c>
      <c r="AD178" s="214">
        <f t="shared" si="361"/>
        <v>1.35E-2</v>
      </c>
      <c r="AE178" s="136">
        <f t="shared" si="333"/>
        <v>1.6060540110485775E-2</v>
      </c>
      <c r="AF178" s="16">
        <f t="shared" si="362"/>
        <v>17.5</v>
      </c>
      <c r="AG178" s="49">
        <f t="shared" si="363"/>
        <v>4.571428571428571E-7</v>
      </c>
      <c r="AH178" s="3">
        <f t="shared" si="364"/>
        <v>1.4999999999999999E-4</v>
      </c>
      <c r="AI178" s="49">
        <f t="shared" si="365"/>
        <v>2.8639270492986877E-9</v>
      </c>
      <c r="AJ178" s="49">
        <f t="shared" si="366"/>
        <v>6.5052569009177898E-8</v>
      </c>
      <c r="AK178" s="49">
        <f t="shared" si="367"/>
        <v>1.2857142857142857E-8</v>
      </c>
      <c r="AL178" s="3">
        <f t="shared" si="368"/>
        <v>0.01</v>
      </c>
      <c r="AM178" s="50">
        <f t="shared" si="334"/>
        <v>1.0001124950516948E-2</v>
      </c>
      <c r="AN178" s="3">
        <f t="shared" si="369"/>
        <v>6.5714285714285714E-7</v>
      </c>
      <c r="AO178" s="3">
        <f t="shared" si="370"/>
        <v>2.1999999999999998E-4</v>
      </c>
      <c r="AP178" s="3">
        <f t="shared" si="335"/>
        <v>2.8639270492986877E-9</v>
      </c>
      <c r="AQ178" s="3">
        <f t="shared" si="336"/>
        <v>6.5052569009177898E-8</v>
      </c>
      <c r="AR178" s="3">
        <f t="shared" si="371"/>
        <v>1.2857142857142857E-8</v>
      </c>
      <c r="AS178" s="214">
        <f t="shared" si="372"/>
        <v>1.35E-2</v>
      </c>
      <c r="AT178" s="50">
        <f t="shared" si="337"/>
        <v>1.3501792493068331E-2</v>
      </c>
      <c r="AU178" s="16">
        <f t="shared" si="373"/>
        <v>17.5</v>
      </c>
      <c r="AV178" s="49">
        <f t="shared" si="374"/>
        <v>8.5714285714285709E-6</v>
      </c>
      <c r="AW178" s="3">
        <f t="shared" si="375"/>
        <v>8.0000000000000002E-3</v>
      </c>
      <c r="AX178" s="49">
        <f t="shared" si="376"/>
        <v>2.2857142857142778E-7</v>
      </c>
      <c r="AY178" s="49">
        <f t="shared" si="377"/>
        <v>4.3265646478641792E-5</v>
      </c>
      <c r="AZ178" s="49">
        <f t="shared" si="378"/>
        <v>2.2857142857142858E-8</v>
      </c>
      <c r="BA178" s="3">
        <f t="shared" si="379"/>
        <v>0.01</v>
      </c>
      <c r="BB178" s="50">
        <f t="shared" si="338"/>
        <v>1.2806354314638717E-2</v>
      </c>
      <c r="BC178" s="3">
        <f t="shared" si="380"/>
        <v>1.057142857142857E-5</v>
      </c>
      <c r="BD178" s="3">
        <f t="shared" si="381"/>
        <v>8.6999999999999994E-3</v>
      </c>
      <c r="BE178" s="3">
        <f t="shared" si="339"/>
        <v>2.2857142857142778E-7</v>
      </c>
      <c r="BF178" s="3">
        <f t="shared" si="340"/>
        <v>4.3265646478641792E-5</v>
      </c>
      <c r="BG178" s="3">
        <f t="shared" si="382"/>
        <v>2.2857142857142858E-8</v>
      </c>
      <c r="BH178" s="214">
        <f t="shared" si="383"/>
        <v>1.35E-2</v>
      </c>
      <c r="BI178" s="50">
        <f t="shared" si="341"/>
        <v>1.606060157947552E-2</v>
      </c>
      <c r="BJ178" s="16">
        <f t="shared" si="384"/>
        <v>17.5</v>
      </c>
      <c r="BK178" s="49">
        <f t="shared" si="385"/>
        <v>8.5714285714285709E-6</v>
      </c>
      <c r="BL178" s="3">
        <f t="shared" si="386"/>
        <v>1E-3</v>
      </c>
      <c r="BM178" s="49">
        <f t="shared" si="387"/>
        <v>5.7142857142856946E-8</v>
      </c>
      <c r="BN178" s="49">
        <f t="shared" si="388"/>
        <v>2.0571428571428573E-6</v>
      </c>
      <c r="BO178" s="49">
        <f t="shared" si="389"/>
        <v>1.2857142857142857E-8</v>
      </c>
      <c r="BP178" s="3">
        <f t="shared" si="390"/>
        <v>0.01</v>
      </c>
      <c r="BQ178" s="50">
        <f t="shared" si="342"/>
        <v>1.0049881302018204E-2</v>
      </c>
      <c r="BR178" s="3">
        <f t="shared" si="391"/>
        <v>9.5714285714285715E-6</v>
      </c>
      <c r="BS178" s="3">
        <f t="shared" si="392"/>
        <v>1.175E-3</v>
      </c>
      <c r="BT178" s="3">
        <f t="shared" si="343"/>
        <v>5.7142857142856946E-8</v>
      </c>
      <c r="BU178" s="3">
        <f t="shared" si="344"/>
        <v>2.0571428571428573E-6</v>
      </c>
      <c r="BV178" s="3">
        <f t="shared" si="393"/>
        <v>1.2857142857142857E-8</v>
      </c>
      <c r="BW178" s="214">
        <f t="shared" si="394"/>
        <v>1.35E-2</v>
      </c>
      <c r="BX178" s="50">
        <f t="shared" si="345"/>
        <v>1.3551042821719797E-2</v>
      </c>
      <c r="BY178" s="16">
        <f t="shared" si="395"/>
        <v>17.5</v>
      </c>
      <c r="BZ178" s="49">
        <f t="shared" si="396"/>
        <v>1.4285714285714284E-6</v>
      </c>
      <c r="CA178" s="3">
        <f t="shared" si="397"/>
        <v>2E-3</v>
      </c>
      <c r="CB178" s="49">
        <f t="shared" si="398"/>
        <v>5.7142857142856946E-8</v>
      </c>
      <c r="CC178" s="49">
        <f t="shared" si="399"/>
        <v>0</v>
      </c>
      <c r="CD178" s="49">
        <f t="shared" si="400"/>
        <v>2.5714285714285715E-8</v>
      </c>
      <c r="CE178" s="3">
        <f t="shared" si="401"/>
        <v>0.01</v>
      </c>
      <c r="CF178" s="50">
        <f t="shared" si="346"/>
        <v>1.0198039135442077E-2</v>
      </c>
      <c r="CG178" s="3">
        <f t="shared" si="402"/>
        <v>1.9285714285714285E-6</v>
      </c>
      <c r="CH178" s="3">
        <f t="shared" si="403"/>
        <v>2.0874999999999999E-3</v>
      </c>
      <c r="CI178" s="3">
        <f t="shared" si="347"/>
        <v>5.7142857142856946E-8</v>
      </c>
      <c r="CJ178" s="3">
        <f t="shared" si="348"/>
        <v>0</v>
      </c>
      <c r="CK178" s="3">
        <f t="shared" si="404"/>
        <v>2.5714285714285715E-8</v>
      </c>
      <c r="CL178" s="214">
        <f t="shared" si="405"/>
        <v>1.35E-2</v>
      </c>
      <c r="CM178" s="50">
        <f t="shared" si="349"/>
        <v>1.3660441434804457E-2</v>
      </c>
    </row>
    <row r="179" spans="16:91">
      <c r="P179" s="116">
        <f t="shared" si="350"/>
        <v>4000</v>
      </c>
      <c r="Q179" s="135">
        <f t="shared" si="351"/>
        <v>20</v>
      </c>
      <c r="R179" s="49">
        <f t="shared" si="352"/>
        <v>2.5000000000000001E-5</v>
      </c>
      <c r="S179" s="3">
        <f t="shared" si="353"/>
        <v>8.0000000000000002E-3</v>
      </c>
      <c r="T179" s="49">
        <f t="shared" si="354"/>
        <v>1.999999999999993E-7</v>
      </c>
      <c r="U179" s="49">
        <f t="shared" si="355"/>
        <v>0</v>
      </c>
      <c r="V179" s="49">
        <f t="shared" si="356"/>
        <v>2E-8</v>
      </c>
      <c r="W179" s="3">
        <f t="shared" si="357"/>
        <v>0.01</v>
      </c>
      <c r="X179" s="50">
        <f t="shared" si="330"/>
        <v>1.2806273269003752E-2</v>
      </c>
      <c r="Y179" s="3">
        <f t="shared" si="358"/>
        <v>2.675E-5</v>
      </c>
      <c r="Z179" s="3">
        <f t="shared" si="359"/>
        <v>8.6999999999999994E-3</v>
      </c>
      <c r="AA179" s="3">
        <f t="shared" si="331"/>
        <v>1.999999999999993E-7</v>
      </c>
      <c r="AB179" s="3">
        <f t="shared" si="332"/>
        <v>0</v>
      </c>
      <c r="AC179" s="3">
        <f t="shared" si="360"/>
        <v>2E-8</v>
      </c>
      <c r="AD179" s="214">
        <f t="shared" si="361"/>
        <v>1.35E-2</v>
      </c>
      <c r="AE179" s="136">
        <f t="shared" si="333"/>
        <v>1.6060533188624219E-2</v>
      </c>
      <c r="AF179" s="16">
        <f t="shared" si="362"/>
        <v>20</v>
      </c>
      <c r="AG179" s="49">
        <f t="shared" si="363"/>
        <v>3.9999999999999998E-7</v>
      </c>
      <c r="AH179" s="3">
        <f t="shared" si="364"/>
        <v>1.4999999999999999E-4</v>
      </c>
      <c r="AI179" s="49">
        <f t="shared" si="365"/>
        <v>2.505936168136352E-9</v>
      </c>
      <c r="AJ179" s="49">
        <f t="shared" si="366"/>
        <v>5.6920997883030656E-8</v>
      </c>
      <c r="AK179" s="49">
        <f t="shared" si="367"/>
        <v>1.1250000000000001E-8</v>
      </c>
      <c r="AL179" s="3">
        <f t="shared" si="368"/>
        <v>0.01</v>
      </c>
      <c r="AM179" s="50">
        <f t="shared" si="334"/>
        <v>1.0001124947284664E-2</v>
      </c>
      <c r="AN179" s="3">
        <f t="shared" si="369"/>
        <v>5.75E-7</v>
      </c>
      <c r="AO179" s="3">
        <f t="shared" si="370"/>
        <v>2.1999999999999998E-4</v>
      </c>
      <c r="AP179" s="3">
        <f t="shared" si="335"/>
        <v>2.505936168136352E-9</v>
      </c>
      <c r="AQ179" s="3">
        <f t="shared" si="336"/>
        <v>5.6920997883030656E-8</v>
      </c>
      <c r="AR179" s="3">
        <f t="shared" si="371"/>
        <v>1.1250000000000001E-8</v>
      </c>
      <c r="AS179" s="214">
        <f t="shared" si="372"/>
        <v>1.35E-2</v>
      </c>
      <c r="AT179" s="50">
        <f t="shared" si="337"/>
        <v>1.3501792488504038E-2</v>
      </c>
      <c r="AU179" s="16">
        <f t="shared" si="373"/>
        <v>20</v>
      </c>
      <c r="AV179" s="49">
        <f t="shared" si="374"/>
        <v>7.4999999999999993E-6</v>
      </c>
      <c r="AW179" s="3">
        <f t="shared" si="375"/>
        <v>8.0000000000000002E-3</v>
      </c>
      <c r="AX179" s="49">
        <f t="shared" si="376"/>
        <v>1.999999999999993E-7</v>
      </c>
      <c r="AY179" s="49">
        <f t="shared" si="377"/>
        <v>3.7857440668811568E-5</v>
      </c>
      <c r="AZ179" s="49">
        <f t="shared" si="378"/>
        <v>2E-8</v>
      </c>
      <c r="BA179" s="3">
        <f t="shared" si="379"/>
        <v>0.01</v>
      </c>
      <c r="BB179" s="50">
        <f t="shared" si="338"/>
        <v>1.2806329508520398E-2</v>
      </c>
      <c r="BC179" s="3">
        <f t="shared" si="380"/>
        <v>9.2499999999999995E-6</v>
      </c>
      <c r="BD179" s="3">
        <f t="shared" si="381"/>
        <v>8.6999999999999994E-3</v>
      </c>
      <c r="BE179" s="3">
        <f t="shared" si="339"/>
        <v>1.999999999999993E-7</v>
      </c>
      <c r="BF179" s="3">
        <f t="shared" si="340"/>
        <v>3.7857440668811568E-5</v>
      </c>
      <c r="BG179" s="3">
        <f t="shared" si="382"/>
        <v>2E-8</v>
      </c>
      <c r="BH179" s="214">
        <f t="shared" si="383"/>
        <v>1.35E-2</v>
      </c>
      <c r="BI179" s="50">
        <f t="shared" si="341"/>
        <v>1.6060580250860882E-2</v>
      </c>
      <c r="BJ179" s="16">
        <f t="shared" si="384"/>
        <v>20</v>
      </c>
      <c r="BK179" s="49">
        <f t="shared" si="385"/>
        <v>7.4999999999999993E-6</v>
      </c>
      <c r="BL179" s="3">
        <f t="shared" si="386"/>
        <v>1E-3</v>
      </c>
      <c r="BM179" s="49">
        <f t="shared" si="387"/>
        <v>4.9999999999999826E-8</v>
      </c>
      <c r="BN179" s="49">
        <f t="shared" si="388"/>
        <v>1.8000000000000001E-6</v>
      </c>
      <c r="BO179" s="49">
        <f t="shared" si="389"/>
        <v>1.1250000000000001E-8</v>
      </c>
      <c r="BP179" s="3">
        <f t="shared" si="390"/>
        <v>0.01</v>
      </c>
      <c r="BQ179" s="50">
        <f t="shared" si="342"/>
        <v>1.0049879970558184E-2</v>
      </c>
      <c r="BR179" s="3">
        <f t="shared" si="391"/>
        <v>8.3749999999999986E-6</v>
      </c>
      <c r="BS179" s="3">
        <f t="shared" si="392"/>
        <v>1.175E-3</v>
      </c>
      <c r="BT179" s="3">
        <f t="shared" si="343"/>
        <v>4.9999999999999826E-8</v>
      </c>
      <c r="BU179" s="3">
        <f t="shared" si="344"/>
        <v>1.8000000000000001E-6</v>
      </c>
      <c r="BV179" s="3">
        <f t="shared" si="393"/>
        <v>1.1250000000000001E-8</v>
      </c>
      <c r="BW179" s="214">
        <f t="shared" si="394"/>
        <v>1.35E-2</v>
      </c>
      <c r="BX179" s="50">
        <f t="shared" si="345"/>
        <v>1.3551041640802066E-2</v>
      </c>
      <c r="BY179" s="16">
        <f t="shared" si="395"/>
        <v>20</v>
      </c>
      <c r="BZ179" s="49">
        <f t="shared" si="396"/>
        <v>1.2499999999999999E-6</v>
      </c>
      <c r="CA179" s="3">
        <f t="shared" si="397"/>
        <v>2E-3</v>
      </c>
      <c r="CB179" s="49">
        <f t="shared" si="398"/>
        <v>4.9999999999999826E-8</v>
      </c>
      <c r="CC179" s="49">
        <f t="shared" si="399"/>
        <v>0</v>
      </c>
      <c r="CD179" s="49">
        <f t="shared" si="400"/>
        <v>2.2500000000000003E-8</v>
      </c>
      <c r="CE179" s="3">
        <f t="shared" si="401"/>
        <v>0.01</v>
      </c>
      <c r="CF179" s="50">
        <f t="shared" si="346"/>
        <v>1.0198039110069458E-2</v>
      </c>
      <c r="CG179" s="3">
        <f t="shared" si="402"/>
        <v>1.6874999999999999E-6</v>
      </c>
      <c r="CH179" s="3">
        <f t="shared" si="403"/>
        <v>2.0874999999999999E-3</v>
      </c>
      <c r="CI179" s="3">
        <f t="shared" si="347"/>
        <v>4.9999999999999826E-8</v>
      </c>
      <c r="CJ179" s="3">
        <f t="shared" si="348"/>
        <v>0</v>
      </c>
      <c r="CK179" s="3">
        <f t="shared" si="404"/>
        <v>2.2500000000000003E-8</v>
      </c>
      <c r="CL179" s="214">
        <f t="shared" si="405"/>
        <v>1.35E-2</v>
      </c>
      <c r="CM179" s="50">
        <f t="shared" si="349"/>
        <v>1.3660441400972828E-2</v>
      </c>
    </row>
    <row r="180" spans="16:91" ht="12" thickBot="1">
      <c r="P180" s="116">
        <f t="shared" ref="P180" si="406">10*P162</f>
        <v>4500.0000000000009</v>
      </c>
      <c r="Q180" s="135">
        <f t="shared" si="351"/>
        <v>22.500000000000004</v>
      </c>
      <c r="R180" s="49">
        <f t="shared" si="352"/>
        <v>2.222222222222222E-5</v>
      </c>
      <c r="S180" s="3">
        <f t="shared" si="353"/>
        <v>8.0000000000000002E-3</v>
      </c>
      <c r="T180" s="49">
        <f t="shared" si="354"/>
        <v>1.7777777777777713E-7</v>
      </c>
      <c r="U180" s="49">
        <f t="shared" si="355"/>
        <v>0</v>
      </c>
      <c r="V180" s="49">
        <f t="shared" si="356"/>
        <v>1.7777777777777777E-8</v>
      </c>
      <c r="W180" s="3">
        <f t="shared" si="357"/>
        <v>0.01</v>
      </c>
      <c r="X180" s="50">
        <f t="shared" si="330"/>
        <v>1.2806268065299744E-2</v>
      </c>
      <c r="Y180" s="3">
        <f t="shared" si="358"/>
        <v>2.3777777777777777E-5</v>
      </c>
      <c r="Z180" s="3">
        <f t="shared" si="359"/>
        <v>8.6999999999999994E-3</v>
      </c>
      <c r="AA180" s="3">
        <f t="shared" si="331"/>
        <v>1.7777777777777713E-7</v>
      </c>
      <c r="AB180" s="3">
        <f t="shared" si="332"/>
        <v>0</v>
      </c>
      <c r="AC180" s="3">
        <f t="shared" si="360"/>
        <v>1.7777777777777777E-8</v>
      </c>
      <c r="AD180" s="214">
        <f t="shared" si="361"/>
        <v>1.35E-2</v>
      </c>
      <c r="AE180" s="136">
        <f t="shared" si="333"/>
        <v>1.6060528443016999E-2</v>
      </c>
      <c r="AF180" s="16">
        <f t="shared" si="362"/>
        <v>22.500000000000004</v>
      </c>
      <c r="AG180" s="49">
        <f t="shared" si="363"/>
        <v>3.5555555555555547E-7</v>
      </c>
      <c r="AH180" s="3">
        <f t="shared" si="364"/>
        <v>1.4999999999999999E-4</v>
      </c>
      <c r="AI180" s="49">
        <f t="shared" si="365"/>
        <v>2.2274988161212013E-9</v>
      </c>
      <c r="AJ180" s="49">
        <f t="shared" si="366"/>
        <v>5.0596442562693907E-8</v>
      </c>
      <c r="AK180" s="49">
        <f t="shared" si="367"/>
        <v>9.9999999999999986E-9</v>
      </c>
      <c r="AL180" s="3">
        <f t="shared" si="368"/>
        <v>0.01</v>
      </c>
      <c r="AM180" s="50">
        <f t="shared" si="334"/>
        <v>1.0001124945068621E-2</v>
      </c>
      <c r="AN180" s="3">
        <f t="shared" si="369"/>
        <v>5.1111111111111106E-7</v>
      </c>
      <c r="AO180" s="3">
        <f t="shared" si="370"/>
        <v>2.1999999999999998E-4</v>
      </c>
      <c r="AP180" s="3">
        <f t="shared" si="335"/>
        <v>2.2274988161212013E-9</v>
      </c>
      <c r="AQ180" s="3">
        <f t="shared" si="336"/>
        <v>5.0596442562693907E-8</v>
      </c>
      <c r="AR180" s="3">
        <f t="shared" si="371"/>
        <v>9.9999999999999986E-9</v>
      </c>
      <c r="AS180" s="214">
        <f t="shared" si="372"/>
        <v>1.35E-2</v>
      </c>
      <c r="AT180" s="50">
        <f t="shared" si="337"/>
        <v>1.3501792485374775E-2</v>
      </c>
      <c r="AU180" s="16">
        <f t="shared" si="373"/>
        <v>22.500000000000004</v>
      </c>
      <c r="AV180" s="49">
        <f t="shared" si="374"/>
        <v>6.666666666666665E-6</v>
      </c>
      <c r="AW180" s="3">
        <f t="shared" si="375"/>
        <v>8.0000000000000002E-3</v>
      </c>
      <c r="AX180" s="49">
        <f t="shared" si="376"/>
        <v>1.7777777777777713E-7</v>
      </c>
      <c r="AY180" s="49">
        <f t="shared" si="377"/>
        <v>3.3651058372276949E-5</v>
      </c>
      <c r="AZ180" s="49">
        <f t="shared" si="378"/>
        <v>1.7777777777777777E-8</v>
      </c>
      <c r="BA180" s="3">
        <f t="shared" si="379"/>
        <v>0.01</v>
      </c>
      <c r="BB180" s="50">
        <f t="shared" si="338"/>
        <v>1.280631250149958E-2</v>
      </c>
      <c r="BC180" s="3">
        <f t="shared" si="380"/>
        <v>8.2222222222222201E-6</v>
      </c>
      <c r="BD180" s="3">
        <f t="shared" si="381"/>
        <v>8.6999999999999994E-3</v>
      </c>
      <c r="BE180" s="3">
        <f t="shared" si="339"/>
        <v>1.7777777777777713E-7</v>
      </c>
      <c r="BF180" s="3">
        <f t="shared" si="340"/>
        <v>3.3651058372276949E-5</v>
      </c>
      <c r="BG180" s="3">
        <f t="shared" si="382"/>
        <v>1.7777777777777777E-8</v>
      </c>
      <c r="BH180" s="214">
        <f t="shared" si="383"/>
        <v>1.35E-2</v>
      </c>
      <c r="BI180" s="50">
        <f t="shared" si="341"/>
        <v>1.6060565628016537E-2</v>
      </c>
      <c r="BJ180" s="16">
        <f t="shared" si="384"/>
        <v>22.500000000000004</v>
      </c>
      <c r="BK180" s="49">
        <f t="shared" si="385"/>
        <v>6.666666666666665E-6</v>
      </c>
      <c r="BL180" s="3">
        <f t="shared" si="386"/>
        <v>1E-3</v>
      </c>
      <c r="BM180" s="49">
        <f t="shared" si="387"/>
        <v>4.4444444444444282E-8</v>
      </c>
      <c r="BN180" s="49">
        <f t="shared" si="388"/>
        <v>1.5999999999999997E-6</v>
      </c>
      <c r="BO180" s="49">
        <f t="shared" si="389"/>
        <v>9.9999999999999986E-9</v>
      </c>
      <c r="BP180" s="3">
        <f t="shared" si="390"/>
        <v>0.01</v>
      </c>
      <c r="BQ180" s="50">
        <f t="shared" si="342"/>
        <v>1.0049879057713476E-2</v>
      </c>
      <c r="BR180" s="3">
        <f t="shared" si="391"/>
        <v>7.4444444444444425E-6</v>
      </c>
      <c r="BS180" s="3">
        <f t="shared" si="392"/>
        <v>1.175E-3</v>
      </c>
      <c r="BT180" s="3">
        <f t="shared" si="343"/>
        <v>4.4444444444444282E-8</v>
      </c>
      <c r="BU180" s="3">
        <f t="shared" si="344"/>
        <v>1.5999999999999997E-6</v>
      </c>
      <c r="BV180" s="3">
        <f t="shared" si="393"/>
        <v>9.9999999999999986E-9</v>
      </c>
      <c r="BW180" s="214">
        <f t="shared" si="394"/>
        <v>1.35E-2</v>
      </c>
      <c r="BX180" s="50">
        <f t="shared" si="345"/>
        <v>1.3551040831168697E-2</v>
      </c>
      <c r="BY180" s="16">
        <f t="shared" si="395"/>
        <v>22.500000000000004</v>
      </c>
      <c r="BZ180" s="49">
        <f t="shared" si="396"/>
        <v>1.1111111111111108E-6</v>
      </c>
      <c r="CA180" s="3">
        <f t="shared" si="397"/>
        <v>2E-3</v>
      </c>
      <c r="CB180" s="49">
        <f t="shared" si="398"/>
        <v>4.4444444444444282E-8</v>
      </c>
      <c r="CC180" s="49">
        <f t="shared" si="399"/>
        <v>0</v>
      </c>
      <c r="CD180" s="49">
        <f t="shared" si="400"/>
        <v>1.9999999999999997E-8</v>
      </c>
      <c r="CE180" s="3">
        <f t="shared" si="401"/>
        <v>0.01</v>
      </c>
      <c r="CF180" s="50">
        <f t="shared" si="346"/>
        <v>1.0198039092674074E-2</v>
      </c>
      <c r="CG180" s="3">
        <f t="shared" si="402"/>
        <v>1.4999999999999996E-6</v>
      </c>
      <c r="CH180" s="3">
        <f t="shared" si="403"/>
        <v>2.0874999999999999E-3</v>
      </c>
      <c r="CI180" s="3">
        <f t="shared" si="347"/>
        <v>4.4444444444444282E-8</v>
      </c>
      <c r="CJ180" s="3">
        <f t="shared" si="348"/>
        <v>0</v>
      </c>
      <c r="CK180" s="3">
        <f t="shared" si="404"/>
        <v>1.9999999999999997E-8</v>
      </c>
      <c r="CL180" s="214">
        <f t="shared" si="405"/>
        <v>1.35E-2</v>
      </c>
      <c r="CM180" s="50">
        <f t="shared" si="349"/>
        <v>1.3660441377777974E-2</v>
      </c>
    </row>
    <row r="181" spans="16:91">
      <c r="P181" s="117">
        <f>maxcurrent</f>
        <v>10</v>
      </c>
      <c r="Q181" s="137">
        <f t="shared" si="351"/>
        <v>0.05</v>
      </c>
      <c r="R181" s="70">
        <f t="shared" si="352"/>
        <v>0.01</v>
      </c>
      <c r="S181" s="71">
        <f t="shared" si="353"/>
        <v>8.0000000000000002E-3</v>
      </c>
      <c r="T181" s="70">
        <f t="shared" si="354"/>
        <v>7.9999999999999722E-5</v>
      </c>
      <c r="U181" s="70">
        <f t="shared" si="355"/>
        <v>0</v>
      </c>
      <c r="V181" s="70">
        <f t="shared" si="356"/>
        <v>8.0000000000000013E-6</v>
      </c>
      <c r="W181" s="71">
        <f t="shared" si="357"/>
        <v>0.01</v>
      </c>
      <c r="X181" s="73">
        <f t="shared" si="330"/>
        <v>1.629743734456433E-2</v>
      </c>
      <c r="Y181" s="71">
        <f t="shared" si="358"/>
        <v>1.0699999999999999E-2</v>
      </c>
      <c r="Z181" s="71">
        <f t="shared" si="359"/>
        <v>8.6999999999999994E-3</v>
      </c>
      <c r="AA181" s="71">
        <f t="shared" si="331"/>
        <v>7.9999999999999722E-5</v>
      </c>
      <c r="AB181" s="71">
        <f t="shared" si="332"/>
        <v>0</v>
      </c>
      <c r="AC181" s="71">
        <f t="shared" si="360"/>
        <v>8.0000000000000013E-6</v>
      </c>
      <c r="AD181" s="71">
        <f t="shared" si="361"/>
        <v>1.35E-2</v>
      </c>
      <c r="AE181" s="138">
        <f t="shared" si="333"/>
        <v>1.9342917670299897E-2</v>
      </c>
      <c r="AF181" s="120">
        <f t="shared" si="362"/>
        <v>0.05</v>
      </c>
      <c r="AG181" s="70">
        <f t="shared" si="363"/>
        <v>1.5999999999999999E-4</v>
      </c>
      <c r="AH181" s="71">
        <f t="shared" si="364"/>
        <v>1.4999999999999999E-4</v>
      </c>
      <c r="AI181" s="70">
        <f t="shared" si="365"/>
        <v>1.0023744672545408E-6</v>
      </c>
      <c r="AJ181" s="70">
        <f t="shared" si="366"/>
        <v>2.2768399153212262E-5</v>
      </c>
      <c r="AK181" s="70">
        <f t="shared" si="367"/>
        <v>4.5000000000000001E-6</v>
      </c>
      <c r="AL181" s="71">
        <f t="shared" si="368"/>
        <v>0.01</v>
      </c>
      <c r="AM181" s="73">
        <f t="shared" si="334"/>
        <v>1.0002814201375384E-2</v>
      </c>
      <c r="AN181" s="71">
        <f t="shared" si="369"/>
        <v>2.2999999999999998E-4</v>
      </c>
      <c r="AO181" s="71">
        <f t="shared" si="370"/>
        <v>2.1999999999999998E-4</v>
      </c>
      <c r="AP181" s="71">
        <f t="shared" si="335"/>
        <v>1.0023744672545408E-6</v>
      </c>
      <c r="AQ181" s="71">
        <f t="shared" si="336"/>
        <v>2.2768399153212262E-5</v>
      </c>
      <c r="AR181" s="71">
        <f t="shared" si="371"/>
        <v>4.5000000000000001E-6</v>
      </c>
      <c r="AS181" s="71">
        <f t="shared" si="372"/>
        <v>1.35E-2</v>
      </c>
      <c r="AT181" s="73">
        <f t="shared" si="337"/>
        <v>1.3504177866702731E-2</v>
      </c>
      <c r="AU181" s="120">
        <f t="shared" si="373"/>
        <v>0.05</v>
      </c>
      <c r="AV181" s="70">
        <f t="shared" si="374"/>
        <v>2.9999999999999996E-3</v>
      </c>
      <c r="AW181" s="71">
        <f t="shared" si="375"/>
        <v>8.0000000000000002E-3</v>
      </c>
      <c r="AX181" s="70">
        <f t="shared" si="376"/>
        <v>7.9999999999999722E-5</v>
      </c>
      <c r="AY181" s="70">
        <f t="shared" si="377"/>
        <v>1.5142976267524628E-2</v>
      </c>
      <c r="AZ181" s="70">
        <f t="shared" si="378"/>
        <v>8.0000000000000013E-6</v>
      </c>
      <c r="BA181" s="71">
        <f t="shared" si="379"/>
        <v>0.01</v>
      </c>
      <c r="BB181" s="73">
        <f t="shared" si="338"/>
        <v>2.22727844699931E-2</v>
      </c>
      <c r="BC181" s="71">
        <f t="shared" si="380"/>
        <v>3.6999999999999993E-3</v>
      </c>
      <c r="BD181" s="71">
        <f t="shared" si="381"/>
        <v>8.6999999999999994E-3</v>
      </c>
      <c r="BE181" s="71">
        <f t="shared" si="339"/>
        <v>7.9999999999999722E-5</v>
      </c>
      <c r="BF181" s="71">
        <f t="shared" si="340"/>
        <v>1.5142976267524628E-2</v>
      </c>
      <c r="BG181" s="71">
        <f t="shared" si="382"/>
        <v>8.0000000000000013E-6</v>
      </c>
      <c r="BH181" s="71">
        <f t="shared" si="383"/>
        <v>1.35E-2</v>
      </c>
      <c r="BI181" s="73">
        <f t="shared" si="341"/>
        <v>2.4819731965138148E-2</v>
      </c>
      <c r="BJ181" s="120">
        <f t="shared" si="384"/>
        <v>0.05</v>
      </c>
      <c r="BK181" s="70">
        <f t="shared" si="385"/>
        <v>2.9999999999999996E-3</v>
      </c>
      <c r="BL181" s="71">
        <f t="shared" si="386"/>
        <v>1E-3</v>
      </c>
      <c r="BM181" s="70">
        <f t="shared" si="387"/>
        <v>1.999999999999993E-5</v>
      </c>
      <c r="BN181" s="70">
        <f t="shared" si="388"/>
        <v>7.1999999999999994E-4</v>
      </c>
      <c r="BO181" s="70">
        <f t="shared" si="389"/>
        <v>4.5000000000000001E-6</v>
      </c>
      <c r="BP181" s="71">
        <f t="shared" si="390"/>
        <v>0.01</v>
      </c>
      <c r="BQ181" s="73">
        <f t="shared" si="342"/>
        <v>1.0723228070408649E-2</v>
      </c>
      <c r="BR181" s="71">
        <f t="shared" si="391"/>
        <v>3.3499999999999997E-3</v>
      </c>
      <c r="BS181" s="71">
        <f t="shared" si="392"/>
        <v>1.175E-3</v>
      </c>
      <c r="BT181" s="71">
        <f t="shared" si="343"/>
        <v>1.999999999999993E-5</v>
      </c>
      <c r="BU181" s="71">
        <f t="shared" si="344"/>
        <v>7.1999999999999994E-4</v>
      </c>
      <c r="BV181" s="71">
        <f t="shared" si="393"/>
        <v>4.5000000000000001E-6</v>
      </c>
      <c r="BW181" s="71">
        <f t="shared" si="394"/>
        <v>1.35E-2</v>
      </c>
      <c r="BX181" s="73">
        <f t="shared" si="345"/>
        <v>1.4154813501067402E-2</v>
      </c>
      <c r="BY181" s="71">
        <f t="shared" si="395"/>
        <v>0.05</v>
      </c>
      <c r="BZ181" s="70">
        <f t="shared" si="396"/>
        <v>4.999999999999999E-4</v>
      </c>
      <c r="CA181" s="71">
        <f t="shared" si="397"/>
        <v>2E-3</v>
      </c>
      <c r="CB181" s="70">
        <f t="shared" si="398"/>
        <v>1.999999999999993E-5</v>
      </c>
      <c r="CC181" s="70">
        <f t="shared" si="399"/>
        <v>0</v>
      </c>
      <c r="CD181" s="70">
        <f t="shared" si="400"/>
        <v>9.0000000000000002E-6</v>
      </c>
      <c r="CE181" s="71">
        <f t="shared" si="401"/>
        <v>0.01</v>
      </c>
      <c r="CF181" s="73">
        <f t="shared" si="346"/>
        <v>1.0211291837960563E-2</v>
      </c>
      <c r="CG181" s="71">
        <f t="shared" si="402"/>
        <v>6.7499999999999982E-4</v>
      </c>
      <c r="CH181" s="71">
        <f t="shared" si="403"/>
        <v>2.0874999999999999E-3</v>
      </c>
      <c r="CI181" s="71">
        <f t="shared" si="347"/>
        <v>1.999999999999993E-5</v>
      </c>
      <c r="CJ181" s="71">
        <f t="shared" si="348"/>
        <v>0</v>
      </c>
      <c r="CK181" s="71">
        <f t="shared" si="404"/>
        <v>9.0000000000000002E-6</v>
      </c>
      <c r="CL181" s="71">
        <f t="shared" si="405"/>
        <v>1.35E-2</v>
      </c>
      <c r="CM181" s="73">
        <f t="shared" si="349"/>
        <v>1.367811252512568E-2</v>
      </c>
    </row>
    <row r="182" spans="16:91">
      <c r="P182" s="118">
        <f>nomcurrent</f>
        <v>4</v>
      </c>
      <c r="Q182" s="139">
        <f t="shared" si="351"/>
        <v>0.02</v>
      </c>
      <c r="R182" s="55">
        <f t="shared" si="352"/>
        <v>2.5000000000000001E-2</v>
      </c>
      <c r="S182" s="54">
        <f t="shared" si="353"/>
        <v>8.0000000000000002E-3</v>
      </c>
      <c r="T182" s="55">
        <f t="shared" si="354"/>
        <v>1.999999999999993E-4</v>
      </c>
      <c r="U182" s="55">
        <f t="shared" si="355"/>
        <v>0</v>
      </c>
      <c r="V182" s="55">
        <f t="shared" si="356"/>
        <v>2.0000000000000002E-5</v>
      </c>
      <c r="W182" s="54">
        <f t="shared" si="357"/>
        <v>0.01</v>
      </c>
      <c r="X182" s="56">
        <f t="shared" si="330"/>
        <v>2.8267302665800995E-2</v>
      </c>
      <c r="Y182" s="54">
        <f t="shared" si="358"/>
        <v>2.6750000000000003E-2</v>
      </c>
      <c r="Z182" s="54">
        <f t="shared" si="359"/>
        <v>8.6999999999999994E-3</v>
      </c>
      <c r="AA182" s="54">
        <f t="shared" si="331"/>
        <v>1.999999999999993E-4</v>
      </c>
      <c r="AB182" s="54">
        <f t="shared" si="332"/>
        <v>0</v>
      </c>
      <c r="AC182" s="54">
        <f t="shared" si="360"/>
        <v>2.0000000000000002E-5</v>
      </c>
      <c r="AD182" s="54">
        <f t="shared" si="361"/>
        <v>1.35E-2</v>
      </c>
      <c r="AE182" s="140">
        <f t="shared" si="333"/>
        <v>3.1372645728404869E-2</v>
      </c>
      <c r="AF182" s="121">
        <f t="shared" si="362"/>
        <v>0.02</v>
      </c>
      <c r="AG182" s="55">
        <f t="shared" si="363"/>
        <v>3.9999999999999996E-4</v>
      </c>
      <c r="AH182" s="54">
        <f t="shared" si="364"/>
        <v>1.4999999999999999E-4</v>
      </c>
      <c r="AI182" s="55">
        <f t="shared" si="365"/>
        <v>2.5059361681363519E-6</v>
      </c>
      <c r="AJ182" s="55">
        <f t="shared" si="366"/>
        <v>5.6920997883030653E-5</v>
      </c>
      <c r="AK182" s="55">
        <f t="shared" si="367"/>
        <v>1.1250000000000001E-5</v>
      </c>
      <c r="AL182" s="54">
        <f t="shared" si="368"/>
        <v>0.01</v>
      </c>
      <c r="AM182" s="56">
        <f t="shared" si="334"/>
        <v>1.0011678164535237E-2</v>
      </c>
      <c r="AN182" s="54">
        <f t="shared" si="369"/>
        <v>5.7499999999999999E-4</v>
      </c>
      <c r="AO182" s="54">
        <f t="shared" si="370"/>
        <v>2.1999999999999998E-4</v>
      </c>
      <c r="AP182" s="54">
        <f t="shared" si="335"/>
        <v>2.5059361681363519E-6</v>
      </c>
      <c r="AQ182" s="54">
        <f t="shared" si="336"/>
        <v>5.6920997883030653E-5</v>
      </c>
      <c r="AR182" s="54">
        <f t="shared" si="371"/>
        <v>1.1250000000000001E-5</v>
      </c>
      <c r="AS182" s="54">
        <f t="shared" si="372"/>
        <v>1.35E-2</v>
      </c>
      <c r="AT182" s="56">
        <f t="shared" si="337"/>
        <v>1.3516694274013507E-2</v>
      </c>
      <c r="AU182" s="121">
        <f t="shared" si="373"/>
        <v>0.02</v>
      </c>
      <c r="AV182" s="55">
        <f t="shared" si="374"/>
        <v>7.4999999999999989E-3</v>
      </c>
      <c r="AW182" s="54">
        <f t="shared" si="375"/>
        <v>8.0000000000000002E-3</v>
      </c>
      <c r="AX182" s="55">
        <f t="shared" si="376"/>
        <v>1.999999999999993E-4</v>
      </c>
      <c r="AY182" s="55">
        <f t="shared" si="377"/>
        <v>3.7857440668811568E-2</v>
      </c>
      <c r="AZ182" s="55">
        <f t="shared" si="378"/>
        <v>2.0000000000000002E-5</v>
      </c>
      <c r="BA182" s="54">
        <f t="shared" si="379"/>
        <v>0.01</v>
      </c>
      <c r="BB182" s="56">
        <f t="shared" si="338"/>
        <v>4.7323152898895965E-2</v>
      </c>
      <c r="BC182" s="54">
        <f t="shared" si="380"/>
        <v>9.2499999999999978E-3</v>
      </c>
      <c r="BD182" s="54">
        <f t="shared" si="381"/>
        <v>8.6999999999999994E-3</v>
      </c>
      <c r="BE182" s="54">
        <f t="shared" si="339"/>
        <v>1.999999999999993E-4</v>
      </c>
      <c r="BF182" s="54">
        <f t="shared" si="340"/>
        <v>3.7857440668811568E-2</v>
      </c>
      <c r="BG182" s="54">
        <f t="shared" si="382"/>
        <v>2.0000000000000002E-5</v>
      </c>
      <c r="BH182" s="54">
        <f t="shared" si="383"/>
        <v>1.35E-2</v>
      </c>
      <c r="BI182" s="56">
        <f t="shared" si="341"/>
        <v>4.9959326883307051E-2</v>
      </c>
      <c r="BJ182" s="121">
        <f t="shared" si="384"/>
        <v>0.02</v>
      </c>
      <c r="BK182" s="55">
        <f t="shared" si="385"/>
        <v>7.4999999999999989E-3</v>
      </c>
      <c r="BL182" s="54">
        <f t="shared" si="386"/>
        <v>1E-3</v>
      </c>
      <c r="BM182" s="55">
        <f t="shared" si="387"/>
        <v>4.9999999999999826E-5</v>
      </c>
      <c r="BN182" s="55">
        <f t="shared" si="388"/>
        <v>1.8E-3</v>
      </c>
      <c r="BO182" s="55">
        <f t="shared" si="389"/>
        <v>1.1250000000000001E-5</v>
      </c>
      <c r="BP182" s="54">
        <f t="shared" si="390"/>
        <v>0.01</v>
      </c>
      <c r="BQ182" s="56">
        <f t="shared" si="342"/>
        <v>1.3726712154135817E-2</v>
      </c>
      <c r="BR182" s="54">
        <f t="shared" si="391"/>
        <v>8.3749999999999988E-3</v>
      </c>
      <c r="BS182" s="54">
        <f t="shared" si="392"/>
        <v>1.175E-3</v>
      </c>
      <c r="BT182" s="54">
        <f t="shared" si="343"/>
        <v>4.9999999999999826E-5</v>
      </c>
      <c r="BU182" s="54">
        <f t="shared" si="344"/>
        <v>1.8E-3</v>
      </c>
      <c r="BV182" s="54">
        <f t="shared" si="393"/>
        <v>1.1250000000000001E-5</v>
      </c>
      <c r="BW182" s="54">
        <f t="shared" si="394"/>
        <v>1.35E-2</v>
      </c>
      <c r="BX182" s="56">
        <f t="shared" si="345"/>
        <v>1.6975905765599077E-2</v>
      </c>
      <c r="BY182" s="54">
        <f t="shared" si="395"/>
        <v>0.02</v>
      </c>
      <c r="BZ182" s="55">
        <f t="shared" si="396"/>
        <v>1.2499999999999998E-3</v>
      </c>
      <c r="CA182" s="54">
        <f t="shared" si="397"/>
        <v>2E-3</v>
      </c>
      <c r="CB182" s="55">
        <f t="shared" si="398"/>
        <v>4.9999999999999826E-5</v>
      </c>
      <c r="CC182" s="55">
        <f t="shared" si="399"/>
        <v>0</v>
      </c>
      <c r="CD182" s="55">
        <f t="shared" si="400"/>
        <v>2.2500000000000001E-5</v>
      </c>
      <c r="CE182" s="54">
        <f t="shared" si="401"/>
        <v>0.01</v>
      </c>
      <c r="CF182" s="56">
        <f t="shared" si="346"/>
        <v>1.0280588808526486E-2</v>
      </c>
      <c r="CG182" s="54">
        <f t="shared" si="402"/>
        <v>1.6874999999999998E-3</v>
      </c>
      <c r="CH182" s="54">
        <f t="shared" si="403"/>
        <v>2.0874999999999999E-3</v>
      </c>
      <c r="CI182" s="54">
        <f t="shared" si="347"/>
        <v>4.9999999999999826E-5</v>
      </c>
      <c r="CJ182" s="54">
        <f t="shared" si="348"/>
        <v>0</v>
      </c>
      <c r="CK182" s="54">
        <f t="shared" si="404"/>
        <v>2.2500000000000001E-5</v>
      </c>
      <c r="CL182" s="54">
        <f t="shared" si="405"/>
        <v>1.35E-2</v>
      </c>
      <c r="CM182" s="56">
        <f t="shared" si="349"/>
        <v>1.3770514469329023E-2</v>
      </c>
    </row>
    <row r="183" spans="16:91" ht="12" thickBot="1">
      <c r="P183" s="119">
        <f>mincurrent</f>
        <v>0.5</v>
      </c>
      <c r="Q183" s="141">
        <f t="shared" si="351"/>
        <v>2.5000000000000001E-3</v>
      </c>
      <c r="R183" s="142">
        <f t="shared" si="352"/>
        <v>0.2</v>
      </c>
      <c r="S183" s="143">
        <f t="shared" si="353"/>
        <v>8.0000000000000002E-3</v>
      </c>
      <c r="T183" s="142">
        <f t="shared" si="354"/>
        <v>1.5999999999999944E-3</v>
      </c>
      <c r="U183" s="142">
        <f t="shared" si="355"/>
        <v>0</v>
      </c>
      <c r="V183" s="142">
        <f t="shared" si="356"/>
        <v>1.6000000000000001E-4</v>
      </c>
      <c r="W183" s="143">
        <f t="shared" si="357"/>
        <v>0.01</v>
      </c>
      <c r="X183" s="144">
        <f t="shared" si="330"/>
        <v>0.2020063998986171</v>
      </c>
      <c r="Y183" s="143">
        <f t="shared" si="358"/>
        <v>0.21400000000000002</v>
      </c>
      <c r="Z183" s="143">
        <f t="shared" si="359"/>
        <v>8.6999999999999994E-3</v>
      </c>
      <c r="AA183" s="143">
        <f t="shared" si="331"/>
        <v>1.5999999999999944E-3</v>
      </c>
      <c r="AB183" s="143">
        <f t="shared" si="332"/>
        <v>0</v>
      </c>
      <c r="AC183" s="143">
        <f t="shared" si="360"/>
        <v>1.6000000000000001E-4</v>
      </c>
      <c r="AD183" s="21">
        <f t="shared" si="361"/>
        <v>1.35E-2</v>
      </c>
      <c r="AE183" s="145">
        <f t="shared" si="333"/>
        <v>0.2161974227413454</v>
      </c>
      <c r="AF183" s="122">
        <f t="shared" si="362"/>
        <v>2.5000000000000001E-3</v>
      </c>
      <c r="AG183" s="72">
        <f t="shared" si="363"/>
        <v>3.1999999999999997E-3</v>
      </c>
      <c r="AH183" s="21">
        <f t="shared" si="364"/>
        <v>1.4999999999999999E-4</v>
      </c>
      <c r="AI183" s="72">
        <f t="shared" si="365"/>
        <v>2.0047489345090815E-5</v>
      </c>
      <c r="AJ183" s="72">
        <f t="shared" si="366"/>
        <v>4.5536798306424522E-4</v>
      </c>
      <c r="AK183" s="72">
        <f t="shared" si="367"/>
        <v>9.0000000000000006E-5</v>
      </c>
      <c r="AL183" s="21">
        <f t="shared" si="368"/>
        <v>0.01</v>
      </c>
      <c r="AM183" s="74">
        <f t="shared" si="334"/>
        <v>1.0655481166743525E-2</v>
      </c>
      <c r="AN183" s="21">
        <f t="shared" si="369"/>
        <v>4.5999999999999999E-3</v>
      </c>
      <c r="AO183" s="21">
        <f t="shared" si="370"/>
        <v>2.1999999999999998E-4</v>
      </c>
      <c r="AP183" s="21">
        <f t="shared" si="335"/>
        <v>2.0047489345090815E-5</v>
      </c>
      <c r="AQ183" s="21">
        <f t="shared" si="336"/>
        <v>4.5536798306424522E-4</v>
      </c>
      <c r="AR183" s="21">
        <f t="shared" si="371"/>
        <v>9.0000000000000006E-5</v>
      </c>
      <c r="AS183" s="21">
        <f t="shared" si="372"/>
        <v>1.35E-2</v>
      </c>
      <c r="AT183" s="74">
        <f t="shared" si="337"/>
        <v>1.4424504921056115E-2</v>
      </c>
      <c r="AU183" s="122">
        <f t="shared" si="373"/>
        <v>2.5000000000000001E-3</v>
      </c>
      <c r="AV183" s="72">
        <f t="shared" si="374"/>
        <v>5.9999999999999991E-2</v>
      </c>
      <c r="AW183" s="21">
        <f t="shared" si="375"/>
        <v>8.0000000000000002E-3</v>
      </c>
      <c r="AX183" s="72">
        <f t="shared" si="376"/>
        <v>1.5999999999999944E-3</v>
      </c>
      <c r="AY183" s="72">
        <f t="shared" si="377"/>
        <v>0.30285952535049254</v>
      </c>
      <c r="AZ183" s="72">
        <f t="shared" si="378"/>
        <v>1.6000000000000001E-4</v>
      </c>
      <c r="BA183" s="21">
        <f t="shared" si="379"/>
        <v>0.01</v>
      </c>
      <c r="BB183" s="74">
        <f t="shared" si="338"/>
        <v>0.36468448173552204</v>
      </c>
      <c r="BC183" s="21">
        <f t="shared" si="380"/>
        <v>7.3999999999999982E-2</v>
      </c>
      <c r="BD183" s="21">
        <f t="shared" si="381"/>
        <v>8.6999999999999994E-3</v>
      </c>
      <c r="BE183" s="21">
        <f t="shared" si="339"/>
        <v>1.5999999999999944E-3</v>
      </c>
      <c r="BF183" s="21">
        <f t="shared" si="340"/>
        <v>0.30285952535049254</v>
      </c>
      <c r="BG183" s="21">
        <f t="shared" si="382"/>
        <v>1.6000000000000001E-4</v>
      </c>
      <c r="BH183" s="21">
        <f t="shared" si="383"/>
        <v>1.35E-2</v>
      </c>
      <c r="BI183" s="74">
        <f t="shared" si="341"/>
        <v>0.37880018205977689</v>
      </c>
      <c r="BJ183" s="122">
        <f t="shared" si="384"/>
        <v>2.5000000000000001E-3</v>
      </c>
      <c r="BK183" s="72">
        <f t="shared" si="385"/>
        <v>5.9999999999999991E-2</v>
      </c>
      <c r="BL183" s="21">
        <f t="shared" si="386"/>
        <v>1E-3</v>
      </c>
      <c r="BM183" s="72">
        <f t="shared" si="387"/>
        <v>3.9999999999999861E-4</v>
      </c>
      <c r="BN183" s="72">
        <f t="shared" si="388"/>
        <v>1.44E-2</v>
      </c>
      <c r="BO183" s="72">
        <f t="shared" si="389"/>
        <v>9.0000000000000006E-5</v>
      </c>
      <c r="BP183" s="21">
        <f t="shared" si="390"/>
        <v>0.01</v>
      </c>
      <c r="BQ183" s="74">
        <f t="shared" si="342"/>
        <v>7.5472167717642771E-2</v>
      </c>
      <c r="BR183" s="21">
        <f t="shared" si="391"/>
        <v>6.699999999999999E-2</v>
      </c>
      <c r="BS183" s="21">
        <f t="shared" si="392"/>
        <v>1.175E-3</v>
      </c>
      <c r="BT183" s="21">
        <f t="shared" si="343"/>
        <v>3.9999999999999861E-4</v>
      </c>
      <c r="BU183" s="21">
        <f t="shared" si="344"/>
        <v>1.44E-2</v>
      </c>
      <c r="BV183" s="21">
        <f t="shared" si="393"/>
        <v>9.0000000000000006E-5</v>
      </c>
      <c r="BW183" s="21">
        <f t="shared" si="394"/>
        <v>1.35E-2</v>
      </c>
      <c r="BX183" s="74">
        <f t="shared" si="345"/>
        <v>8.2914888439893572E-2</v>
      </c>
      <c r="BY183" s="21">
        <f t="shared" si="395"/>
        <v>2.5000000000000001E-3</v>
      </c>
      <c r="BZ183" s="72">
        <f t="shared" si="396"/>
        <v>9.9999999999999985E-3</v>
      </c>
      <c r="CA183" s="21">
        <f t="shared" si="397"/>
        <v>2E-3</v>
      </c>
      <c r="CB183" s="72">
        <f t="shared" si="398"/>
        <v>3.9999999999999861E-4</v>
      </c>
      <c r="CC183" s="72">
        <f t="shared" si="399"/>
        <v>0</v>
      </c>
      <c r="CD183" s="72">
        <f t="shared" si="400"/>
        <v>1.8000000000000001E-4</v>
      </c>
      <c r="CE183" s="21">
        <f t="shared" si="401"/>
        <v>0.01</v>
      </c>
      <c r="CF183" s="74">
        <f t="shared" si="346"/>
        <v>1.4566825323315989E-2</v>
      </c>
      <c r="CG183" s="21">
        <f t="shared" si="402"/>
        <v>1.3499999999999998E-2</v>
      </c>
      <c r="CH183" s="21">
        <f t="shared" si="403"/>
        <v>2.0874999999999999E-3</v>
      </c>
      <c r="CI183" s="21">
        <f t="shared" si="347"/>
        <v>3.9999999999999861E-4</v>
      </c>
      <c r="CJ183" s="21">
        <f t="shared" si="348"/>
        <v>0</v>
      </c>
      <c r="CK183" s="21">
        <f t="shared" si="404"/>
        <v>1.8000000000000001E-4</v>
      </c>
      <c r="CL183" s="21">
        <f t="shared" si="405"/>
        <v>1.35E-2</v>
      </c>
      <c r="CM183" s="74">
        <f t="shared" si="349"/>
        <v>1.9489742334110011E-2</v>
      </c>
    </row>
    <row r="184" spans="16:91">
      <c r="X184" s="4">
        <v>1</v>
      </c>
      <c r="AM184" s="4">
        <v>2</v>
      </c>
      <c r="BB184" s="4">
        <v>3</v>
      </c>
      <c r="BQ184" s="4">
        <v>4</v>
      </c>
      <c r="CF184" s="4">
        <v>5</v>
      </c>
    </row>
  </sheetData>
  <sheetProtection algorithmName="SHA-512" hashValue="3qdviPR7HdhTTT9mcNaSxJTEx1MhB7i/2NUUMdNmd8hso99ftMMgEjKHQ5zvddhOS4TQBVDotbUoBq3T0W1ldQ==" saltValue="1JYIzcVXIQ2FcFq9NHxHxw==" spinCount="100000" sheet="1" objects="1" scenarios="1" selectLockedCells="1"/>
  <sortState xmlns:xlrd2="http://schemas.microsoft.com/office/spreadsheetml/2017/richdata2" ref="CO51:CR93">
    <sortCondition ref="CO51:CO93"/>
  </sortState>
  <mergeCells count="19">
    <mergeCell ref="A6:N6"/>
    <mergeCell ref="A1:P5"/>
    <mergeCell ref="B8:B9"/>
    <mergeCell ref="C8:C9"/>
    <mergeCell ref="I8:J8"/>
    <mergeCell ref="B10:D13"/>
    <mergeCell ref="AN9:AT9"/>
    <mergeCell ref="CG9:CM9"/>
    <mergeCell ref="BY9:CF9"/>
    <mergeCell ref="BR9:BX9"/>
    <mergeCell ref="BJ9:BQ9"/>
    <mergeCell ref="AU9:BB9"/>
    <mergeCell ref="BC9:BI9"/>
    <mergeCell ref="I13:J13"/>
    <mergeCell ref="N8:N21"/>
    <mergeCell ref="Q9:X9"/>
    <mergeCell ref="Y9:AE9"/>
    <mergeCell ref="AF9:AM9"/>
    <mergeCell ref="I18:J18"/>
  </mergeCells>
  <conditionalFormatting sqref="O9:O11">
    <cfRule type="cellIs" dxfId="57" priority="94" operator="notEqual">
      <formula>0</formula>
    </cfRule>
  </conditionalFormatting>
  <conditionalFormatting sqref="I44 J50:K50 J49:M49 M50">
    <cfRule type="cellIs" dxfId="56" priority="95" operator="notEqual">
      <formula>0</formula>
    </cfRule>
  </conditionalFormatting>
  <conditionalFormatting sqref="N8">
    <cfRule type="cellIs" dxfId="55" priority="86" operator="notEqual">
      <formula>0</formula>
    </cfRule>
  </conditionalFormatting>
  <conditionalFormatting sqref="B31:G31">
    <cfRule type="cellIs" dxfId="54" priority="78" operator="equal">
      <formula>"Unspec'd"</formula>
    </cfRule>
  </conditionalFormatting>
  <conditionalFormatting sqref="I49:I50">
    <cfRule type="cellIs" dxfId="53" priority="30" operator="notEqual">
      <formula>0</formula>
    </cfRule>
  </conditionalFormatting>
  <conditionalFormatting sqref="L50">
    <cfRule type="cellIs" dxfId="52" priority="29" operator="notEqual">
      <formula>0</formula>
    </cfRule>
  </conditionalFormatting>
  <conditionalFormatting sqref="B38:G38">
    <cfRule type="cellIs" dxfId="51" priority="27" operator="equal">
      <formula>"Unspec'd"</formula>
    </cfRule>
  </conditionalFormatting>
  <conditionalFormatting sqref="C16">
    <cfRule type="expression" dxfId="50" priority="26">
      <formula>SUM(CP27:CP28)&gt;0</formula>
    </cfRule>
  </conditionalFormatting>
  <conditionalFormatting sqref="C27">
    <cfRule type="expression" dxfId="49" priority="17">
      <formula>SUM(CP31:CP32)&gt;0</formula>
    </cfRule>
  </conditionalFormatting>
  <conditionalFormatting sqref="J9">
    <cfRule type="expression" dxfId="48" priority="12">
      <formula>SUM($CP$31:$CT$32)&gt;0</formula>
    </cfRule>
  </conditionalFormatting>
  <conditionalFormatting sqref="D16">
    <cfRule type="expression" dxfId="47" priority="11">
      <formula>SUM(CQ27:CQ28)&gt;0</formula>
    </cfRule>
  </conditionalFormatting>
  <conditionalFormatting sqref="E16">
    <cfRule type="expression" dxfId="46" priority="10">
      <formula>SUM(CR27:CR28)&gt;0</formula>
    </cfRule>
  </conditionalFormatting>
  <conditionalFormatting sqref="F16">
    <cfRule type="expression" dxfId="45" priority="9">
      <formula>SUM(CS27:CS28)&gt;0</formula>
    </cfRule>
  </conditionalFormatting>
  <conditionalFormatting sqref="G16">
    <cfRule type="expression" dxfId="44" priority="8">
      <formula>SUM(CT27:CT28)&gt;0</formula>
    </cfRule>
  </conditionalFormatting>
  <conditionalFormatting sqref="D27">
    <cfRule type="expression" dxfId="43" priority="7">
      <formula>SUM(CQ31:CQ32)&gt;0</formula>
    </cfRule>
  </conditionalFormatting>
  <conditionalFormatting sqref="E27">
    <cfRule type="expression" dxfId="42" priority="6">
      <formula>SUM(CR31:CR32)&gt;0</formula>
    </cfRule>
  </conditionalFormatting>
  <conditionalFormatting sqref="F27">
    <cfRule type="expression" dxfId="41" priority="5">
      <formula>SUM(CS31:CS32)&gt;0</formula>
    </cfRule>
  </conditionalFormatting>
  <conditionalFormatting sqref="G27">
    <cfRule type="expression" dxfId="40" priority="4">
      <formula>SUM(CT31:CT32)&gt;0</formula>
    </cfRule>
  </conditionalFormatting>
  <conditionalFormatting sqref="J10">
    <cfRule type="expression" dxfId="39" priority="3">
      <formula>SUM($CP$27:$CT$28)&gt;0</formula>
    </cfRule>
  </conditionalFormatting>
  <conditionalFormatting sqref="C20:G20">
    <cfRule type="expression" priority="500" stopIfTrue="1">
      <formula>$CV$20</formula>
    </cfRule>
    <cfRule type="colorScale" priority="501">
      <colorScale>
        <cfvo type="min"/>
        <cfvo type="percent" val="50"/>
        <cfvo type="max"/>
        <color rgb="FF63BE7B"/>
        <color rgb="FFFFEB84"/>
        <color rgb="FFF8696B"/>
      </colorScale>
    </cfRule>
  </conditionalFormatting>
  <conditionalFormatting sqref="C21:G21">
    <cfRule type="expression" priority="502" stopIfTrue="1">
      <formula>$CV$21</formula>
    </cfRule>
    <cfRule type="colorScale" priority="503">
      <colorScale>
        <cfvo type="min"/>
        <cfvo type="percent" val="50"/>
        <cfvo type="max"/>
        <color rgb="FF63BE7B"/>
        <color rgb="FFFFEB84"/>
        <color rgb="FFF8696B"/>
      </colorScale>
    </cfRule>
  </conditionalFormatting>
  <conditionalFormatting sqref="C22:G22">
    <cfRule type="expression" priority="504" stopIfTrue="1">
      <formula>$CV$22</formula>
    </cfRule>
    <cfRule type="colorScale" priority="505">
      <colorScale>
        <cfvo type="min"/>
        <cfvo type="percent" val="50"/>
        <cfvo type="max"/>
        <color rgb="FF63BE7B"/>
        <color rgb="FFFFEB84"/>
        <color rgb="FFF8696B"/>
      </colorScale>
    </cfRule>
  </conditionalFormatting>
  <conditionalFormatting sqref="C23:G23">
    <cfRule type="expression" priority="506" stopIfTrue="1">
      <formula>$CV$23</formula>
    </cfRule>
    <cfRule type="colorScale" priority="507">
      <colorScale>
        <cfvo type="min"/>
        <cfvo type="percent" val="50"/>
        <cfvo type="max"/>
        <color rgb="FF63BE7B"/>
        <color rgb="FFFFEB84"/>
        <color rgb="FFF8696B"/>
      </colorScale>
    </cfRule>
  </conditionalFormatting>
  <conditionalFormatting sqref="C24:G24">
    <cfRule type="expression" priority="508" stopIfTrue="1">
      <formula>$CV$24</formula>
    </cfRule>
    <cfRule type="colorScale" priority="509">
      <colorScale>
        <cfvo type="min"/>
        <cfvo type="percent" val="50"/>
        <cfvo type="max"/>
        <color rgb="FF63BE7B"/>
        <color rgb="FFFFEB84"/>
        <color rgb="FFF8696B"/>
      </colorScale>
    </cfRule>
  </conditionalFormatting>
  <conditionalFormatting sqref="C25:G25">
    <cfRule type="expression" priority="510" stopIfTrue="1">
      <formula>$CV$25</formula>
    </cfRule>
    <cfRule type="colorScale" priority="511">
      <colorScale>
        <cfvo type="min"/>
        <cfvo type="percent" val="50"/>
        <cfvo type="max"/>
        <color rgb="FFF8696B"/>
        <color rgb="FFFFEB84"/>
        <color rgb="FF63BE7B"/>
      </colorScale>
    </cfRule>
  </conditionalFormatting>
  <conditionalFormatting sqref="C26:G26">
    <cfRule type="expression" priority="512" stopIfTrue="1">
      <formula>$CV$26</formula>
    </cfRule>
    <cfRule type="colorScale" priority="513">
      <colorScale>
        <cfvo type="min"/>
        <cfvo type="percent" val="50"/>
        <cfvo type="max"/>
        <color rgb="FFF8696B"/>
        <color rgb="FFFFEB84"/>
        <color rgb="FF63BE7B"/>
      </colorScale>
    </cfRule>
  </conditionalFormatting>
  <conditionalFormatting sqref="C28:G28">
    <cfRule type="expression" priority="514" stopIfTrue="1">
      <formula>$CV$28</formula>
    </cfRule>
    <cfRule type="colorScale" priority="515">
      <colorScale>
        <cfvo type="min"/>
        <cfvo type="percent" val="50"/>
        <cfvo type="max"/>
        <color rgb="FF63BE7B"/>
        <color rgb="FFFFEB84"/>
        <color rgb="FFF8696B"/>
      </colorScale>
    </cfRule>
  </conditionalFormatting>
  <conditionalFormatting sqref="C29:G29">
    <cfRule type="expression" priority="516" stopIfTrue="1">
      <formula>$CV$29</formula>
    </cfRule>
    <cfRule type="colorScale" priority="517">
      <colorScale>
        <cfvo type="min"/>
        <cfvo type="percent" val="50"/>
        <cfvo type="max"/>
        <color rgb="FF63BE7B"/>
        <color rgb="FFFFEB84"/>
        <color rgb="FFF8696B"/>
      </colorScale>
    </cfRule>
  </conditionalFormatting>
  <conditionalFormatting sqref="C40:G40">
    <cfRule type="expression" priority="518" stopIfTrue="1">
      <formula>$CV$33</formula>
    </cfRule>
    <cfRule type="colorScale" priority="519">
      <colorScale>
        <cfvo type="min"/>
        <cfvo type="percent" val="50"/>
        <cfvo type="max"/>
        <color rgb="FFF8696B"/>
        <color rgb="FFFFEB84"/>
        <color rgb="FF63BE7B"/>
      </colorScale>
    </cfRule>
  </conditionalFormatting>
  <conditionalFormatting sqref="C44:G44">
    <cfRule type="expression" priority="520" stopIfTrue="1">
      <formula>$CV$37</formula>
    </cfRule>
    <cfRule type="colorScale" priority="521">
      <colorScale>
        <cfvo type="min"/>
        <cfvo type="percent" val="50"/>
        <cfvo type="max"/>
        <color rgb="FF63BE6B"/>
        <color rgb="FFFFEB84"/>
        <color rgb="FFF8696B"/>
      </colorScale>
    </cfRule>
  </conditionalFormatting>
  <conditionalFormatting sqref="C39:G39">
    <cfRule type="expression" priority="522" stopIfTrue="1">
      <formula>$CV$32</formula>
    </cfRule>
    <cfRule type="colorScale" priority="523">
      <colorScale>
        <cfvo type="min"/>
        <cfvo type="percent" val="50"/>
        <cfvo type="max"/>
        <color rgb="FFF8696B"/>
        <color rgb="FFFFEB84"/>
        <color rgb="FF63BE7B"/>
      </colorScale>
    </cfRule>
  </conditionalFormatting>
  <conditionalFormatting sqref="C19:G19">
    <cfRule type="expression" priority="524" stopIfTrue="1">
      <formula>$CV$19</formula>
    </cfRule>
    <cfRule type="colorScale" priority="525">
      <colorScale>
        <cfvo type="min"/>
        <cfvo type="percent" val="50"/>
        <cfvo type="max"/>
        <color rgb="FF63BE7B"/>
        <color rgb="FFFFEB84"/>
        <color rgb="FFF8696B"/>
      </colorScale>
    </cfRule>
  </conditionalFormatting>
  <conditionalFormatting sqref="C35:G35">
    <cfRule type="expression" priority="526" stopIfTrue="1">
      <formula>$CV$52</formula>
    </cfRule>
    <cfRule type="colorScale" priority="527">
      <colorScale>
        <cfvo type="min"/>
        <cfvo type="percent" val="50"/>
        <cfvo type="max"/>
        <color rgb="FF63BE7B"/>
        <color rgb="FFFFEB84"/>
        <color rgb="FFF8696B"/>
      </colorScale>
    </cfRule>
  </conditionalFormatting>
  <conditionalFormatting sqref="C36:G36">
    <cfRule type="expression" priority="528" stopIfTrue="1">
      <formula>$CV$53</formula>
    </cfRule>
    <cfRule type="colorScale" priority="529">
      <colorScale>
        <cfvo type="min"/>
        <cfvo type="percent" val="50"/>
        <cfvo type="max"/>
        <color rgb="FF63BE7B"/>
        <color rgb="FFFFEB84"/>
        <color rgb="FFF8696B"/>
      </colorScale>
    </cfRule>
  </conditionalFormatting>
  <conditionalFormatting sqref="C37:G37">
    <cfRule type="expression" priority="530" stopIfTrue="1">
      <formula>$CV$54</formula>
    </cfRule>
    <cfRule type="colorScale" priority="531">
      <colorScale>
        <cfvo type="min"/>
        <cfvo type="percent" val="50"/>
        <cfvo type="max"/>
        <color rgb="FF63BE7B"/>
        <color rgb="FFFFEB84"/>
        <color rgb="FFF8696B"/>
      </colorScale>
    </cfRule>
  </conditionalFormatting>
  <conditionalFormatting sqref="C43:G43">
    <cfRule type="expression" priority="532" stopIfTrue="1">
      <formula>$CV$36</formula>
    </cfRule>
    <cfRule type="colorScale" priority="533">
      <colorScale>
        <cfvo type="min"/>
        <cfvo type="percent" val="50"/>
        <cfvo type="max"/>
        <color rgb="FFF8696B"/>
        <color rgb="FFFFEB84"/>
        <color rgb="FF63BE7B"/>
      </colorScale>
    </cfRule>
  </conditionalFormatting>
  <conditionalFormatting sqref="C41:G41">
    <cfRule type="expression" priority="534" stopIfTrue="1">
      <formula>$CV$33</formula>
    </cfRule>
    <cfRule type="colorScale" priority="535">
      <colorScale>
        <cfvo type="min"/>
        <cfvo type="percent" val="50"/>
        <cfvo type="max"/>
        <color rgb="FF63BE7B"/>
        <color rgb="FFFFEB84"/>
        <color rgb="FFF8696B"/>
      </colorScale>
    </cfRule>
  </conditionalFormatting>
  <dataValidations xWindow="740" yWindow="418" count="12">
    <dataValidation type="list" allowBlank="1" showErrorMessage="1" prompt="If YES, the error calcuations/curves use the calculated shunt value for each device based on max current and device full-scale input._x000a_If NO, the calculations/curves for all devices use the &quot;Shunt resistor&quot; entered above and to the left." sqref="J17" xr:uid="{00000000-0002-0000-0100-000000000000}">
      <formula1>$CR$36:$CR$37</formula1>
    </dataValidation>
    <dataValidation allowBlank="1" showErrorMessage="1" prompt="Enter the value for the supply voltage for the current sense amplifier." sqref="J9" xr:uid="{00000000-0002-0000-0100-000001000000}"/>
    <dataValidation allowBlank="1" showErrorMessage="1" prompt="Enter the value of the common mode signal at the current sense amplifier inputs pins.  if a low-side application, enter 0._x000a__x000a_Note: This tool assumes a static VCM, i.e. a DC appliction not a switching VCM application such as in-line motor current._x000a_" sqref="J10" xr:uid="{00000000-0002-0000-0100-000002000000}"/>
    <dataValidation type="list" allowBlank="1" showErrorMessage="1" prompt="If you choose Yes, a simple two-point room temp calibration is assumed which will eliminate all room temp error due to offset, CMRR, PSRR, gain error, and shunt tolerance." sqref="J11" xr:uid="{00000000-0002-0000-0100-000003000000}">
      <formula1>$CR$36:$CR$37</formula1>
    </dataValidation>
    <dataValidation allowBlank="1" showErrorMessage="1" prompt="Enter the temperature for the second curve that will be plotted for each device - the first curve is always at 25°C." sqref="J12" xr:uid="{00000000-0002-0000-0100-000004000000}"/>
    <dataValidation allowBlank="1" showErrorMessage="1" prompt="Enter the planned Shunt Resistor in mΩ._x000a__x000a_If &quot;Use Maximum Calculated Shunt&quot; is YES, the error calcuations &amp; curves use a different shunt value based on device parameters and system specifications._x000a__x000a_See the HELP tab for more information in this subject." sqref="J19" xr:uid="{00000000-0002-0000-0100-000006000000}"/>
    <dataValidation allowBlank="1" showErrorMessage="1" prompt="Enter the tolerance for the shunt resistor. _x000a__x000a_This affects the calcuations/curves regardless of the choice at &quot;Use Maximum Calculated Shunt&quot;" sqref="J20" xr:uid="{00000000-0002-0000-0100-000007000000}"/>
    <dataValidation allowBlank="1" showErrorMessage="1" prompt="Enter the temperature coeeficient (drift) for the shunt resistor._x000a__x000a_This affects the calcuations/curves regardless of the choice at &quot;Use Maximum Calculated Shunt&quot;" sqref="J21" xr:uid="{00000000-0002-0000-0100-000008000000}"/>
    <dataValidation allowBlank="1" showErrorMessage="1" prompt="Enter the maximum linear current to be measured._x000a__x000a_This will help determine the Maximum Calculated Shunt value.  The value is seen in the comparison table. _x000a__x000a_See the HELP tab for more information in this subject._x000a__x000a_" sqref="J14" xr:uid="{00000000-0002-0000-0100-000009000000}"/>
    <dataValidation allowBlank="1" showErrorMessage="1" prompt="Enter the typical current value to calculate the typical RSS error, reported in the comparison table._x000a__x000a_The &quot;Use Maximum Calculated Shunt&quot; choice affects which shunt value is used for this calcuation." sqref="J15" xr:uid="{00000000-0002-0000-0100-00000A000000}"/>
    <dataValidation allowBlank="1" showErrorMessage="1" prompt="Enter the lowest measurable current value to calculate the RSS error at this current level, reported in the comparison table._x000a__x000a_The &quot;Use Maximum Calculated Shunt&quot; choice affects which shunt value is used for this calcuation." sqref="J16" xr:uid="{00000000-0002-0000-0100-00000B000000}"/>
    <dataValidation type="list" allowBlank="1" showInputMessage="1" showErrorMessage="1" sqref="C8:C9" xr:uid="{00000000-0002-0000-0100-000005000000}">
      <formula1>$CO$36:$CO$39</formula1>
    </dataValidation>
  </dataValidations>
  <pageMargins left="0.7" right="0.7" top="0.75" bottom="0.75" header="0.3" footer="0.3"/>
  <pageSetup orientation="portrait" r:id="rId1"/>
  <drawing r:id="rId2"/>
  <legacyDrawing r:id="rId3"/>
  <controls>
    <mc:AlternateContent xmlns:mc="http://schemas.openxmlformats.org/markup-compatibility/2006">
      <mc:Choice Requires="x14">
        <control shapeId="18442" r:id="rId4" name="CommandButton1">
          <controlPr defaultSize="0" autoLine="0" autoPict="0" r:id="rId5">
            <anchor moveWithCells="1">
              <from>
                <xdr:col>3</xdr:col>
                <xdr:colOff>161925</xdr:colOff>
                <xdr:row>6</xdr:row>
                <xdr:rowOff>152400</xdr:rowOff>
              </from>
              <to>
                <xdr:col>3</xdr:col>
                <xdr:colOff>1228725</xdr:colOff>
                <xdr:row>8</xdr:row>
                <xdr:rowOff>104775</xdr:rowOff>
              </to>
            </anchor>
          </controlPr>
        </control>
      </mc:Choice>
      <mc:Fallback>
        <control shapeId="18442" r:id="rId4" name="CommandButton1"/>
      </mc:Fallback>
    </mc:AlternateContent>
  </controls>
  <extLst>
    <ext xmlns:x14="http://schemas.microsoft.com/office/spreadsheetml/2009/9/main" uri="{CCE6A557-97BC-4b89-ADB6-D9C93CAAB3DF}">
      <x14:dataValidations xmlns:xm="http://schemas.microsoft.com/office/excel/2006/main" xWindow="740" yWindow="418" count="1">
        <x14:dataValidation type="list" allowBlank="1" showErrorMessage="1" error="You must choose a device from the list" prompt="For many devices, parameters change with gain, so you must choose the appropriate option.  In addition, a few devices have different offset specifications in low-side vs. high-side applications." xr:uid="{4E7F4A94-7EEE-407F-870F-63DAA8E703BF}">
          <x14:formula1>
            <xm:f>'TI Parametric Selection '!$B$4:$B$266</xm:f>
          </x14:formula1>
          <xm:sqref>C15:G15</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4"/>
  <dimension ref="A1:AX622"/>
  <sheetViews>
    <sheetView zoomScaleNormal="100" workbookViewId="0">
      <pane xSplit="2" ySplit="3" topLeftCell="R163" activePane="bottomRight" state="frozen"/>
      <selection pane="topRight" activeCell="C1" sqref="C1"/>
      <selection pane="bottomLeft" activeCell="A4" sqref="A4"/>
      <selection pane="bottomRight" activeCell="AF163" sqref="AF163:AF210"/>
    </sheetView>
  </sheetViews>
  <sheetFormatPr baseColWidth="10" defaultColWidth="9.140625" defaultRowHeight="15"/>
  <cols>
    <col min="1" max="1" width="10.140625" style="25" bestFit="1" customWidth="1"/>
    <col min="2" max="2" width="17.28515625" style="26" bestFit="1" customWidth="1"/>
    <col min="3" max="3" width="14.28515625" bestFit="1" customWidth="1"/>
    <col min="4" max="4" width="14.28515625" style="25" bestFit="1" customWidth="1"/>
    <col min="5" max="5" width="15" style="40" bestFit="1" customWidth="1"/>
    <col min="6" max="6" width="14.5703125" style="40" bestFit="1" customWidth="1"/>
    <col min="7" max="7" width="11.7109375" style="41" bestFit="1" customWidth="1"/>
    <col min="8" max="8" width="11" style="41" bestFit="1" customWidth="1"/>
    <col min="9" max="9" width="13.42578125" style="25" bestFit="1" customWidth="1"/>
    <col min="10" max="10" width="14" bestFit="1" customWidth="1"/>
    <col min="11" max="11" width="11.85546875" style="25" bestFit="1" customWidth="1"/>
    <col min="12" max="12" width="12" style="25" bestFit="1" customWidth="1"/>
    <col min="13" max="13" width="8.140625" style="25" bestFit="1" customWidth="1"/>
    <col min="14" max="14" width="12" style="41" bestFit="1" customWidth="1"/>
    <col min="15" max="15" width="8.140625" style="25" bestFit="1" customWidth="1"/>
    <col min="16" max="16" width="13" style="25" bestFit="1" customWidth="1"/>
    <col min="17" max="17" width="13.28515625" style="69" bestFit="1" customWidth="1"/>
    <col min="18" max="18" width="8.7109375" bestFit="1" customWidth="1"/>
    <col min="19" max="19" width="8.42578125" bestFit="1" customWidth="1"/>
    <col min="20" max="20" width="8.7109375" style="25" bestFit="1" customWidth="1"/>
    <col min="21" max="21" width="13.85546875" bestFit="1" customWidth="1"/>
    <col min="22" max="22" width="10.140625" bestFit="1" customWidth="1"/>
    <col min="23" max="23" width="12.42578125" bestFit="1" customWidth="1"/>
    <col min="24" max="24" width="10.85546875" style="25" bestFit="1" customWidth="1"/>
    <col min="25" max="25" width="11.85546875" bestFit="1" customWidth="1"/>
    <col min="26" max="26" width="14.7109375" bestFit="1" customWidth="1"/>
    <col min="27" max="27" width="14.5703125" style="25" customWidth="1"/>
    <col min="28" max="28" width="9.140625" customWidth="1"/>
    <col min="29" max="29" width="13" customWidth="1"/>
    <col min="30" max="30" width="16.85546875" customWidth="1"/>
    <col min="31" max="31" width="18.7109375" customWidth="1"/>
    <col min="32" max="32" width="14.85546875" customWidth="1"/>
    <col min="33" max="33" width="15.7109375" style="25" customWidth="1"/>
    <col min="34" max="34" width="16" style="25" bestFit="1" customWidth="1"/>
    <col min="35" max="35" width="12.140625" style="25" bestFit="1" customWidth="1"/>
    <col min="36" max="36" width="12.28515625" style="25" bestFit="1" customWidth="1"/>
    <col min="37" max="37" width="14.85546875" style="25" bestFit="1" customWidth="1"/>
    <col min="38" max="38" width="14.140625" style="25" bestFit="1" customWidth="1"/>
    <col min="39" max="39" width="15" style="25" bestFit="1" customWidth="1"/>
    <col min="40" max="40" width="12.140625" style="27" bestFit="1" customWidth="1"/>
    <col min="41" max="41" width="11" style="19" customWidth="1"/>
    <col min="42" max="42" width="17.28515625" style="25" customWidth="1"/>
    <col min="43" max="43" width="20.140625" style="25" customWidth="1"/>
    <col min="46" max="46" width="10" style="29" customWidth="1"/>
    <col min="47" max="47" width="12.42578125" style="25" customWidth="1"/>
    <col min="48" max="48" width="19.5703125" style="25" customWidth="1"/>
    <col min="49" max="50" width="16.5703125" style="25" customWidth="1"/>
    <col min="51" max="51" width="10.85546875" style="25" bestFit="1" customWidth="1"/>
    <col min="52" max="52" width="2.7109375" style="25" customWidth="1"/>
    <col min="53" max="16379" width="28.7109375" style="25" customWidth="1"/>
    <col min="16380" max="16384" width="6.85546875" style="25" customWidth="1"/>
  </cols>
  <sheetData>
    <row r="1" spans="1:46" ht="23.25" hidden="1">
      <c r="B1" s="82">
        <v>1</v>
      </c>
      <c r="C1" s="82">
        <f>B1+1</f>
        <v>2</v>
      </c>
      <c r="D1" s="82">
        <f>C1+1</f>
        <v>3</v>
      </c>
      <c r="E1" s="82">
        <f t="shared" ref="E1:AH1" si="0">D1+1</f>
        <v>4</v>
      </c>
      <c r="F1" s="82">
        <f t="shared" si="0"/>
        <v>5</v>
      </c>
      <c r="G1" s="82">
        <f t="shared" si="0"/>
        <v>6</v>
      </c>
      <c r="H1" s="82">
        <f t="shared" si="0"/>
        <v>7</v>
      </c>
      <c r="I1" s="82">
        <f t="shared" si="0"/>
        <v>8</v>
      </c>
      <c r="J1" s="82">
        <f t="shared" si="0"/>
        <v>9</v>
      </c>
      <c r="K1" s="82">
        <f t="shared" si="0"/>
        <v>10</v>
      </c>
      <c r="L1" s="82">
        <f t="shared" si="0"/>
        <v>11</v>
      </c>
      <c r="M1" s="82">
        <f t="shared" si="0"/>
        <v>12</v>
      </c>
      <c r="N1" s="82">
        <f t="shared" si="0"/>
        <v>13</v>
      </c>
      <c r="O1" s="82">
        <f t="shared" si="0"/>
        <v>14</v>
      </c>
      <c r="P1" s="82">
        <f t="shared" si="0"/>
        <v>15</v>
      </c>
      <c r="Q1" s="82">
        <f t="shared" si="0"/>
        <v>16</v>
      </c>
      <c r="R1" s="82">
        <f t="shared" si="0"/>
        <v>17</v>
      </c>
      <c r="S1" s="82">
        <f t="shared" si="0"/>
        <v>18</v>
      </c>
      <c r="T1" s="82">
        <f t="shared" si="0"/>
        <v>19</v>
      </c>
      <c r="U1" s="82">
        <f t="shared" si="0"/>
        <v>20</v>
      </c>
      <c r="V1" s="82">
        <f t="shared" si="0"/>
        <v>21</v>
      </c>
      <c r="W1" s="82">
        <f t="shared" si="0"/>
        <v>22</v>
      </c>
      <c r="X1" s="82">
        <f t="shared" si="0"/>
        <v>23</v>
      </c>
      <c r="Y1" s="82">
        <f t="shared" si="0"/>
        <v>24</v>
      </c>
      <c r="Z1" s="82">
        <f t="shared" si="0"/>
        <v>25</v>
      </c>
      <c r="AA1" s="82">
        <f t="shared" si="0"/>
        <v>26</v>
      </c>
      <c r="AB1" s="82">
        <f t="shared" si="0"/>
        <v>27</v>
      </c>
      <c r="AC1" s="82">
        <f t="shared" si="0"/>
        <v>28</v>
      </c>
      <c r="AD1" s="82">
        <f t="shared" si="0"/>
        <v>29</v>
      </c>
      <c r="AE1" s="82">
        <f t="shared" si="0"/>
        <v>30</v>
      </c>
      <c r="AF1" s="82">
        <f t="shared" si="0"/>
        <v>31</v>
      </c>
      <c r="AG1" s="82">
        <f t="shared" si="0"/>
        <v>32</v>
      </c>
      <c r="AH1" s="82">
        <f t="shared" si="0"/>
        <v>33</v>
      </c>
      <c r="AN1" s="25"/>
      <c r="AO1" s="25"/>
      <c r="AR1" s="25"/>
      <c r="AS1" s="25"/>
      <c r="AT1" s="25"/>
    </row>
    <row r="2" spans="1:46" ht="45">
      <c r="A2" s="30" t="s">
        <v>213</v>
      </c>
      <c r="B2" s="159" t="s">
        <v>298</v>
      </c>
      <c r="C2" s="160" t="s">
        <v>137</v>
      </c>
      <c r="D2" s="160" t="s">
        <v>136</v>
      </c>
      <c r="E2" s="160" t="s">
        <v>139</v>
      </c>
      <c r="F2" s="160" t="s">
        <v>138</v>
      </c>
      <c r="G2" s="160" t="s">
        <v>37</v>
      </c>
      <c r="H2" s="161" t="s">
        <v>89</v>
      </c>
      <c r="I2" s="160" t="s">
        <v>38</v>
      </c>
      <c r="J2" s="162" t="s">
        <v>36</v>
      </c>
      <c r="K2" s="160" t="s">
        <v>60</v>
      </c>
      <c r="L2" s="162" t="s">
        <v>94</v>
      </c>
      <c r="M2" s="160" t="s">
        <v>376</v>
      </c>
      <c r="N2" s="162" t="s">
        <v>31</v>
      </c>
      <c r="O2" s="160" t="s">
        <v>377</v>
      </c>
      <c r="P2" s="160" t="s">
        <v>102</v>
      </c>
      <c r="Q2" s="160" t="s">
        <v>101</v>
      </c>
      <c r="R2" s="160" t="s">
        <v>40</v>
      </c>
      <c r="S2" s="160" t="s">
        <v>92</v>
      </c>
      <c r="T2" s="160" t="s">
        <v>93</v>
      </c>
      <c r="U2" s="163" t="s">
        <v>32</v>
      </c>
      <c r="V2" s="163" t="s">
        <v>39</v>
      </c>
      <c r="W2" s="163" t="s">
        <v>35</v>
      </c>
      <c r="X2" s="160" t="s">
        <v>247</v>
      </c>
      <c r="Y2" s="160" t="s">
        <v>75</v>
      </c>
      <c r="Z2" s="160" t="s">
        <v>76</v>
      </c>
      <c r="AA2" s="163" t="s">
        <v>34</v>
      </c>
      <c r="AB2" s="160" t="s">
        <v>87</v>
      </c>
      <c r="AC2" s="160" t="s">
        <v>375</v>
      </c>
      <c r="AD2" s="160" t="s">
        <v>135</v>
      </c>
      <c r="AE2" s="160" t="s">
        <v>96</v>
      </c>
      <c r="AF2" s="160" t="s">
        <v>326</v>
      </c>
      <c r="AG2" s="163" t="s">
        <v>33</v>
      </c>
      <c r="AH2" s="30" t="s">
        <v>147</v>
      </c>
      <c r="AI2" s="19"/>
      <c r="AN2" s="25"/>
      <c r="AO2" s="25"/>
      <c r="AR2" s="25"/>
      <c r="AS2" s="25"/>
      <c r="AT2" s="25"/>
    </row>
    <row r="3" spans="1:46" ht="11.25" hidden="1">
      <c r="A3" s="30">
        <v>0</v>
      </c>
      <c r="B3" s="159" t="s">
        <v>262</v>
      </c>
      <c r="C3" s="160"/>
      <c r="D3" s="160"/>
      <c r="E3" s="160"/>
      <c r="F3" s="160"/>
      <c r="G3" s="160"/>
      <c r="H3" s="161"/>
      <c r="I3" s="160"/>
      <c r="J3" s="162"/>
      <c r="K3" s="160"/>
      <c r="L3" s="162"/>
      <c r="M3" s="160"/>
      <c r="N3" s="162"/>
      <c r="O3" s="160"/>
      <c r="P3" s="160"/>
      <c r="Q3" s="160"/>
      <c r="R3" s="160"/>
      <c r="S3" s="160"/>
      <c r="T3" s="160"/>
      <c r="U3" s="163"/>
      <c r="V3" s="163"/>
      <c r="W3" s="163"/>
      <c r="X3" s="160"/>
      <c r="Y3" s="160"/>
      <c r="Z3" s="160"/>
      <c r="AA3" s="163"/>
      <c r="AB3" s="160"/>
      <c r="AC3" s="160"/>
      <c r="AD3" s="160"/>
      <c r="AE3" s="160"/>
      <c r="AF3" s="160"/>
      <c r="AG3" s="163"/>
      <c r="AH3" s="164"/>
      <c r="AI3" s="19"/>
      <c r="AN3" s="25"/>
      <c r="AO3" s="25"/>
      <c r="AR3" s="25"/>
      <c r="AS3" s="25"/>
      <c r="AT3" s="25"/>
    </row>
    <row r="4" spans="1:46" ht="11.25" hidden="1">
      <c r="A4" s="31">
        <v>1</v>
      </c>
      <c r="B4" s="165" t="s">
        <v>409</v>
      </c>
      <c r="C4" s="166">
        <v>-0.2</v>
      </c>
      <c r="D4" s="166">
        <v>26</v>
      </c>
      <c r="E4" s="166">
        <v>-0.3</v>
      </c>
      <c r="F4" s="166">
        <v>26</v>
      </c>
      <c r="G4" s="167">
        <v>20</v>
      </c>
      <c r="H4" s="168">
        <v>8.0000000000000002E-3</v>
      </c>
      <c r="I4" s="166">
        <v>20</v>
      </c>
      <c r="J4" s="167">
        <v>500</v>
      </c>
      <c r="K4" s="166">
        <v>1</v>
      </c>
      <c r="L4" s="167">
        <v>84</v>
      </c>
      <c r="M4" s="166">
        <v>12</v>
      </c>
      <c r="N4" s="167">
        <v>87.95880017344075</v>
      </c>
      <c r="O4" s="166">
        <v>5</v>
      </c>
      <c r="P4" s="166">
        <v>2.7</v>
      </c>
      <c r="Q4" s="166">
        <v>5.5</v>
      </c>
      <c r="R4" s="169">
        <v>0.3</v>
      </c>
      <c r="S4" s="166">
        <v>80</v>
      </c>
      <c r="T4" s="166" t="s">
        <v>68</v>
      </c>
      <c r="U4" s="167">
        <v>350</v>
      </c>
      <c r="V4" s="166">
        <v>2</v>
      </c>
      <c r="W4" s="166">
        <v>5</v>
      </c>
      <c r="X4" s="166">
        <v>-0.03</v>
      </c>
      <c r="Y4" s="166" t="s">
        <v>68</v>
      </c>
      <c r="Z4" s="166" t="s">
        <v>68</v>
      </c>
      <c r="AA4" s="166" t="s">
        <v>68</v>
      </c>
      <c r="AB4" s="170" t="s">
        <v>43</v>
      </c>
      <c r="AC4" s="170" t="s">
        <v>44</v>
      </c>
      <c r="AD4" s="170" t="s">
        <v>44</v>
      </c>
      <c r="AE4" s="166"/>
      <c r="AF4" s="171" t="s">
        <v>327</v>
      </c>
      <c r="AG4" s="201" t="s">
        <v>496</v>
      </c>
      <c r="AH4" s="172" t="s">
        <v>155</v>
      </c>
      <c r="AI4" s="34"/>
      <c r="AN4" s="25"/>
      <c r="AO4" s="25"/>
      <c r="AR4" s="25"/>
      <c r="AS4" s="25"/>
      <c r="AT4" s="25"/>
    </row>
    <row r="5" spans="1:46" ht="11.25" hidden="1">
      <c r="A5" s="31">
        <v>1</v>
      </c>
      <c r="B5" s="165" t="s">
        <v>437</v>
      </c>
      <c r="C5" s="166">
        <v>-0.2</v>
      </c>
      <c r="D5" s="166">
        <v>26</v>
      </c>
      <c r="E5" s="166">
        <v>-0.3</v>
      </c>
      <c r="F5" s="166">
        <v>26</v>
      </c>
      <c r="G5" s="167">
        <v>20</v>
      </c>
      <c r="H5" s="168">
        <v>8.0000000000000002E-3</v>
      </c>
      <c r="I5" s="166">
        <v>20</v>
      </c>
      <c r="J5" s="167">
        <v>150</v>
      </c>
      <c r="K5" s="166">
        <v>1</v>
      </c>
      <c r="L5" s="167">
        <v>84</v>
      </c>
      <c r="M5" s="166">
        <v>0</v>
      </c>
      <c r="N5" s="167">
        <v>87.95880017344075</v>
      </c>
      <c r="O5" s="166">
        <v>5</v>
      </c>
      <c r="P5" s="166">
        <v>2.7</v>
      </c>
      <c r="Q5" s="166">
        <v>5.5</v>
      </c>
      <c r="R5" s="169">
        <v>0.3</v>
      </c>
      <c r="S5" s="166">
        <v>80</v>
      </c>
      <c r="T5" s="166" t="s">
        <v>68</v>
      </c>
      <c r="U5" s="167">
        <v>350</v>
      </c>
      <c r="V5" s="166">
        <v>2</v>
      </c>
      <c r="W5" s="166">
        <v>5</v>
      </c>
      <c r="X5" s="166">
        <v>-0.03</v>
      </c>
      <c r="Y5" s="166" t="s">
        <v>68</v>
      </c>
      <c r="Z5" s="166" t="s">
        <v>68</v>
      </c>
      <c r="AA5" s="166" t="s">
        <v>68</v>
      </c>
      <c r="AB5" s="170" t="s">
        <v>43</v>
      </c>
      <c r="AC5" s="170" t="s">
        <v>44</v>
      </c>
      <c r="AD5" s="170" t="s">
        <v>44</v>
      </c>
      <c r="AE5" s="166"/>
      <c r="AF5" s="171" t="s">
        <v>327</v>
      </c>
      <c r="AG5" s="201" t="s">
        <v>496</v>
      </c>
      <c r="AH5" s="172" t="s">
        <v>155</v>
      </c>
      <c r="AI5" s="34"/>
      <c r="AN5" s="25"/>
      <c r="AO5" s="25"/>
      <c r="AR5" s="25"/>
      <c r="AS5" s="25"/>
      <c r="AT5" s="25"/>
    </row>
    <row r="6" spans="1:46" ht="11.25" hidden="1">
      <c r="A6" s="31">
        <v>1</v>
      </c>
      <c r="B6" s="165" t="s">
        <v>410</v>
      </c>
      <c r="C6" s="166">
        <v>-0.2</v>
      </c>
      <c r="D6" s="166">
        <v>26</v>
      </c>
      <c r="E6" s="166">
        <v>-0.3</v>
      </c>
      <c r="F6" s="166">
        <v>26</v>
      </c>
      <c r="G6" s="167">
        <v>50</v>
      </c>
      <c r="H6" s="168">
        <v>8.0000000000000002E-3</v>
      </c>
      <c r="I6" s="166">
        <v>20</v>
      </c>
      <c r="J6" s="167">
        <v>500</v>
      </c>
      <c r="K6" s="166">
        <v>1</v>
      </c>
      <c r="L6" s="167">
        <v>84</v>
      </c>
      <c r="M6" s="166">
        <v>12</v>
      </c>
      <c r="N6" s="167">
        <v>87.95880017344075</v>
      </c>
      <c r="O6" s="166">
        <v>5</v>
      </c>
      <c r="P6" s="166">
        <v>2.7</v>
      </c>
      <c r="Q6" s="166">
        <v>5.5</v>
      </c>
      <c r="R6" s="169">
        <v>0.3</v>
      </c>
      <c r="S6" s="166">
        <v>80</v>
      </c>
      <c r="T6" s="166" t="s">
        <v>68</v>
      </c>
      <c r="U6" s="167">
        <v>210</v>
      </c>
      <c r="V6" s="166">
        <v>2</v>
      </c>
      <c r="W6" s="166">
        <v>5</v>
      </c>
      <c r="X6" s="166">
        <v>-0.03</v>
      </c>
      <c r="Y6" s="166" t="s">
        <v>68</v>
      </c>
      <c r="Z6" s="166" t="s">
        <v>68</v>
      </c>
      <c r="AA6" s="166" t="s">
        <v>68</v>
      </c>
      <c r="AB6" s="170" t="s">
        <v>43</v>
      </c>
      <c r="AC6" s="170" t="s">
        <v>44</v>
      </c>
      <c r="AD6" s="170" t="s">
        <v>44</v>
      </c>
      <c r="AE6" s="166"/>
      <c r="AF6" s="171" t="s">
        <v>327</v>
      </c>
      <c r="AG6" s="201" t="s">
        <v>496</v>
      </c>
      <c r="AH6" s="172" t="s">
        <v>155</v>
      </c>
      <c r="AI6" s="34"/>
      <c r="AN6" s="25"/>
      <c r="AO6" s="25"/>
      <c r="AR6" s="25"/>
      <c r="AS6" s="25"/>
      <c r="AT6" s="25"/>
    </row>
    <row r="7" spans="1:46" ht="11.25" hidden="1">
      <c r="A7" s="31">
        <v>1</v>
      </c>
      <c r="B7" s="165" t="s">
        <v>438</v>
      </c>
      <c r="C7" s="166">
        <v>-0.2</v>
      </c>
      <c r="D7" s="166">
        <v>26</v>
      </c>
      <c r="E7" s="166">
        <v>-0.3</v>
      </c>
      <c r="F7" s="166">
        <v>26</v>
      </c>
      <c r="G7" s="167">
        <v>50</v>
      </c>
      <c r="H7" s="168">
        <v>8.0000000000000002E-3</v>
      </c>
      <c r="I7" s="166">
        <v>20</v>
      </c>
      <c r="J7" s="167">
        <v>150</v>
      </c>
      <c r="K7" s="166">
        <v>1</v>
      </c>
      <c r="L7" s="167">
        <v>84</v>
      </c>
      <c r="M7" s="166">
        <v>0</v>
      </c>
      <c r="N7" s="167">
        <v>87.95880017344075</v>
      </c>
      <c r="O7" s="166">
        <v>5</v>
      </c>
      <c r="P7" s="166">
        <v>2.7</v>
      </c>
      <c r="Q7" s="166">
        <v>5.5</v>
      </c>
      <c r="R7" s="169">
        <v>0.3</v>
      </c>
      <c r="S7" s="166">
        <v>80</v>
      </c>
      <c r="T7" s="166" t="s">
        <v>68</v>
      </c>
      <c r="U7" s="167">
        <v>210</v>
      </c>
      <c r="V7" s="166">
        <v>2</v>
      </c>
      <c r="W7" s="166">
        <v>5</v>
      </c>
      <c r="X7" s="166">
        <v>-0.03</v>
      </c>
      <c r="Y7" s="166" t="s">
        <v>68</v>
      </c>
      <c r="Z7" s="166" t="s">
        <v>68</v>
      </c>
      <c r="AA7" s="166" t="s">
        <v>68</v>
      </c>
      <c r="AB7" s="170" t="s">
        <v>43</v>
      </c>
      <c r="AC7" s="170" t="s">
        <v>44</v>
      </c>
      <c r="AD7" s="170" t="s">
        <v>44</v>
      </c>
      <c r="AE7" s="166"/>
      <c r="AF7" s="171" t="s">
        <v>327</v>
      </c>
      <c r="AG7" s="201" t="s">
        <v>496</v>
      </c>
      <c r="AH7" s="172" t="s">
        <v>155</v>
      </c>
      <c r="AI7" s="34"/>
      <c r="AN7" s="25"/>
      <c r="AO7" s="25"/>
      <c r="AR7" s="25"/>
      <c r="AS7" s="25"/>
      <c r="AT7" s="25"/>
    </row>
    <row r="8" spans="1:46" ht="11.25" hidden="1">
      <c r="A8" s="31">
        <v>1</v>
      </c>
      <c r="B8" s="165" t="s">
        <v>411</v>
      </c>
      <c r="C8" s="166">
        <v>-0.2</v>
      </c>
      <c r="D8" s="166">
        <v>26</v>
      </c>
      <c r="E8" s="166">
        <v>-0.3</v>
      </c>
      <c r="F8" s="166">
        <v>26</v>
      </c>
      <c r="G8" s="167">
        <v>100</v>
      </c>
      <c r="H8" s="168">
        <v>8.0000000000000002E-3</v>
      </c>
      <c r="I8" s="166">
        <v>20</v>
      </c>
      <c r="J8" s="167">
        <v>500</v>
      </c>
      <c r="K8" s="166">
        <v>1</v>
      </c>
      <c r="L8" s="167">
        <v>84</v>
      </c>
      <c r="M8" s="166">
        <v>12</v>
      </c>
      <c r="N8" s="167">
        <v>87.95880017344075</v>
      </c>
      <c r="O8" s="166">
        <v>5</v>
      </c>
      <c r="P8" s="166">
        <v>2.7</v>
      </c>
      <c r="Q8" s="166">
        <v>5.5</v>
      </c>
      <c r="R8" s="169">
        <v>0.3</v>
      </c>
      <c r="S8" s="166">
        <v>80</v>
      </c>
      <c r="T8" s="166" t="s">
        <v>68</v>
      </c>
      <c r="U8" s="167">
        <v>150</v>
      </c>
      <c r="V8" s="166">
        <v>2</v>
      </c>
      <c r="W8" s="166">
        <v>5</v>
      </c>
      <c r="X8" s="166">
        <v>-0.03</v>
      </c>
      <c r="Y8" s="166" t="s">
        <v>68</v>
      </c>
      <c r="Z8" s="166" t="s">
        <v>68</v>
      </c>
      <c r="AA8" s="166" t="s">
        <v>68</v>
      </c>
      <c r="AB8" s="170" t="s">
        <v>43</v>
      </c>
      <c r="AC8" s="170" t="s">
        <v>44</v>
      </c>
      <c r="AD8" s="170" t="s">
        <v>44</v>
      </c>
      <c r="AE8" s="166"/>
      <c r="AF8" s="171" t="s">
        <v>327</v>
      </c>
      <c r="AG8" s="201" t="s">
        <v>496</v>
      </c>
      <c r="AH8" s="172" t="s">
        <v>155</v>
      </c>
      <c r="AI8" s="34"/>
      <c r="AN8" s="25"/>
      <c r="AO8" s="25"/>
      <c r="AR8" s="25"/>
      <c r="AS8" s="25"/>
      <c r="AT8" s="25"/>
    </row>
    <row r="9" spans="1:46" ht="11.25" hidden="1">
      <c r="A9" s="31">
        <v>1</v>
      </c>
      <c r="B9" s="165" t="s">
        <v>439</v>
      </c>
      <c r="C9" s="166">
        <v>-0.2</v>
      </c>
      <c r="D9" s="166">
        <v>26</v>
      </c>
      <c r="E9" s="166">
        <v>-0.3</v>
      </c>
      <c r="F9" s="166">
        <v>26</v>
      </c>
      <c r="G9" s="167">
        <v>100</v>
      </c>
      <c r="H9" s="168">
        <v>8.0000000000000002E-3</v>
      </c>
      <c r="I9" s="166">
        <v>20</v>
      </c>
      <c r="J9" s="167">
        <v>150</v>
      </c>
      <c r="K9" s="166">
        <v>1</v>
      </c>
      <c r="L9" s="167">
        <v>84</v>
      </c>
      <c r="M9" s="166">
        <v>0</v>
      </c>
      <c r="N9" s="167">
        <v>87.95880017344075</v>
      </c>
      <c r="O9" s="166">
        <v>5</v>
      </c>
      <c r="P9" s="166">
        <v>2.7</v>
      </c>
      <c r="Q9" s="166">
        <v>5.5</v>
      </c>
      <c r="R9" s="169">
        <v>0.3</v>
      </c>
      <c r="S9" s="166">
        <v>80</v>
      </c>
      <c r="T9" s="166" t="s">
        <v>68</v>
      </c>
      <c r="U9" s="167">
        <v>150</v>
      </c>
      <c r="V9" s="166">
        <v>2</v>
      </c>
      <c r="W9" s="166">
        <v>5</v>
      </c>
      <c r="X9" s="166">
        <v>-0.03</v>
      </c>
      <c r="Y9" s="166" t="s">
        <v>68</v>
      </c>
      <c r="Z9" s="166" t="s">
        <v>68</v>
      </c>
      <c r="AA9" s="166" t="s">
        <v>68</v>
      </c>
      <c r="AB9" s="170" t="s">
        <v>43</v>
      </c>
      <c r="AC9" s="170" t="s">
        <v>44</v>
      </c>
      <c r="AD9" s="170" t="s">
        <v>44</v>
      </c>
      <c r="AE9" s="166"/>
      <c r="AF9" s="171" t="s">
        <v>327</v>
      </c>
      <c r="AG9" s="201" t="s">
        <v>496</v>
      </c>
      <c r="AH9" s="172" t="s">
        <v>155</v>
      </c>
      <c r="AI9" s="34"/>
      <c r="AN9" s="25"/>
      <c r="AO9" s="25"/>
      <c r="AR9" s="25"/>
      <c r="AS9" s="25"/>
      <c r="AT9" s="25"/>
    </row>
    <row r="10" spans="1:46" ht="11.25" hidden="1">
      <c r="A10" s="31">
        <v>1</v>
      </c>
      <c r="B10" s="165" t="s">
        <v>412</v>
      </c>
      <c r="C10" s="166">
        <v>-0.2</v>
      </c>
      <c r="D10" s="166">
        <v>26</v>
      </c>
      <c r="E10" s="166">
        <v>-0.3</v>
      </c>
      <c r="F10" s="166">
        <v>26</v>
      </c>
      <c r="G10" s="167">
        <v>200</v>
      </c>
      <c r="H10" s="168">
        <v>8.0000000000000002E-3</v>
      </c>
      <c r="I10" s="166">
        <v>20</v>
      </c>
      <c r="J10" s="167">
        <v>500</v>
      </c>
      <c r="K10" s="166">
        <v>1</v>
      </c>
      <c r="L10" s="167">
        <v>84</v>
      </c>
      <c r="M10" s="166">
        <v>12</v>
      </c>
      <c r="N10" s="167">
        <v>87.95880017344075</v>
      </c>
      <c r="O10" s="166">
        <v>5</v>
      </c>
      <c r="P10" s="166">
        <v>2.7</v>
      </c>
      <c r="Q10" s="166">
        <v>5.5</v>
      </c>
      <c r="R10" s="169">
        <v>0.3</v>
      </c>
      <c r="S10" s="166">
        <v>80</v>
      </c>
      <c r="T10" s="166" t="s">
        <v>68</v>
      </c>
      <c r="U10" s="167">
        <v>105</v>
      </c>
      <c r="V10" s="166">
        <v>2</v>
      </c>
      <c r="W10" s="166">
        <v>5</v>
      </c>
      <c r="X10" s="166">
        <v>-0.03</v>
      </c>
      <c r="Y10" s="166" t="s">
        <v>68</v>
      </c>
      <c r="Z10" s="166" t="s">
        <v>68</v>
      </c>
      <c r="AA10" s="166" t="s">
        <v>68</v>
      </c>
      <c r="AB10" s="170" t="s">
        <v>43</v>
      </c>
      <c r="AC10" s="170" t="s">
        <v>44</v>
      </c>
      <c r="AD10" s="170" t="s">
        <v>44</v>
      </c>
      <c r="AE10" s="166"/>
      <c r="AF10" s="171" t="s">
        <v>327</v>
      </c>
      <c r="AG10" s="201" t="s">
        <v>496</v>
      </c>
      <c r="AH10" s="172" t="s">
        <v>155</v>
      </c>
      <c r="AI10" s="34"/>
      <c r="AN10" s="25"/>
      <c r="AO10" s="25"/>
      <c r="AR10" s="25"/>
      <c r="AS10" s="25"/>
      <c r="AT10" s="25"/>
    </row>
    <row r="11" spans="1:46" ht="11.25" hidden="1">
      <c r="A11" s="31">
        <v>1</v>
      </c>
      <c r="B11" s="165" t="s">
        <v>440</v>
      </c>
      <c r="C11" s="166">
        <v>-0.2</v>
      </c>
      <c r="D11" s="166">
        <v>26</v>
      </c>
      <c r="E11" s="166">
        <v>-0.3</v>
      </c>
      <c r="F11" s="166">
        <v>26</v>
      </c>
      <c r="G11" s="167">
        <v>200</v>
      </c>
      <c r="H11" s="168">
        <v>8.0000000000000002E-3</v>
      </c>
      <c r="I11" s="166">
        <v>20</v>
      </c>
      <c r="J11" s="167">
        <v>150</v>
      </c>
      <c r="K11" s="166">
        <v>1</v>
      </c>
      <c r="L11" s="167">
        <v>84</v>
      </c>
      <c r="M11" s="166">
        <v>0</v>
      </c>
      <c r="N11" s="167">
        <v>87.95880017344075</v>
      </c>
      <c r="O11" s="166">
        <v>5</v>
      </c>
      <c r="P11" s="166">
        <v>2.7</v>
      </c>
      <c r="Q11" s="166">
        <v>5.5</v>
      </c>
      <c r="R11" s="169">
        <v>0.3</v>
      </c>
      <c r="S11" s="166">
        <v>80</v>
      </c>
      <c r="T11" s="166" t="s">
        <v>68</v>
      </c>
      <c r="U11" s="167">
        <v>105</v>
      </c>
      <c r="V11" s="166">
        <v>2</v>
      </c>
      <c r="W11" s="166">
        <v>5</v>
      </c>
      <c r="X11" s="166">
        <v>-0.03</v>
      </c>
      <c r="Y11" s="166" t="s">
        <v>68</v>
      </c>
      <c r="Z11" s="166" t="s">
        <v>68</v>
      </c>
      <c r="AA11" s="166" t="s">
        <v>68</v>
      </c>
      <c r="AB11" s="170" t="s">
        <v>43</v>
      </c>
      <c r="AC11" s="170" t="s">
        <v>44</v>
      </c>
      <c r="AD11" s="170" t="s">
        <v>44</v>
      </c>
      <c r="AE11" s="166"/>
      <c r="AF11" s="171" t="s">
        <v>327</v>
      </c>
      <c r="AG11" s="201" t="s">
        <v>496</v>
      </c>
      <c r="AH11" s="172" t="s">
        <v>155</v>
      </c>
      <c r="AI11" s="34"/>
      <c r="AN11" s="25"/>
      <c r="AO11" s="25"/>
      <c r="AR11" s="25"/>
      <c r="AS11" s="25"/>
      <c r="AT11" s="25"/>
    </row>
    <row r="12" spans="1:46" ht="11.25" hidden="1">
      <c r="A12" s="31">
        <v>1</v>
      </c>
      <c r="B12" s="165" t="s">
        <v>413</v>
      </c>
      <c r="C12" s="166">
        <v>-0.2</v>
      </c>
      <c r="D12" s="166">
        <v>26</v>
      </c>
      <c r="E12" s="166">
        <v>-0.3</v>
      </c>
      <c r="F12" s="166">
        <v>26</v>
      </c>
      <c r="G12" s="167">
        <v>20</v>
      </c>
      <c r="H12" s="168">
        <v>8.0000000000000002E-3</v>
      </c>
      <c r="I12" s="166">
        <v>20</v>
      </c>
      <c r="J12" s="167">
        <v>500</v>
      </c>
      <c r="K12" s="166">
        <v>1</v>
      </c>
      <c r="L12" s="167">
        <v>84</v>
      </c>
      <c r="M12" s="166">
        <v>12</v>
      </c>
      <c r="N12" s="167">
        <v>87.95880017344075</v>
      </c>
      <c r="O12" s="166">
        <v>5</v>
      </c>
      <c r="P12" s="166">
        <v>2.7</v>
      </c>
      <c r="Q12" s="166">
        <v>5.5</v>
      </c>
      <c r="R12" s="169">
        <v>0.3</v>
      </c>
      <c r="S12" s="166">
        <v>80</v>
      </c>
      <c r="T12" s="166" t="s">
        <v>68</v>
      </c>
      <c r="U12" s="167">
        <v>350</v>
      </c>
      <c r="V12" s="166">
        <v>2</v>
      </c>
      <c r="W12" s="166">
        <v>5</v>
      </c>
      <c r="X12" s="166">
        <v>-0.03</v>
      </c>
      <c r="Y12" s="166" t="s">
        <v>68</v>
      </c>
      <c r="Z12" s="166" t="s">
        <v>68</v>
      </c>
      <c r="AA12" s="166" t="s">
        <v>68</v>
      </c>
      <c r="AB12" s="170" t="s">
        <v>43</v>
      </c>
      <c r="AC12" s="170" t="s">
        <v>43</v>
      </c>
      <c r="AD12" s="170" t="s">
        <v>44</v>
      </c>
      <c r="AE12" s="166"/>
      <c r="AF12" s="171" t="s">
        <v>327</v>
      </c>
      <c r="AG12" s="201" t="s">
        <v>496</v>
      </c>
      <c r="AH12" s="172" t="s">
        <v>156</v>
      </c>
      <c r="AI12" s="34"/>
      <c r="AN12" s="25"/>
      <c r="AO12" s="25"/>
      <c r="AR12" s="25"/>
      <c r="AS12" s="25"/>
      <c r="AT12" s="25"/>
    </row>
    <row r="13" spans="1:46" ht="11.25" hidden="1">
      <c r="A13" s="31">
        <v>1</v>
      </c>
      <c r="B13" s="165" t="s">
        <v>441</v>
      </c>
      <c r="C13" s="166">
        <v>-0.2</v>
      </c>
      <c r="D13" s="166">
        <v>26</v>
      </c>
      <c r="E13" s="166">
        <v>-0.3</v>
      </c>
      <c r="F13" s="166">
        <v>26</v>
      </c>
      <c r="G13" s="167">
        <v>20</v>
      </c>
      <c r="H13" s="168">
        <v>8.0000000000000002E-3</v>
      </c>
      <c r="I13" s="166">
        <v>20</v>
      </c>
      <c r="J13" s="167">
        <v>150</v>
      </c>
      <c r="K13" s="166">
        <v>1</v>
      </c>
      <c r="L13" s="167">
        <v>84</v>
      </c>
      <c r="M13" s="166">
        <v>0</v>
      </c>
      <c r="N13" s="167">
        <v>87.95880017344075</v>
      </c>
      <c r="O13" s="166">
        <v>5</v>
      </c>
      <c r="P13" s="166">
        <v>2.7</v>
      </c>
      <c r="Q13" s="166">
        <v>5.5</v>
      </c>
      <c r="R13" s="169">
        <v>0.3</v>
      </c>
      <c r="S13" s="166">
        <v>80</v>
      </c>
      <c r="T13" s="166" t="s">
        <v>68</v>
      </c>
      <c r="U13" s="167">
        <v>350</v>
      </c>
      <c r="V13" s="166">
        <v>2</v>
      </c>
      <c r="W13" s="166">
        <v>5</v>
      </c>
      <c r="X13" s="166">
        <v>-0.03</v>
      </c>
      <c r="Y13" s="166" t="s">
        <v>68</v>
      </c>
      <c r="Z13" s="166" t="s">
        <v>68</v>
      </c>
      <c r="AA13" s="166" t="s">
        <v>68</v>
      </c>
      <c r="AB13" s="170" t="s">
        <v>43</v>
      </c>
      <c r="AC13" s="170" t="s">
        <v>43</v>
      </c>
      <c r="AD13" s="170" t="s">
        <v>44</v>
      </c>
      <c r="AE13" s="166"/>
      <c r="AF13" s="171" t="s">
        <v>327</v>
      </c>
      <c r="AG13" s="201" t="s">
        <v>496</v>
      </c>
      <c r="AH13" s="172" t="s">
        <v>156</v>
      </c>
      <c r="AI13" s="34"/>
      <c r="AN13" s="25"/>
      <c r="AO13" s="25"/>
      <c r="AR13" s="25"/>
      <c r="AS13" s="25"/>
      <c r="AT13" s="25"/>
    </row>
    <row r="14" spans="1:46" ht="11.25" hidden="1">
      <c r="A14" s="31">
        <v>1</v>
      </c>
      <c r="B14" s="165" t="s">
        <v>414</v>
      </c>
      <c r="C14" s="166">
        <v>-0.2</v>
      </c>
      <c r="D14" s="166">
        <v>26</v>
      </c>
      <c r="E14" s="166">
        <v>-0.3</v>
      </c>
      <c r="F14" s="166">
        <v>26</v>
      </c>
      <c r="G14" s="167">
        <v>50</v>
      </c>
      <c r="H14" s="168">
        <v>8.0000000000000002E-3</v>
      </c>
      <c r="I14" s="166">
        <v>20</v>
      </c>
      <c r="J14" s="167">
        <v>500</v>
      </c>
      <c r="K14" s="166">
        <v>1</v>
      </c>
      <c r="L14" s="167">
        <v>84</v>
      </c>
      <c r="M14" s="166">
        <v>12</v>
      </c>
      <c r="N14" s="167">
        <v>87.95880017344075</v>
      </c>
      <c r="O14" s="166">
        <v>5</v>
      </c>
      <c r="P14" s="166">
        <v>2.7</v>
      </c>
      <c r="Q14" s="166">
        <v>5.5</v>
      </c>
      <c r="R14" s="169">
        <v>0.3</v>
      </c>
      <c r="S14" s="166">
        <v>80</v>
      </c>
      <c r="T14" s="166" t="s">
        <v>68</v>
      </c>
      <c r="U14" s="167">
        <v>210</v>
      </c>
      <c r="V14" s="166">
        <v>2</v>
      </c>
      <c r="W14" s="166">
        <v>5</v>
      </c>
      <c r="X14" s="166">
        <v>-0.03</v>
      </c>
      <c r="Y14" s="166" t="s">
        <v>68</v>
      </c>
      <c r="Z14" s="166" t="s">
        <v>68</v>
      </c>
      <c r="AA14" s="166" t="s">
        <v>68</v>
      </c>
      <c r="AB14" s="170" t="s">
        <v>43</v>
      </c>
      <c r="AC14" s="170" t="s">
        <v>43</v>
      </c>
      <c r="AD14" s="170" t="s">
        <v>44</v>
      </c>
      <c r="AE14" s="166"/>
      <c r="AF14" s="171" t="s">
        <v>327</v>
      </c>
      <c r="AG14" s="201" t="s">
        <v>496</v>
      </c>
      <c r="AH14" s="172" t="s">
        <v>156</v>
      </c>
      <c r="AI14" s="34"/>
      <c r="AN14" s="25"/>
      <c r="AO14" s="25"/>
      <c r="AR14" s="25"/>
      <c r="AS14" s="25"/>
      <c r="AT14" s="25"/>
    </row>
    <row r="15" spans="1:46" ht="11.25" hidden="1">
      <c r="A15" s="31">
        <v>1</v>
      </c>
      <c r="B15" s="165" t="s">
        <v>442</v>
      </c>
      <c r="C15" s="166">
        <v>-0.2</v>
      </c>
      <c r="D15" s="166">
        <v>26</v>
      </c>
      <c r="E15" s="166">
        <v>-0.3</v>
      </c>
      <c r="F15" s="166">
        <v>26</v>
      </c>
      <c r="G15" s="167">
        <v>50</v>
      </c>
      <c r="H15" s="168">
        <v>8.0000000000000002E-3</v>
      </c>
      <c r="I15" s="166">
        <v>20</v>
      </c>
      <c r="J15" s="167">
        <v>150</v>
      </c>
      <c r="K15" s="166">
        <v>1</v>
      </c>
      <c r="L15" s="167">
        <v>84</v>
      </c>
      <c r="M15" s="166">
        <v>0</v>
      </c>
      <c r="N15" s="167">
        <v>87.95880017344075</v>
      </c>
      <c r="O15" s="166">
        <v>5</v>
      </c>
      <c r="P15" s="166">
        <v>2.7</v>
      </c>
      <c r="Q15" s="166">
        <v>5.5</v>
      </c>
      <c r="R15" s="169">
        <v>0.3</v>
      </c>
      <c r="S15" s="166">
        <v>80</v>
      </c>
      <c r="T15" s="166" t="s">
        <v>68</v>
      </c>
      <c r="U15" s="167">
        <v>210</v>
      </c>
      <c r="V15" s="166">
        <v>2</v>
      </c>
      <c r="W15" s="166">
        <v>5</v>
      </c>
      <c r="X15" s="166">
        <v>-0.03</v>
      </c>
      <c r="Y15" s="166" t="s">
        <v>68</v>
      </c>
      <c r="Z15" s="166" t="s">
        <v>68</v>
      </c>
      <c r="AA15" s="166" t="s">
        <v>68</v>
      </c>
      <c r="AB15" s="170" t="s">
        <v>43</v>
      </c>
      <c r="AC15" s="170" t="s">
        <v>43</v>
      </c>
      <c r="AD15" s="170" t="s">
        <v>44</v>
      </c>
      <c r="AE15" s="166"/>
      <c r="AF15" s="171" t="s">
        <v>327</v>
      </c>
      <c r="AG15" s="201" t="s">
        <v>496</v>
      </c>
      <c r="AH15" s="172" t="s">
        <v>156</v>
      </c>
      <c r="AI15" s="34"/>
      <c r="AN15" s="25"/>
      <c r="AO15" s="25"/>
      <c r="AR15" s="25"/>
      <c r="AS15" s="25"/>
      <c r="AT15" s="25"/>
    </row>
    <row r="16" spans="1:46" ht="11.25" hidden="1">
      <c r="A16" s="31">
        <v>1</v>
      </c>
      <c r="B16" s="165" t="s">
        <v>415</v>
      </c>
      <c r="C16" s="166">
        <v>-0.2</v>
      </c>
      <c r="D16" s="166">
        <v>26</v>
      </c>
      <c r="E16" s="166">
        <v>-0.3</v>
      </c>
      <c r="F16" s="166">
        <v>26</v>
      </c>
      <c r="G16" s="167">
        <v>100</v>
      </c>
      <c r="H16" s="168">
        <v>8.0000000000000002E-3</v>
      </c>
      <c r="I16" s="166">
        <v>20</v>
      </c>
      <c r="J16" s="167">
        <v>500</v>
      </c>
      <c r="K16" s="166">
        <v>1</v>
      </c>
      <c r="L16" s="167">
        <v>84</v>
      </c>
      <c r="M16" s="166">
        <v>12</v>
      </c>
      <c r="N16" s="167">
        <v>87.95880017344075</v>
      </c>
      <c r="O16" s="166">
        <v>5</v>
      </c>
      <c r="P16" s="166">
        <v>2.7</v>
      </c>
      <c r="Q16" s="166">
        <v>5.5</v>
      </c>
      <c r="R16" s="169">
        <v>0.3</v>
      </c>
      <c r="S16" s="166">
        <v>80</v>
      </c>
      <c r="T16" s="166" t="s">
        <v>68</v>
      </c>
      <c r="U16" s="167">
        <v>150</v>
      </c>
      <c r="V16" s="166">
        <v>2</v>
      </c>
      <c r="W16" s="166">
        <v>5</v>
      </c>
      <c r="X16" s="166">
        <v>-0.03</v>
      </c>
      <c r="Y16" s="166" t="s">
        <v>68</v>
      </c>
      <c r="Z16" s="166" t="s">
        <v>68</v>
      </c>
      <c r="AA16" s="166" t="s">
        <v>68</v>
      </c>
      <c r="AB16" s="170" t="s">
        <v>43</v>
      </c>
      <c r="AC16" s="170" t="s">
        <v>43</v>
      </c>
      <c r="AD16" s="170" t="s">
        <v>44</v>
      </c>
      <c r="AE16" s="166"/>
      <c r="AF16" s="171" t="s">
        <v>327</v>
      </c>
      <c r="AG16" s="201" t="s">
        <v>496</v>
      </c>
      <c r="AH16" s="172" t="s">
        <v>156</v>
      </c>
      <c r="AI16" s="34"/>
      <c r="AN16" s="25"/>
      <c r="AO16" s="25"/>
      <c r="AR16" s="25"/>
      <c r="AS16" s="25"/>
      <c r="AT16" s="25"/>
    </row>
    <row r="17" spans="1:46" ht="11.25" hidden="1">
      <c r="A17" s="31">
        <v>1</v>
      </c>
      <c r="B17" s="165" t="s">
        <v>443</v>
      </c>
      <c r="C17" s="166">
        <v>-0.2</v>
      </c>
      <c r="D17" s="166">
        <v>26</v>
      </c>
      <c r="E17" s="166">
        <v>-0.3</v>
      </c>
      <c r="F17" s="166">
        <v>26</v>
      </c>
      <c r="G17" s="167">
        <v>100</v>
      </c>
      <c r="H17" s="168">
        <v>8.0000000000000002E-3</v>
      </c>
      <c r="I17" s="166">
        <v>20</v>
      </c>
      <c r="J17" s="167">
        <v>150</v>
      </c>
      <c r="K17" s="166">
        <v>1</v>
      </c>
      <c r="L17" s="167">
        <v>84</v>
      </c>
      <c r="M17" s="166">
        <v>0</v>
      </c>
      <c r="N17" s="167">
        <v>87.95880017344075</v>
      </c>
      <c r="O17" s="166">
        <v>5</v>
      </c>
      <c r="P17" s="166">
        <v>2.7</v>
      </c>
      <c r="Q17" s="166">
        <v>5.5</v>
      </c>
      <c r="R17" s="169">
        <v>0.3</v>
      </c>
      <c r="S17" s="166">
        <v>80</v>
      </c>
      <c r="T17" s="166" t="s">
        <v>68</v>
      </c>
      <c r="U17" s="167">
        <v>150</v>
      </c>
      <c r="V17" s="166">
        <v>2</v>
      </c>
      <c r="W17" s="166">
        <v>5</v>
      </c>
      <c r="X17" s="166">
        <v>-0.03</v>
      </c>
      <c r="Y17" s="166" t="s">
        <v>68</v>
      </c>
      <c r="Z17" s="166" t="s">
        <v>68</v>
      </c>
      <c r="AA17" s="166" t="s">
        <v>68</v>
      </c>
      <c r="AB17" s="170" t="s">
        <v>43</v>
      </c>
      <c r="AC17" s="170" t="s">
        <v>43</v>
      </c>
      <c r="AD17" s="170" t="s">
        <v>44</v>
      </c>
      <c r="AE17" s="166"/>
      <c r="AF17" s="171" t="s">
        <v>327</v>
      </c>
      <c r="AG17" s="201" t="s">
        <v>496</v>
      </c>
      <c r="AH17" s="172" t="s">
        <v>156</v>
      </c>
      <c r="AI17" s="34"/>
      <c r="AN17" s="25"/>
      <c r="AO17" s="25"/>
      <c r="AR17" s="25"/>
      <c r="AS17" s="25"/>
      <c r="AT17" s="25"/>
    </row>
    <row r="18" spans="1:46" ht="11.25" hidden="1">
      <c r="A18" s="31">
        <v>1</v>
      </c>
      <c r="B18" s="165" t="s">
        <v>416</v>
      </c>
      <c r="C18" s="166">
        <v>-0.2</v>
      </c>
      <c r="D18" s="166">
        <v>26</v>
      </c>
      <c r="E18" s="166">
        <v>-0.3</v>
      </c>
      <c r="F18" s="166">
        <v>26</v>
      </c>
      <c r="G18" s="167">
        <v>200</v>
      </c>
      <c r="H18" s="168">
        <v>8.0000000000000002E-3</v>
      </c>
      <c r="I18" s="166">
        <v>20</v>
      </c>
      <c r="J18" s="167">
        <v>500</v>
      </c>
      <c r="K18" s="166">
        <v>1</v>
      </c>
      <c r="L18" s="167">
        <v>84</v>
      </c>
      <c r="M18" s="166">
        <v>12</v>
      </c>
      <c r="N18" s="167">
        <v>87.95880017344075</v>
      </c>
      <c r="O18" s="166">
        <v>5</v>
      </c>
      <c r="P18" s="166">
        <v>2.7</v>
      </c>
      <c r="Q18" s="166">
        <v>5.5</v>
      </c>
      <c r="R18" s="169">
        <v>0.3</v>
      </c>
      <c r="S18" s="166">
        <v>80</v>
      </c>
      <c r="T18" s="166" t="s">
        <v>68</v>
      </c>
      <c r="U18" s="167">
        <v>105</v>
      </c>
      <c r="V18" s="166">
        <v>2</v>
      </c>
      <c r="W18" s="166">
        <v>5</v>
      </c>
      <c r="X18" s="166">
        <v>-0.03</v>
      </c>
      <c r="Y18" s="166" t="s">
        <v>68</v>
      </c>
      <c r="Z18" s="166" t="s">
        <v>68</v>
      </c>
      <c r="AA18" s="166" t="s">
        <v>68</v>
      </c>
      <c r="AB18" s="170" t="s">
        <v>43</v>
      </c>
      <c r="AC18" s="170" t="s">
        <v>43</v>
      </c>
      <c r="AD18" s="170" t="s">
        <v>44</v>
      </c>
      <c r="AE18" s="166"/>
      <c r="AF18" s="171" t="s">
        <v>327</v>
      </c>
      <c r="AG18" s="201" t="s">
        <v>496</v>
      </c>
      <c r="AH18" s="172" t="s">
        <v>156</v>
      </c>
      <c r="AI18" s="34"/>
      <c r="AN18" s="25"/>
      <c r="AO18" s="25"/>
      <c r="AR18" s="25"/>
      <c r="AS18" s="25"/>
      <c r="AT18" s="25"/>
    </row>
    <row r="19" spans="1:46" ht="11.25" hidden="1">
      <c r="A19" s="31">
        <v>1</v>
      </c>
      <c r="B19" s="165" t="s">
        <v>444</v>
      </c>
      <c r="C19" s="166">
        <v>-0.2</v>
      </c>
      <c r="D19" s="166">
        <v>26</v>
      </c>
      <c r="E19" s="166">
        <v>-0.3</v>
      </c>
      <c r="F19" s="166">
        <v>26</v>
      </c>
      <c r="G19" s="167">
        <v>200</v>
      </c>
      <c r="H19" s="168">
        <v>8.0000000000000002E-3</v>
      </c>
      <c r="I19" s="166">
        <v>20</v>
      </c>
      <c r="J19" s="167">
        <v>150</v>
      </c>
      <c r="K19" s="166">
        <v>1</v>
      </c>
      <c r="L19" s="167">
        <v>84</v>
      </c>
      <c r="M19" s="166">
        <v>0</v>
      </c>
      <c r="N19" s="167">
        <v>87.95880017344075</v>
      </c>
      <c r="O19" s="166">
        <v>5</v>
      </c>
      <c r="P19" s="166">
        <v>2.7</v>
      </c>
      <c r="Q19" s="166">
        <v>5.5</v>
      </c>
      <c r="R19" s="169">
        <v>0.3</v>
      </c>
      <c r="S19" s="166">
        <v>80</v>
      </c>
      <c r="T19" s="166" t="s">
        <v>68</v>
      </c>
      <c r="U19" s="167">
        <v>105</v>
      </c>
      <c r="V19" s="166">
        <v>2</v>
      </c>
      <c r="W19" s="166">
        <v>5</v>
      </c>
      <c r="X19" s="166">
        <v>-0.03</v>
      </c>
      <c r="Y19" s="166" t="s">
        <v>68</v>
      </c>
      <c r="Z19" s="166" t="s">
        <v>68</v>
      </c>
      <c r="AA19" s="166" t="s">
        <v>68</v>
      </c>
      <c r="AB19" s="170" t="s">
        <v>43</v>
      </c>
      <c r="AC19" s="170" t="s">
        <v>43</v>
      </c>
      <c r="AD19" s="170" t="s">
        <v>44</v>
      </c>
      <c r="AE19" s="166"/>
      <c r="AF19" s="171" t="s">
        <v>327</v>
      </c>
      <c r="AG19" s="201" t="s">
        <v>496</v>
      </c>
      <c r="AH19" s="172" t="s">
        <v>156</v>
      </c>
      <c r="AI19" s="34"/>
      <c r="AN19" s="25"/>
      <c r="AO19" s="25"/>
      <c r="AR19" s="25"/>
      <c r="AS19" s="25"/>
      <c r="AT19" s="25"/>
    </row>
    <row r="20" spans="1:46" ht="11.25" hidden="1">
      <c r="A20" s="31">
        <v>1</v>
      </c>
      <c r="B20" s="165" t="s">
        <v>475</v>
      </c>
      <c r="C20" s="166">
        <v>2.7</v>
      </c>
      <c r="D20" s="166">
        <v>26</v>
      </c>
      <c r="E20" s="166">
        <v>-0.3</v>
      </c>
      <c r="F20" s="166">
        <v>26</v>
      </c>
      <c r="G20" s="167">
        <v>50</v>
      </c>
      <c r="H20" s="168">
        <v>3.0000000000000001E-3</v>
      </c>
      <c r="I20" s="166">
        <v>10</v>
      </c>
      <c r="J20" s="167">
        <v>170</v>
      </c>
      <c r="K20" s="166">
        <v>0.5</v>
      </c>
      <c r="L20" s="167">
        <v>100</v>
      </c>
      <c r="M20" s="166">
        <v>12</v>
      </c>
      <c r="N20" s="167" t="s">
        <v>68</v>
      </c>
      <c r="O20" s="166"/>
      <c r="P20" s="166">
        <v>2.7</v>
      </c>
      <c r="Q20" s="166">
        <v>26</v>
      </c>
      <c r="R20" s="166">
        <v>0.14000000000000001</v>
      </c>
      <c r="S20" s="166">
        <v>30</v>
      </c>
      <c r="T20" s="166" t="s">
        <v>68</v>
      </c>
      <c r="U20" s="167">
        <v>80</v>
      </c>
      <c r="V20" s="166">
        <v>0.4</v>
      </c>
      <c r="W20" s="166">
        <v>50</v>
      </c>
      <c r="X20" s="166">
        <v>-0.2</v>
      </c>
      <c r="Y20" s="166" t="s">
        <v>68</v>
      </c>
      <c r="Z20" s="166" t="s">
        <v>68</v>
      </c>
      <c r="AA20" s="166" t="s">
        <v>68</v>
      </c>
      <c r="AB20" s="170" t="s">
        <v>44</v>
      </c>
      <c r="AC20" s="170" t="s">
        <v>44</v>
      </c>
      <c r="AD20" s="170" t="s">
        <v>44</v>
      </c>
      <c r="AE20" s="166" t="s">
        <v>382</v>
      </c>
      <c r="AF20" s="171" t="s">
        <v>68</v>
      </c>
      <c r="AG20" s="202" t="s">
        <v>496</v>
      </c>
      <c r="AH20" s="172" t="s">
        <v>155</v>
      </c>
      <c r="AI20" s="34"/>
      <c r="AN20" s="25"/>
      <c r="AO20" s="25"/>
      <c r="AR20" s="25"/>
      <c r="AS20" s="25"/>
      <c r="AT20" s="25"/>
    </row>
    <row r="21" spans="1:46" ht="11.25" hidden="1">
      <c r="A21" s="31">
        <v>1</v>
      </c>
      <c r="B21" s="165" t="s">
        <v>473</v>
      </c>
      <c r="C21" s="166">
        <v>2.7</v>
      </c>
      <c r="D21" s="166">
        <v>26</v>
      </c>
      <c r="E21" s="166">
        <v>-0.3</v>
      </c>
      <c r="F21" s="166">
        <v>26</v>
      </c>
      <c r="G21" s="167">
        <v>100</v>
      </c>
      <c r="H21" s="168">
        <v>3.0000000000000001E-3</v>
      </c>
      <c r="I21" s="166">
        <v>10</v>
      </c>
      <c r="J21" s="167">
        <v>170</v>
      </c>
      <c r="K21" s="166">
        <v>0.5</v>
      </c>
      <c r="L21" s="167">
        <v>100</v>
      </c>
      <c r="M21" s="166">
        <v>12</v>
      </c>
      <c r="N21" s="167" t="s">
        <v>68</v>
      </c>
      <c r="O21" s="166"/>
      <c r="P21" s="166">
        <v>2.7</v>
      </c>
      <c r="Q21" s="166">
        <v>26</v>
      </c>
      <c r="R21" s="166">
        <v>0.14000000000000001</v>
      </c>
      <c r="S21" s="166">
        <v>30</v>
      </c>
      <c r="T21" s="166" t="s">
        <v>68</v>
      </c>
      <c r="U21" s="167">
        <v>30</v>
      </c>
      <c r="V21" s="166">
        <v>0.4</v>
      </c>
      <c r="W21" s="166">
        <v>50</v>
      </c>
      <c r="X21" s="166">
        <v>-0.2</v>
      </c>
      <c r="Y21" s="166" t="s">
        <v>68</v>
      </c>
      <c r="Z21" s="166" t="s">
        <v>68</v>
      </c>
      <c r="AA21" s="166" t="s">
        <v>68</v>
      </c>
      <c r="AB21" s="170" t="s">
        <v>44</v>
      </c>
      <c r="AC21" s="170" t="s">
        <v>44</v>
      </c>
      <c r="AD21" s="170" t="s">
        <v>44</v>
      </c>
      <c r="AE21" s="166" t="s">
        <v>382</v>
      </c>
      <c r="AF21" s="171" t="s">
        <v>68</v>
      </c>
      <c r="AG21" s="202" t="s">
        <v>496</v>
      </c>
      <c r="AH21" s="172" t="s">
        <v>155</v>
      </c>
      <c r="AI21" s="34"/>
      <c r="AN21" s="25"/>
      <c r="AO21" s="25"/>
      <c r="AR21" s="25"/>
      <c r="AS21" s="25"/>
      <c r="AT21" s="25"/>
    </row>
    <row r="22" spans="1:46" ht="11.25" hidden="1">
      <c r="A22" s="31">
        <v>1</v>
      </c>
      <c r="B22" s="165" t="s">
        <v>474</v>
      </c>
      <c r="C22" s="166">
        <v>2.7</v>
      </c>
      <c r="D22" s="166">
        <v>26</v>
      </c>
      <c r="E22" s="166">
        <v>-0.3</v>
      </c>
      <c r="F22" s="166">
        <v>26</v>
      </c>
      <c r="G22" s="167">
        <v>200</v>
      </c>
      <c r="H22" s="168">
        <v>3.0000000000000001E-3</v>
      </c>
      <c r="I22" s="166">
        <v>10</v>
      </c>
      <c r="J22" s="167">
        <v>170</v>
      </c>
      <c r="K22" s="166">
        <v>0.5</v>
      </c>
      <c r="L22" s="167">
        <v>100</v>
      </c>
      <c r="M22" s="166">
        <v>12</v>
      </c>
      <c r="N22" s="167" t="s">
        <v>68</v>
      </c>
      <c r="O22" s="166"/>
      <c r="P22" s="166">
        <v>2.7</v>
      </c>
      <c r="Q22" s="166">
        <v>26</v>
      </c>
      <c r="R22" s="166">
        <v>0.14000000000000001</v>
      </c>
      <c r="S22" s="166">
        <v>30</v>
      </c>
      <c r="T22" s="166" t="s">
        <v>68</v>
      </c>
      <c r="U22" s="167">
        <v>14</v>
      </c>
      <c r="V22" s="166">
        <v>0.4</v>
      </c>
      <c r="W22" s="166">
        <v>50</v>
      </c>
      <c r="X22" s="166">
        <v>-0.2</v>
      </c>
      <c r="Y22" s="166" t="s">
        <v>68</v>
      </c>
      <c r="Z22" s="166" t="s">
        <v>68</v>
      </c>
      <c r="AA22" s="166" t="s">
        <v>68</v>
      </c>
      <c r="AB22" s="170" t="s">
        <v>44</v>
      </c>
      <c r="AC22" s="170" t="s">
        <v>44</v>
      </c>
      <c r="AD22" s="170" t="s">
        <v>44</v>
      </c>
      <c r="AE22" s="166" t="s">
        <v>382</v>
      </c>
      <c r="AF22" s="171" t="s">
        <v>68</v>
      </c>
      <c r="AG22" s="202" t="s">
        <v>496</v>
      </c>
      <c r="AH22" s="172" t="s">
        <v>155</v>
      </c>
      <c r="AI22" s="34"/>
      <c r="AN22" s="25"/>
      <c r="AO22" s="25"/>
      <c r="AR22" s="25"/>
      <c r="AS22" s="25"/>
      <c r="AT22" s="25"/>
    </row>
    <row r="23" spans="1:46" ht="11.25" hidden="1">
      <c r="A23" s="31">
        <v>1</v>
      </c>
      <c r="B23" s="165" t="s">
        <v>417</v>
      </c>
      <c r="C23" s="166">
        <v>-0.2</v>
      </c>
      <c r="D23" s="166">
        <v>26</v>
      </c>
      <c r="E23" s="166">
        <v>-0.3</v>
      </c>
      <c r="F23" s="166">
        <v>26</v>
      </c>
      <c r="G23" s="167">
        <v>20</v>
      </c>
      <c r="H23" s="168">
        <v>1.1999999999999999E-3</v>
      </c>
      <c r="I23" s="166">
        <v>8</v>
      </c>
      <c r="J23" s="167">
        <v>450</v>
      </c>
      <c r="K23" s="166">
        <v>0.5</v>
      </c>
      <c r="L23" s="167">
        <v>86</v>
      </c>
      <c r="M23" s="166">
        <v>12</v>
      </c>
      <c r="N23" s="167">
        <v>90.45</v>
      </c>
      <c r="O23" s="166">
        <v>5</v>
      </c>
      <c r="P23" s="166">
        <v>2.7</v>
      </c>
      <c r="Q23" s="166">
        <v>5.5</v>
      </c>
      <c r="R23" s="169">
        <v>0.3</v>
      </c>
      <c r="S23" s="166">
        <v>75</v>
      </c>
      <c r="T23" s="166" t="s">
        <v>68</v>
      </c>
      <c r="U23" s="167">
        <v>350</v>
      </c>
      <c r="V23" s="166">
        <v>2</v>
      </c>
      <c r="W23" s="166">
        <v>3.5</v>
      </c>
      <c r="X23" s="166">
        <v>-2.5999999999999999E-2</v>
      </c>
      <c r="Y23" s="166" t="s">
        <v>68</v>
      </c>
      <c r="Z23" s="166" t="s">
        <v>68</v>
      </c>
      <c r="AA23" s="166" t="s">
        <v>68</v>
      </c>
      <c r="AB23" s="170" t="s">
        <v>43</v>
      </c>
      <c r="AC23" s="170" t="s">
        <v>43</v>
      </c>
      <c r="AD23" s="170" t="s">
        <v>44</v>
      </c>
      <c r="AE23" s="166"/>
      <c r="AF23" s="171" t="s">
        <v>68</v>
      </c>
      <c r="AG23" s="201" t="s">
        <v>496</v>
      </c>
      <c r="AH23" s="172" t="s">
        <v>251</v>
      </c>
      <c r="AI23" s="34"/>
      <c r="AN23" s="25"/>
      <c r="AO23" s="25"/>
      <c r="AR23" s="25"/>
      <c r="AS23" s="25"/>
      <c r="AT23" s="25"/>
    </row>
    <row r="24" spans="1:46" ht="11.25" hidden="1">
      <c r="A24" s="31">
        <v>1</v>
      </c>
      <c r="B24" s="165" t="s">
        <v>445</v>
      </c>
      <c r="C24" s="166">
        <v>-0.2</v>
      </c>
      <c r="D24" s="166">
        <v>26</v>
      </c>
      <c r="E24" s="166">
        <v>-0.3</v>
      </c>
      <c r="F24" s="166">
        <v>26</v>
      </c>
      <c r="G24" s="167">
        <v>20</v>
      </c>
      <c r="H24" s="168">
        <v>1.1999999999999999E-3</v>
      </c>
      <c r="I24" s="166">
        <v>8</v>
      </c>
      <c r="J24" s="167">
        <v>135</v>
      </c>
      <c r="K24" s="166">
        <v>0.5</v>
      </c>
      <c r="L24" s="167">
        <v>86</v>
      </c>
      <c r="M24" s="166">
        <v>0</v>
      </c>
      <c r="N24" s="167">
        <v>90.45</v>
      </c>
      <c r="O24" s="166">
        <v>5</v>
      </c>
      <c r="P24" s="166">
        <v>2.7</v>
      </c>
      <c r="Q24" s="166">
        <v>5.5</v>
      </c>
      <c r="R24" s="169">
        <v>0.3</v>
      </c>
      <c r="S24" s="166">
        <v>75</v>
      </c>
      <c r="T24" s="166" t="s">
        <v>68</v>
      </c>
      <c r="U24" s="167">
        <v>350</v>
      </c>
      <c r="V24" s="166">
        <v>2</v>
      </c>
      <c r="W24" s="166">
        <v>3.5</v>
      </c>
      <c r="X24" s="166">
        <v>-2.5999999999999999E-2</v>
      </c>
      <c r="Y24" s="166" t="s">
        <v>68</v>
      </c>
      <c r="Z24" s="166" t="s">
        <v>68</v>
      </c>
      <c r="AA24" s="166" t="s">
        <v>68</v>
      </c>
      <c r="AB24" s="170" t="s">
        <v>43</v>
      </c>
      <c r="AC24" s="170" t="s">
        <v>43</v>
      </c>
      <c r="AD24" s="170" t="s">
        <v>44</v>
      </c>
      <c r="AE24" s="166"/>
      <c r="AF24" s="171" t="s">
        <v>68</v>
      </c>
      <c r="AG24" s="201" t="s">
        <v>496</v>
      </c>
      <c r="AH24" s="172" t="s">
        <v>251</v>
      </c>
      <c r="AI24" s="34"/>
      <c r="AN24" s="25"/>
      <c r="AO24" s="25"/>
      <c r="AR24" s="25"/>
      <c r="AS24" s="25"/>
      <c r="AT24" s="25"/>
    </row>
    <row r="25" spans="1:46" ht="11.25" hidden="1">
      <c r="A25" s="31">
        <v>1</v>
      </c>
      <c r="B25" s="165" t="s">
        <v>418</v>
      </c>
      <c r="C25" s="166">
        <v>-0.2</v>
      </c>
      <c r="D25" s="166">
        <v>26</v>
      </c>
      <c r="E25" s="166">
        <v>-0.3</v>
      </c>
      <c r="F25" s="166">
        <v>26</v>
      </c>
      <c r="G25" s="167">
        <v>50</v>
      </c>
      <c r="H25" s="168">
        <v>1.1999999999999999E-3</v>
      </c>
      <c r="I25" s="166">
        <v>8</v>
      </c>
      <c r="J25" s="167">
        <v>130</v>
      </c>
      <c r="K25" s="166">
        <v>0.5</v>
      </c>
      <c r="L25" s="167">
        <v>96</v>
      </c>
      <c r="M25" s="166">
        <v>12</v>
      </c>
      <c r="N25" s="167">
        <v>90.45</v>
      </c>
      <c r="O25" s="166">
        <v>5</v>
      </c>
      <c r="P25" s="166">
        <v>2.7</v>
      </c>
      <c r="Q25" s="166">
        <v>5.5</v>
      </c>
      <c r="R25" s="169">
        <v>0.3</v>
      </c>
      <c r="S25" s="166">
        <v>75</v>
      </c>
      <c r="T25" s="166" t="s">
        <v>68</v>
      </c>
      <c r="U25" s="167">
        <v>210</v>
      </c>
      <c r="V25" s="166">
        <v>2</v>
      </c>
      <c r="W25" s="166">
        <v>3.5</v>
      </c>
      <c r="X25" s="166">
        <v>-2.5999999999999999E-2</v>
      </c>
      <c r="Y25" s="166" t="s">
        <v>68</v>
      </c>
      <c r="Z25" s="166" t="s">
        <v>68</v>
      </c>
      <c r="AA25" s="166" t="s">
        <v>68</v>
      </c>
      <c r="AB25" s="170" t="s">
        <v>43</v>
      </c>
      <c r="AC25" s="170" t="s">
        <v>43</v>
      </c>
      <c r="AD25" s="170" t="s">
        <v>44</v>
      </c>
      <c r="AE25" s="166"/>
      <c r="AF25" s="171" t="s">
        <v>68</v>
      </c>
      <c r="AG25" s="201" t="s">
        <v>496</v>
      </c>
      <c r="AH25" s="172" t="s">
        <v>251</v>
      </c>
      <c r="AI25" s="34"/>
      <c r="AN25" s="25"/>
      <c r="AO25" s="25"/>
      <c r="AR25" s="25"/>
      <c r="AS25" s="25"/>
      <c r="AT25" s="25"/>
    </row>
    <row r="26" spans="1:46" ht="11.25" hidden="1">
      <c r="A26" s="31">
        <v>1</v>
      </c>
      <c r="B26" s="165" t="s">
        <v>446</v>
      </c>
      <c r="C26" s="166">
        <v>-0.2</v>
      </c>
      <c r="D26" s="166">
        <v>26</v>
      </c>
      <c r="E26" s="166">
        <v>-0.3</v>
      </c>
      <c r="F26" s="166">
        <v>26</v>
      </c>
      <c r="G26" s="167">
        <v>50</v>
      </c>
      <c r="H26" s="168">
        <v>1.1999999999999999E-3</v>
      </c>
      <c r="I26" s="166">
        <v>8</v>
      </c>
      <c r="J26" s="167">
        <v>55</v>
      </c>
      <c r="K26" s="166">
        <v>0.5</v>
      </c>
      <c r="L26" s="167">
        <v>96</v>
      </c>
      <c r="M26" s="166">
        <v>0</v>
      </c>
      <c r="N26" s="167">
        <v>90.45</v>
      </c>
      <c r="O26" s="166">
        <v>5</v>
      </c>
      <c r="P26" s="166">
        <v>2.7</v>
      </c>
      <c r="Q26" s="166">
        <v>5.5</v>
      </c>
      <c r="R26" s="169">
        <v>0.3</v>
      </c>
      <c r="S26" s="166">
        <v>75</v>
      </c>
      <c r="T26" s="166" t="s">
        <v>68</v>
      </c>
      <c r="U26" s="167">
        <v>210</v>
      </c>
      <c r="V26" s="166">
        <v>2</v>
      </c>
      <c r="W26" s="166">
        <v>3.5</v>
      </c>
      <c r="X26" s="166">
        <v>-2.5999999999999999E-2</v>
      </c>
      <c r="Y26" s="166" t="s">
        <v>68</v>
      </c>
      <c r="Z26" s="166" t="s">
        <v>68</v>
      </c>
      <c r="AA26" s="166" t="s">
        <v>68</v>
      </c>
      <c r="AB26" s="170" t="s">
        <v>43</v>
      </c>
      <c r="AC26" s="170" t="s">
        <v>43</v>
      </c>
      <c r="AD26" s="170" t="s">
        <v>44</v>
      </c>
      <c r="AE26" s="166"/>
      <c r="AF26" s="171" t="s">
        <v>68</v>
      </c>
      <c r="AG26" s="201" t="s">
        <v>496</v>
      </c>
      <c r="AH26" s="172" t="s">
        <v>251</v>
      </c>
      <c r="AI26" s="34"/>
      <c r="AN26" s="25"/>
      <c r="AO26" s="25"/>
      <c r="AR26" s="25"/>
      <c r="AS26" s="25"/>
      <c r="AT26" s="25"/>
    </row>
    <row r="27" spans="1:46" ht="11.25" hidden="1">
      <c r="A27" s="31">
        <v>1</v>
      </c>
      <c r="B27" s="165" t="s">
        <v>419</v>
      </c>
      <c r="C27" s="166">
        <v>-0.2</v>
      </c>
      <c r="D27" s="166">
        <v>26</v>
      </c>
      <c r="E27" s="166">
        <v>-0.3</v>
      </c>
      <c r="F27" s="166">
        <v>26</v>
      </c>
      <c r="G27" s="167">
        <v>100</v>
      </c>
      <c r="H27" s="168">
        <v>1.1999999999999999E-3</v>
      </c>
      <c r="I27" s="166">
        <v>8</v>
      </c>
      <c r="J27" s="167">
        <v>130</v>
      </c>
      <c r="K27" s="166">
        <v>0.5</v>
      </c>
      <c r="L27" s="167">
        <v>96</v>
      </c>
      <c r="M27" s="166">
        <v>12</v>
      </c>
      <c r="N27" s="167">
        <v>90.45</v>
      </c>
      <c r="O27" s="166">
        <v>5</v>
      </c>
      <c r="P27" s="166">
        <v>2.7</v>
      </c>
      <c r="Q27" s="166">
        <v>5.5</v>
      </c>
      <c r="R27" s="169">
        <v>0.3</v>
      </c>
      <c r="S27" s="166">
        <v>75</v>
      </c>
      <c r="T27" s="166" t="s">
        <v>68</v>
      </c>
      <c r="U27" s="167">
        <v>150</v>
      </c>
      <c r="V27" s="166">
        <v>2</v>
      </c>
      <c r="W27" s="166">
        <v>3.5</v>
      </c>
      <c r="X27" s="166">
        <v>-2.5999999999999999E-2</v>
      </c>
      <c r="Y27" s="166" t="s">
        <v>68</v>
      </c>
      <c r="Z27" s="166" t="s">
        <v>68</v>
      </c>
      <c r="AA27" s="166" t="s">
        <v>68</v>
      </c>
      <c r="AB27" s="170" t="s">
        <v>43</v>
      </c>
      <c r="AC27" s="170" t="s">
        <v>43</v>
      </c>
      <c r="AD27" s="170" t="s">
        <v>44</v>
      </c>
      <c r="AE27" s="166"/>
      <c r="AF27" s="171" t="s">
        <v>68</v>
      </c>
      <c r="AG27" s="201" t="s">
        <v>496</v>
      </c>
      <c r="AH27" s="172" t="s">
        <v>251</v>
      </c>
      <c r="AI27" s="34"/>
      <c r="AN27" s="25"/>
      <c r="AO27" s="25"/>
      <c r="AR27" s="25"/>
      <c r="AS27" s="25"/>
      <c r="AT27" s="25"/>
    </row>
    <row r="28" spans="1:46" ht="11.25" hidden="1">
      <c r="A28" s="31">
        <v>1</v>
      </c>
      <c r="B28" s="165" t="s">
        <v>447</v>
      </c>
      <c r="C28" s="166">
        <v>-0.2</v>
      </c>
      <c r="D28" s="166">
        <v>26</v>
      </c>
      <c r="E28" s="166">
        <v>-0.3</v>
      </c>
      <c r="F28" s="166">
        <v>26</v>
      </c>
      <c r="G28" s="167">
        <v>100</v>
      </c>
      <c r="H28" s="168">
        <v>1.1999999999999999E-3</v>
      </c>
      <c r="I28" s="166">
        <v>8</v>
      </c>
      <c r="J28" s="167">
        <v>55</v>
      </c>
      <c r="K28" s="166">
        <v>0.5</v>
      </c>
      <c r="L28" s="167">
        <v>96</v>
      </c>
      <c r="M28" s="166">
        <v>0</v>
      </c>
      <c r="N28" s="167">
        <v>90.45</v>
      </c>
      <c r="O28" s="166">
        <v>5</v>
      </c>
      <c r="P28" s="166">
        <v>2.7</v>
      </c>
      <c r="Q28" s="166">
        <v>5.5</v>
      </c>
      <c r="R28" s="169">
        <v>0.3</v>
      </c>
      <c r="S28" s="166">
        <v>75</v>
      </c>
      <c r="T28" s="166" t="s">
        <v>68</v>
      </c>
      <c r="U28" s="167">
        <v>150</v>
      </c>
      <c r="V28" s="166">
        <v>2</v>
      </c>
      <c r="W28" s="166">
        <v>3.5</v>
      </c>
      <c r="X28" s="166">
        <v>-2.5999999999999999E-2</v>
      </c>
      <c r="Y28" s="166" t="s">
        <v>68</v>
      </c>
      <c r="Z28" s="166" t="s">
        <v>68</v>
      </c>
      <c r="AA28" s="166" t="s">
        <v>68</v>
      </c>
      <c r="AB28" s="170" t="s">
        <v>43</v>
      </c>
      <c r="AC28" s="170" t="s">
        <v>43</v>
      </c>
      <c r="AD28" s="170" t="s">
        <v>44</v>
      </c>
      <c r="AE28" s="166"/>
      <c r="AF28" s="171" t="s">
        <v>68</v>
      </c>
      <c r="AG28" s="201" t="s">
        <v>496</v>
      </c>
      <c r="AH28" s="172" t="s">
        <v>251</v>
      </c>
      <c r="AI28" s="34"/>
      <c r="AN28" s="25"/>
      <c r="AO28" s="25"/>
      <c r="AR28" s="25"/>
      <c r="AS28" s="25"/>
      <c r="AT28" s="25"/>
    </row>
    <row r="29" spans="1:46" ht="11.25" hidden="1">
      <c r="A29" s="31">
        <v>1</v>
      </c>
      <c r="B29" s="165" t="s">
        <v>420</v>
      </c>
      <c r="C29" s="166">
        <v>-0.2</v>
      </c>
      <c r="D29" s="166">
        <v>26</v>
      </c>
      <c r="E29" s="166">
        <v>-0.3</v>
      </c>
      <c r="F29" s="166">
        <v>26</v>
      </c>
      <c r="G29" s="167">
        <v>200</v>
      </c>
      <c r="H29" s="168">
        <v>1.6999999999999999E-3</v>
      </c>
      <c r="I29" s="166">
        <v>8</v>
      </c>
      <c r="J29" s="167">
        <v>100</v>
      </c>
      <c r="K29" s="166">
        <v>0.5</v>
      </c>
      <c r="L29" s="167">
        <v>106</v>
      </c>
      <c r="M29" s="166">
        <v>12</v>
      </c>
      <c r="N29" s="167">
        <v>90.45</v>
      </c>
      <c r="O29" s="166">
        <v>5</v>
      </c>
      <c r="P29" s="166">
        <v>2.7</v>
      </c>
      <c r="Q29" s="166">
        <v>5.5</v>
      </c>
      <c r="R29" s="169">
        <v>0.3</v>
      </c>
      <c r="S29" s="166">
        <v>75</v>
      </c>
      <c r="T29" s="166" t="s">
        <v>68</v>
      </c>
      <c r="U29" s="167">
        <v>105</v>
      </c>
      <c r="V29" s="166">
        <v>2</v>
      </c>
      <c r="W29" s="166">
        <v>3.5</v>
      </c>
      <c r="X29" s="166">
        <v>-2.5999999999999999E-2</v>
      </c>
      <c r="Y29" s="166" t="s">
        <v>68</v>
      </c>
      <c r="Z29" s="166" t="s">
        <v>68</v>
      </c>
      <c r="AA29" s="166" t="s">
        <v>68</v>
      </c>
      <c r="AB29" s="170" t="s">
        <v>43</v>
      </c>
      <c r="AC29" s="170" t="s">
        <v>43</v>
      </c>
      <c r="AD29" s="170" t="s">
        <v>44</v>
      </c>
      <c r="AE29" s="166"/>
      <c r="AF29" s="171" t="s">
        <v>68</v>
      </c>
      <c r="AG29" s="201" t="s">
        <v>496</v>
      </c>
      <c r="AH29" s="172" t="s">
        <v>251</v>
      </c>
      <c r="AI29" s="34"/>
      <c r="AN29" s="25"/>
      <c r="AO29" s="25"/>
      <c r="AR29" s="25"/>
      <c r="AS29" s="25"/>
      <c r="AT29" s="25"/>
    </row>
    <row r="30" spans="1:46" ht="11.25" hidden="1">
      <c r="A30" s="31">
        <v>1</v>
      </c>
      <c r="B30" s="165" t="s">
        <v>448</v>
      </c>
      <c r="C30" s="166">
        <v>-0.2</v>
      </c>
      <c r="D30" s="166">
        <v>26</v>
      </c>
      <c r="E30" s="166">
        <v>-0.3</v>
      </c>
      <c r="F30" s="166">
        <v>26</v>
      </c>
      <c r="G30" s="167">
        <v>200</v>
      </c>
      <c r="H30" s="168">
        <v>1.6999999999999999E-3</v>
      </c>
      <c r="I30" s="166">
        <v>8</v>
      </c>
      <c r="J30" s="167">
        <v>55</v>
      </c>
      <c r="K30" s="166">
        <v>0.5</v>
      </c>
      <c r="L30" s="167">
        <v>106</v>
      </c>
      <c r="M30" s="166">
        <v>0</v>
      </c>
      <c r="N30" s="167">
        <v>90.45</v>
      </c>
      <c r="O30" s="166">
        <v>5</v>
      </c>
      <c r="P30" s="166">
        <v>2.7</v>
      </c>
      <c r="Q30" s="166">
        <v>5.5</v>
      </c>
      <c r="R30" s="169">
        <v>0.3</v>
      </c>
      <c r="S30" s="166">
        <v>75</v>
      </c>
      <c r="T30" s="166" t="s">
        <v>68</v>
      </c>
      <c r="U30" s="167">
        <v>105</v>
      </c>
      <c r="V30" s="166">
        <v>2</v>
      </c>
      <c r="W30" s="166">
        <v>3.5</v>
      </c>
      <c r="X30" s="166">
        <v>-2.5999999999999999E-2</v>
      </c>
      <c r="Y30" s="166" t="s">
        <v>68</v>
      </c>
      <c r="Z30" s="166" t="s">
        <v>68</v>
      </c>
      <c r="AA30" s="166" t="s">
        <v>68</v>
      </c>
      <c r="AB30" s="170" t="s">
        <v>43</v>
      </c>
      <c r="AC30" s="170" t="s">
        <v>43</v>
      </c>
      <c r="AD30" s="170" t="s">
        <v>44</v>
      </c>
      <c r="AE30" s="166"/>
      <c r="AF30" s="171" t="s">
        <v>68</v>
      </c>
      <c r="AG30" s="201" t="s">
        <v>496</v>
      </c>
      <c r="AH30" s="172" t="s">
        <v>251</v>
      </c>
      <c r="AI30" s="34"/>
      <c r="AN30" s="25"/>
      <c r="AO30" s="25"/>
      <c r="AR30" s="25"/>
      <c r="AS30" s="25"/>
      <c r="AT30" s="25"/>
    </row>
    <row r="31" spans="1:46" ht="45" hidden="1">
      <c r="A31" s="31">
        <v>1</v>
      </c>
      <c r="B31" s="165" t="s">
        <v>184</v>
      </c>
      <c r="C31" s="166">
        <v>-0.2</v>
      </c>
      <c r="D31" s="166">
        <v>40</v>
      </c>
      <c r="E31" s="166">
        <v>-0.3</v>
      </c>
      <c r="F31" s="166">
        <v>42</v>
      </c>
      <c r="G31" s="167">
        <v>25</v>
      </c>
      <c r="H31" s="168">
        <v>0.01</v>
      </c>
      <c r="I31" s="166">
        <v>10</v>
      </c>
      <c r="J31" s="167">
        <v>50</v>
      </c>
      <c r="K31" s="166">
        <v>0.5</v>
      </c>
      <c r="L31" s="167">
        <v>120</v>
      </c>
      <c r="M31" s="166">
        <v>12</v>
      </c>
      <c r="N31" s="167">
        <v>100</v>
      </c>
      <c r="O31" s="166">
        <v>1.8</v>
      </c>
      <c r="P31" s="166">
        <v>1.7</v>
      </c>
      <c r="Q31" s="166">
        <v>5.5</v>
      </c>
      <c r="R31" s="166">
        <v>0.09</v>
      </c>
      <c r="S31" s="166">
        <v>5.0000000000000001E-4</v>
      </c>
      <c r="T31" s="166">
        <v>0.1</v>
      </c>
      <c r="U31" s="167">
        <v>45</v>
      </c>
      <c r="V31" s="166">
        <v>0.3</v>
      </c>
      <c r="W31" s="166">
        <v>1</v>
      </c>
      <c r="X31" s="166">
        <v>-0.04</v>
      </c>
      <c r="Y31" s="166" t="s">
        <v>68</v>
      </c>
      <c r="Z31" s="166" t="s">
        <v>68</v>
      </c>
      <c r="AA31" s="166" t="s">
        <v>68</v>
      </c>
      <c r="AB31" s="170" t="s">
        <v>43</v>
      </c>
      <c r="AC31" s="170" t="s">
        <v>43</v>
      </c>
      <c r="AD31" s="170" t="s">
        <v>44</v>
      </c>
      <c r="AE31" s="170" t="s">
        <v>338</v>
      </c>
      <c r="AF31" s="171" t="s">
        <v>327</v>
      </c>
      <c r="AG31" s="201" t="s">
        <v>496</v>
      </c>
      <c r="AH31" s="173" t="s">
        <v>501</v>
      </c>
      <c r="AI31" s="34"/>
      <c r="AN31" s="25"/>
      <c r="AO31" s="25"/>
      <c r="AR31" s="25"/>
      <c r="AS31" s="25"/>
      <c r="AT31" s="25"/>
    </row>
    <row r="32" spans="1:46" ht="45" hidden="1">
      <c r="A32" s="31">
        <v>1</v>
      </c>
      <c r="B32" s="165" t="s">
        <v>188</v>
      </c>
      <c r="C32" s="166">
        <v>-0.2</v>
      </c>
      <c r="D32" s="166">
        <v>40</v>
      </c>
      <c r="E32" s="166">
        <v>-0.3</v>
      </c>
      <c r="F32" s="166">
        <v>42</v>
      </c>
      <c r="G32" s="167">
        <v>50</v>
      </c>
      <c r="H32" s="168">
        <v>0.01</v>
      </c>
      <c r="I32" s="166">
        <v>10</v>
      </c>
      <c r="J32" s="167">
        <v>50</v>
      </c>
      <c r="K32" s="166">
        <v>0.5</v>
      </c>
      <c r="L32" s="167">
        <v>120</v>
      </c>
      <c r="M32" s="166">
        <v>12</v>
      </c>
      <c r="N32" s="167">
        <v>100</v>
      </c>
      <c r="O32" s="166">
        <v>1.8</v>
      </c>
      <c r="P32" s="166">
        <v>1.7</v>
      </c>
      <c r="Q32" s="166">
        <v>5.5</v>
      </c>
      <c r="R32" s="166">
        <v>0.09</v>
      </c>
      <c r="S32" s="166">
        <v>5.0000000000000001E-4</v>
      </c>
      <c r="T32" s="166">
        <v>0.1</v>
      </c>
      <c r="U32" s="167">
        <v>37</v>
      </c>
      <c r="V32" s="166">
        <v>0.3</v>
      </c>
      <c r="W32" s="166">
        <v>1</v>
      </c>
      <c r="X32" s="166">
        <v>-0.04</v>
      </c>
      <c r="Y32" s="166" t="s">
        <v>68</v>
      </c>
      <c r="Z32" s="166" t="s">
        <v>68</v>
      </c>
      <c r="AA32" s="166" t="s">
        <v>68</v>
      </c>
      <c r="AB32" s="170" t="s">
        <v>43</v>
      </c>
      <c r="AC32" s="170" t="s">
        <v>43</v>
      </c>
      <c r="AD32" s="170" t="s">
        <v>44</v>
      </c>
      <c r="AE32" s="170" t="s">
        <v>338</v>
      </c>
      <c r="AF32" s="171" t="s">
        <v>327</v>
      </c>
      <c r="AG32" s="201" t="s">
        <v>496</v>
      </c>
      <c r="AH32" s="173" t="s">
        <v>501</v>
      </c>
      <c r="AI32" s="34"/>
      <c r="AN32" s="25"/>
      <c r="AO32" s="25"/>
      <c r="AR32" s="25"/>
      <c r="AS32" s="25"/>
      <c r="AT32" s="25"/>
    </row>
    <row r="33" spans="1:46" ht="45" hidden="1">
      <c r="A33" s="31">
        <v>1</v>
      </c>
      <c r="B33" s="165" t="s">
        <v>185</v>
      </c>
      <c r="C33" s="166">
        <v>-0.2</v>
      </c>
      <c r="D33" s="166">
        <v>40</v>
      </c>
      <c r="E33" s="166">
        <v>-0.3</v>
      </c>
      <c r="F33" s="166">
        <v>42</v>
      </c>
      <c r="G33" s="167">
        <v>100</v>
      </c>
      <c r="H33" s="168">
        <v>0.01</v>
      </c>
      <c r="I33" s="166">
        <v>10</v>
      </c>
      <c r="J33" s="167">
        <v>50</v>
      </c>
      <c r="K33" s="166">
        <v>0.5</v>
      </c>
      <c r="L33" s="167">
        <v>120</v>
      </c>
      <c r="M33" s="166">
        <v>12</v>
      </c>
      <c r="N33" s="167">
        <v>100</v>
      </c>
      <c r="O33" s="166">
        <v>1.8</v>
      </c>
      <c r="P33" s="166">
        <v>1.7</v>
      </c>
      <c r="Q33" s="166">
        <v>5.5</v>
      </c>
      <c r="R33" s="166">
        <v>0.09</v>
      </c>
      <c r="S33" s="166">
        <v>5.0000000000000001E-4</v>
      </c>
      <c r="T33" s="166">
        <v>0.1</v>
      </c>
      <c r="U33" s="167">
        <v>35</v>
      </c>
      <c r="V33" s="166">
        <v>0.3</v>
      </c>
      <c r="W33" s="166">
        <v>1</v>
      </c>
      <c r="X33" s="166">
        <v>-0.04</v>
      </c>
      <c r="Y33" s="166" t="s">
        <v>68</v>
      </c>
      <c r="Z33" s="166" t="s">
        <v>68</v>
      </c>
      <c r="AA33" s="166" t="s">
        <v>68</v>
      </c>
      <c r="AB33" s="170" t="s">
        <v>43</v>
      </c>
      <c r="AC33" s="170" t="s">
        <v>43</v>
      </c>
      <c r="AD33" s="170" t="s">
        <v>44</v>
      </c>
      <c r="AE33" s="170" t="s">
        <v>338</v>
      </c>
      <c r="AF33" s="171" t="s">
        <v>327</v>
      </c>
      <c r="AG33" s="201" t="s">
        <v>496</v>
      </c>
      <c r="AH33" s="173" t="s">
        <v>501</v>
      </c>
      <c r="AI33" s="34"/>
      <c r="AN33" s="25"/>
      <c r="AO33" s="25"/>
      <c r="AR33" s="25"/>
      <c r="AS33" s="25"/>
      <c r="AT33" s="25"/>
    </row>
    <row r="34" spans="1:46" ht="45" hidden="1">
      <c r="A34" s="31">
        <v>1</v>
      </c>
      <c r="B34" s="165" t="s">
        <v>186</v>
      </c>
      <c r="C34" s="166">
        <v>-0.2</v>
      </c>
      <c r="D34" s="166">
        <v>40</v>
      </c>
      <c r="E34" s="166">
        <v>-0.3</v>
      </c>
      <c r="F34" s="166">
        <v>42</v>
      </c>
      <c r="G34" s="167">
        <v>200</v>
      </c>
      <c r="H34" s="168">
        <v>0.01</v>
      </c>
      <c r="I34" s="166">
        <v>10</v>
      </c>
      <c r="J34" s="167">
        <v>50</v>
      </c>
      <c r="K34" s="166">
        <v>0.5</v>
      </c>
      <c r="L34" s="167">
        <v>120</v>
      </c>
      <c r="M34" s="166">
        <v>12</v>
      </c>
      <c r="N34" s="167">
        <v>100</v>
      </c>
      <c r="O34" s="166">
        <v>1.8</v>
      </c>
      <c r="P34" s="166">
        <v>1.7</v>
      </c>
      <c r="Q34" s="166">
        <v>5.5</v>
      </c>
      <c r="R34" s="166">
        <v>0.09</v>
      </c>
      <c r="S34" s="166">
        <v>5.0000000000000001E-4</v>
      </c>
      <c r="T34" s="166">
        <v>0.1</v>
      </c>
      <c r="U34" s="167">
        <v>33</v>
      </c>
      <c r="V34" s="166">
        <v>0.3</v>
      </c>
      <c r="W34" s="166">
        <v>1</v>
      </c>
      <c r="X34" s="166">
        <v>-0.04</v>
      </c>
      <c r="Y34" s="166" t="s">
        <v>68</v>
      </c>
      <c r="Z34" s="166" t="s">
        <v>68</v>
      </c>
      <c r="AA34" s="166" t="s">
        <v>68</v>
      </c>
      <c r="AB34" s="170" t="s">
        <v>43</v>
      </c>
      <c r="AC34" s="170" t="s">
        <v>43</v>
      </c>
      <c r="AD34" s="170" t="s">
        <v>44</v>
      </c>
      <c r="AE34" s="170" t="s">
        <v>338</v>
      </c>
      <c r="AF34" s="171" t="s">
        <v>327</v>
      </c>
      <c r="AG34" s="201" t="s">
        <v>496</v>
      </c>
      <c r="AH34" s="173" t="s">
        <v>501</v>
      </c>
      <c r="AI34" s="34"/>
      <c r="AN34" s="25"/>
      <c r="AO34" s="25"/>
      <c r="AR34" s="25"/>
      <c r="AS34" s="25"/>
      <c r="AT34" s="25"/>
    </row>
    <row r="35" spans="1:46" ht="45" hidden="1">
      <c r="A35" s="31">
        <v>1</v>
      </c>
      <c r="B35" s="165" t="s">
        <v>187</v>
      </c>
      <c r="C35" s="166">
        <v>-0.2</v>
      </c>
      <c r="D35" s="166">
        <v>40</v>
      </c>
      <c r="E35" s="166">
        <v>-0.3</v>
      </c>
      <c r="F35" s="166">
        <v>42</v>
      </c>
      <c r="G35" s="167">
        <v>500</v>
      </c>
      <c r="H35" s="168">
        <v>0.01</v>
      </c>
      <c r="I35" s="166">
        <v>10</v>
      </c>
      <c r="J35" s="167">
        <v>50</v>
      </c>
      <c r="K35" s="166">
        <v>0.5</v>
      </c>
      <c r="L35" s="167">
        <v>120</v>
      </c>
      <c r="M35" s="166">
        <v>12</v>
      </c>
      <c r="N35" s="167">
        <v>100</v>
      </c>
      <c r="O35" s="166">
        <v>1.8</v>
      </c>
      <c r="P35" s="166">
        <v>1.7</v>
      </c>
      <c r="Q35" s="166">
        <v>5.5</v>
      </c>
      <c r="R35" s="166">
        <v>0.09</v>
      </c>
      <c r="S35" s="166">
        <v>5.0000000000000001E-4</v>
      </c>
      <c r="T35" s="166">
        <v>0.1</v>
      </c>
      <c r="U35" s="167">
        <v>27</v>
      </c>
      <c r="V35" s="166">
        <v>0.3</v>
      </c>
      <c r="W35" s="166">
        <v>1</v>
      </c>
      <c r="X35" s="166">
        <v>-0.04</v>
      </c>
      <c r="Y35" s="166" t="s">
        <v>68</v>
      </c>
      <c r="Z35" s="166" t="s">
        <v>68</v>
      </c>
      <c r="AA35" s="166" t="s">
        <v>68</v>
      </c>
      <c r="AB35" s="170" t="s">
        <v>43</v>
      </c>
      <c r="AC35" s="170" t="s">
        <v>43</v>
      </c>
      <c r="AD35" s="170" t="s">
        <v>44</v>
      </c>
      <c r="AE35" s="170" t="s">
        <v>338</v>
      </c>
      <c r="AF35" s="171" t="s">
        <v>327</v>
      </c>
      <c r="AG35" s="201" t="s">
        <v>496</v>
      </c>
      <c r="AH35" s="173" t="s">
        <v>501</v>
      </c>
      <c r="AI35" s="34"/>
      <c r="AN35" s="25"/>
      <c r="AO35" s="25"/>
      <c r="AR35" s="25"/>
      <c r="AS35" s="25"/>
      <c r="AT35" s="25"/>
    </row>
    <row r="36" spans="1:46" ht="33.75" hidden="1">
      <c r="A36" s="31">
        <v>1</v>
      </c>
      <c r="B36" s="165" t="s">
        <v>189</v>
      </c>
      <c r="C36" s="166">
        <v>-0.2</v>
      </c>
      <c r="D36" s="166">
        <v>40</v>
      </c>
      <c r="E36" s="166">
        <v>-0.3</v>
      </c>
      <c r="F36" s="166">
        <v>42</v>
      </c>
      <c r="G36" s="167">
        <v>25</v>
      </c>
      <c r="H36" s="168">
        <v>2E-3</v>
      </c>
      <c r="I36" s="166">
        <v>7</v>
      </c>
      <c r="J36" s="167">
        <v>15</v>
      </c>
      <c r="K36" s="166">
        <v>0.08</v>
      </c>
      <c r="L36" s="167">
        <v>132</v>
      </c>
      <c r="M36" s="166">
        <v>12</v>
      </c>
      <c r="N36" s="167">
        <v>106</v>
      </c>
      <c r="O36" s="166">
        <v>1.8</v>
      </c>
      <c r="P36" s="166">
        <v>1.7</v>
      </c>
      <c r="Q36" s="166">
        <v>5.5</v>
      </c>
      <c r="R36" s="166">
        <v>0.09</v>
      </c>
      <c r="S36" s="166">
        <v>5.0000000000000001E-4</v>
      </c>
      <c r="T36" s="166">
        <v>0.1</v>
      </c>
      <c r="U36" s="167">
        <v>45</v>
      </c>
      <c r="V36" s="166">
        <v>0.3</v>
      </c>
      <c r="W36" s="166">
        <v>1</v>
      </c>
      <c r="X36" s="166">
        <v>-0.04</v>
      </c>
      <c r="Y36" s="166" t="s">
        <v>68</v>
      </c>
      <c r="Z36" s="166" t="s">
        <v>68</v>
      </c>
      <c r="AA36" s="166" t="s">
        <v>68</v>
      </c>
      <c r="AB36" s="170" t="s">
        <v>43</v>
      </c>
      <c r="AC36" s="170" t="s">
        <v>43</v>
      </c>
      <c r="AD36" s="170" t="s">
        <v>44</v>
      </c>
      <c r="AE36" s="170" t="s">
        <v>338</v>
      </c>
      <c r="AF36" s="171" t="s">
        <v>327</v>
      </c>
      <c r="AG36" s="201" t="s">
        <v>496</v>
      </c>
      <c r="AH36" s="173" t="s">
        <v>330</v>
      </c>
      <c r="AI36" s="34"/>
      <c r="AN36" s="25"/>
      <c r="AO36" s="25"/>
      <c r="AR36" s="25"/>
      <c r="AS36" s="25"/>
      <c r="AT36" s="25"/>
    </row>
    <row r="37" spans="1:46" ht="33.75" hidden="1">
      <c r="A37" s="31">
        <v>1</v>
      </c>
      <c r="B37" s="165" t="s">
        <v>190</v>
      </c>
      <c r="C37" s="166">
        <v>-0.2</v>
      </c>
      <c r="D37" s="166">
        <v>40</v>
      </c>
      <c r="E37" s="166">
        <v>-0.3</v>
      </c>
      <c r="F37" s="166">
        <v>42</v>
      </c>
      <c r="G37" s="167">
        <v>50</v>
      </c>
      <c r="H37" s="168">
        <v>3.0000000000000001E-3</v>
      </c>
      <c r="I37" s="166">
        <v>7</v>
      </c>
      <c r="J37" s="167">
        <v>15</v>
      </c>
      <c r="K37" s="166">
        <v>0.08</v>
      </c>
      <c r="L37" s="167">
        <v>132</v>
      </c>
      <c r="M37" s="166">
        <v>12</v>
      </c>
      <c r="N37" s="167">
        <v>106</v>
      </c>
      <c r="O37" s="166">
        <v>1.8</v>
      </c>
      <c r="P37" s="166">
        <v>1.7</v>
      </c>
      <c r="Q37" s="166">
        <v>5.5</v>
      </c>
      <c r="R37" s="166">
        <v>0.09</v>
      </c>
      <c r="S37" s="166">
        <v>5.0000000000000001E-4</v>
      </c>
      <c r="T37" s="166">
        <v>0.1</v>
      </c>
      <c r="U37" s="167">
        <v>37</v>
      </c>
      <c r="V37" s="166">
        <v>0.3</v>
      </c>
      <c r="W37" s="166">
        <v>1</v>
      </c>
      <c r="X37" s="166">
        <v>-0.04</v>
      </c>
      <c r="Y37" s="166" t="s">
        <v>68</v>
      </c>
      <c r="Z37" s="166" t="s">
        <v>68</v>
      </c>
      <c r="AA37" s="166" t="s">
        <v>68</v>
      </c>
      <c r="AB37" s="170" t="s">
        <v>43</v>
      </c>
      <c r="AC37" s="170" t="s">
        <v>43</v>
      </c>
      <c r="AD37" s="170" t="s">
        <v>44</v>
      </c>
      <c r="AE37" s="170" t="s">
        <v>338</v>
      </c>
      <c r="AF37" s="171" t="s">
        <v>327</v>
      </c>
      <c r="AG37" s="201" t="s">
        <v>496</v>
      </c>
      <c r="AH37" s="173" t="s">
        <v>330</v>
      </c>
      <c r="AI37" s="34"/>
      <c r="AN37" s="25"/>
      <c r="AO37" s="25"/>
      <c r="AR37" s="25"/>
      <c r="AS37" s="25"/>
      <c r="AT37" s="25"/>
    </row>
    <row r="38" spans="1:46" ht="33.75" hidden="1">
      <c r="A38" s="31">
        <v>1</v>
      </c>
      <c r="B38" s="165" t="s">
        <v>191</v>
      </c>
      <c r="C38" s="166">
        <v>-0.2</v>
      </c>
      <c r="D38" s="166">
        <v>40</v>
      </c>
      <c r="E38" s="166">
        <v>-0.3</v>
      </c>
      <c r="F38" s="166">
        <v>42</v>
      </c>
      <c r="G38" s="167">
        <v>100</v>
      </c>
      <c r="H38" s="168">
        <v>3.0000000000000001E-3</v>
      </c>
      <c r="I38" s="166">
        <v>7</v>
      </c>
      <c r="J38" s="167">
        <v>15</v>
      </c>
      <c r="K38" s="166">
        <v>0.08</v>
      </c>
      <c r="L38" s="167">
        <v>132</v>
      </c>
      <c r="M38" s="166">
        <v>12</v>
      </c>
      <c r="N38" s="167">
        <v>106</v>
      </c>
      <c r="O38" s="166">
        <v>1.8</v>
      </c>
      <c r="P38" s="166">
        <v>1.7</v>
      </c>
      <c r="Q38" s="166">
        <v>5.5</v>
      </c>
      <c r="R38" s="166">
        <v>0.09</v>
      </c>
      <c r="S38" s="166">
        <v>5.0000000000000001E-4</v>
      </c>
      <c r="T38" s="166">
        <v>0.1</v>
      </c>
      <c r="U38" s="167">
        <v>35</v>
      </c>
      <c r="V38" s="166">
        <v>0.3</v>
      </c>
      <c r="W38" s="166">
        <v>1</v>
      </c>
      <c r="X38" s="166">
        <v>-0.04</v>
      </c>
      <c r="Y38" s="166" t="s">
        <v>68</v>
      </c>
      <c r="Z38" s="166" t="s">
        <v>68</v>
      </c>
      <c r="AA38" s="166" t="s">
        <v>68</v>
      </c>
      <c r="AB38" s="170" t="s">
        <v>43</v>
      </c>
      <c r="AC38" s="170" t="s">
        <v>43</v>
      </c>
      <c r="AD38" s="170" t="s">
        <v>44</v>
      </c>
      <c r="AE38" s="170" t="s">
        <v>338</v>
      </c>
      <c r="AF38" s="171" t="s">
        <v>327</v>
      </c>
      <c r="AG38" s="201" t="s">
        <v>496</v>
      </c>
      <c r="AH38" s="173" t="s">
        <v>330</v>
      </c>
      <c r="AI38" s="34"/>
      <c r="AN38" s="25"/>
      <c r="AO38" s="25"/>
      <c r="AR38" s="25"/>
      <c r="AS38" s="25"/>
      <c r="AT38" s="25"/>
    </row>
    <row r="39" spans="1:46" ht="33.75" hidden="1">
      <c r="A39" s="31">
        <v>1</v>
      </c>
      <c r="B39" s="165" t="s">
        <v>192</v>
      </c>
      <c r="C39" s="166">
        <v>-0.2</v>
      </c>
      <c r="D39" s="166">
        <v>40</v>
      </c>
      <c r="E39" s="166">
        <v>-0.3</v>
      </c>
      <c r="F39" s="166">
        <v>42</v>
      </c>
      <c r="G39" s="167">
        <v>200</v>
      </c>
      <c r="H39" s="168">
        <v>3.0000000000000001E-3</v>
      </c>
      <c r="I39" s="166">
        <v>7</v>
      </c>
      <c r="J39" s="167">
        <v>15</v>
      </c>
      <c r="K39" s="166">
        <v>0.08</v>
      </c>
      <c r="L39" s="167">
        <v>132</v>
      </c>
      <c r="M39" s="166">
        <v>12</v>
      </c>
      <c r="N39" s="167">
        <v>106</v>
      </c>
      <c r="O39" s="166">
        <v>1.8</v>
      </c>
      <c r="P39" s="166">
        <v>1.7</v>
      </c>
      <c r="Q39" s="166">
        <v>5.5</v>
      </c>
      <c r="R39" s="166">
        <v>0.09</v>
      </c>
      <c r="S39" s="166">
        <v>5.0000000000000001E-4</v>
      </c>
      <c r="T39" s="166">
        <v>0.1</v>
      </c>
      <c r="U39" s="167">
        <v>33</v>
      </c>
      <c r="V39" s="166">
        <v>0.3</v>
      </c>
      <c r="W39" s="166">
        <v>1</v>
      </c>
      <c r="X39" s="166">
        <v>-0.04</v>
      </c>
      <c r="Y39" s="166" t="s">
        <v>68</v>
      </c>
      <c r="Z39" s="166" t="s">
        <v>68</v>
      </c>
      <c r="AA39" s="166" t="s">
        <v>68</v>
      </c>
      <c r="AB39" s="170" t="s">
        <v>43</v>
      </c>
      <c r="AC39" s="170" t="s">
        <v>43</v>
      </c>
      <c r="AD39" s="170" t="s">
        <v>44</v>
      </c>
      <c r="AE39" s="170" t="s">
        <v>338</v>
      </c>
      <c r="AF39" s="171" t="s">
        <v>327</v>
      </c>
      <c r="AG39" s="201" t="s">
        <v>496</v>
      </c>
      <c r="AH39" s="173" t="s">
        <v>330</v>
      </c>
      <c r="AI39" s="34"/>
      <c r="AN39" s="25"/>
      <c r="AO39" s="25"/>
      <c r="AR39" s="25"/>
      <c r="AS39" s="25"/>
      <c r="AT39" s="25"/>
    </row>
    <row r="40" spans="1:46" ht="33.75" hidden="1">
      <c r="A40" s="31">
        <v>1</v>
      </c>
      <c r="B40" s="165" t="s">
        <v>193</v>
      </c>
      <c r="C40" s="166">
        <v>-0.2</v>
      </c>
      <c r="D40" s="166">
        <v>40</v>
      </c>
      <c r="E40" s="166">
        <v>-0.3</v>
      </c>
      <c r="F40" s="166">
        <v>42</v>
      </c>
      <c r="G40" s="167">
        <v>500</v>
      </c>
      <c r="H40" s="168">
        <v>4.0000000000000001E-3</v>
      </c>
      <c r="I40" s="166">
        <v>7</v>
      </c>
      <c r="J40" s="167">
        <v>15</v>
      </c>
      <c r="K40" s="166">
        <v>0.08</v>
      </c>
      <c r="L40" s="167">
        <v>132</v>
      </c>
      <c r="M40" s="166">
        <v>12</v>
      </c>
      <c r="N40" s="167">
        <v>106</v>
      </c>
      <c r="O40" s="166">
        <v>1.8</v>
      </c>
      <c r="P40" s="166">
        <v>1.7</v>
      </c>
      <c r="Q40" s="166">
        <v>5.5</v>
      </c>
      <c r="R40" s="166">
        <v>0.09</v>
      </c>
      <c r="S40" s="166">
        <v>5.0000000000000001E-4</v>
      </c>
      <c r="T40" s="166">
        <v>0.1</v>
      </c>
      <c r="U40" s="167">
        <v>27</v>
      </c>
      <c r="V40" s="166">
        <v>0.3</v>
      </c>
      <c r="W40" s="166">
        <v>1</v>
      </c>
      <c r="X40" s="166">
        <v>-0.04</v>
      </c>
      <c r="Y40" s="166" t="s">
        <v>68</v>
      </c>
      <c r="Z40" s="166" t="s">
        <v>68</v>
      </c>
      <c r="AA40" s="166" t="s">
        <v>68</v>
      </c>
      <c r="AB40" s="170" t="s">
        <v>43</v>
      </c>
      <c r="AC40" s="170" t="s">
        <v>43</v>
      </c>
      <c r="AD40" s="170" t="s">
        <v>44</v>
      </c>
      <c r="AE40" s="170" t="s">
        <v>338</v>
      </c>
      <c r="AF40" s="171" t="s">
        <v>327</v>
      </c>
      <c r="AG40" s="201" t="s">
        <v>496</v>
      </c>
      <c r="AH40" s="173" t="s">
        <v>330</v>
      </c>
      <c r="AI40" s="34"/>
      <c r="AN40" s="25"/>
      <c r="AO40" s="25"/>
      <c r="AR40" s="25"/>
      <c r="AS40" s="25"/>
      <c r="AT40" s="25"/>
    </row>
    <row r="41" spans="1:46" ht="22.5" hidden="1">
      <c r="A41" s="31">
        <v>1</v>
      </c>
      <c r="B41" s="165" t="s">
        <v>238</v>
      </c>
      <c r="C41" s="166">
        <v>-0.2</v>
      </c>
      <c r="D41" s="166">
        <v>40</v>
      </c>
      <c r="E41" s="166">
        <v>-0.3</v>
      </c>
      <c r="F41" s="166">
        <v>42</v>
      </c>
      <c r="G41" s="167">
        <v>25</v>
      </c>
      <c r="H41" s="168">
        <v>3.5000000000000001E-3</v>
      </c>
      <c r="I41" s="166">
        <v>7</v>
      </c>
      <c r="J41" s="167">
        <v>12</v>
      </c>
      <c r="K41" s="166">
        <v>0.13</v>
      </c>
      <c r="L41" s="167">
        <v>132</v>
      </c>
      <c r="M41" s="166">
        <v>12</v>
      </c>
      <c r="N41" s="167">
        <v>106</v>
      </c>
      <c r="O41" s="166">
        <v>1.8</v>
      </c>
      <c r="P41" s="166">
        <v>1.7</v>
      </c>
      <c r="Q41" s="166">
        <v>5.5</v>
      </c>
      <c r="R41" s="166">
        <v>8.5000000000000006E-2</v>
      </c>
      <c r="S41" s="166">
        <v>1E-4</v>
      </c>
      <c r="T41" s="166">
        <v>0.1</v>
      </c>
      <c r="U41" s="167">
        <v>45</v>
      </c>
      <c r="V41" s="166">
        <v>0.3</v>
      </c>
      <c r="W41" s="166">
        <v>1</v>
      </c>
      <c r="X41" s="166">
        <v>-0.04</v>
      </c>
      <c r="Y41" s="166" t="s">
        <v>68</v>
      </c>
      <c r="Z41" s="166" t="s">
        <v>68</v>
      </c>
      <c r="AA41" s="166" t="s">
        <v>68</v>
      </c>
      <c r="AB41" s="170" t="s">
        <v>43</v>
      </c>
      <c r="AC41" s="170" t="s">
        <v>44</v>
      </c>
      <c r="AD41" s="170" t="s">
        <v>44</v>
      </c>
      <c r="AE41" s="170" t="s">
        <v>338</v>
      </c>
      <c r="AF41" s="171" t="s">
        <v>68</v>
      </c>
      <c r="AG41" s="201" t="s">
        <v>496</v>
      </c>
      <c r="AH41" s="172" t="s">
        <v>502</v>
      </c>
      <c r="AI41" s="34"/>
      <c r="AN41" s="25"/>
      <c r="AO41" s="25"/>
      <c r="AR41" s="25"/>
      <c r="AS41" s="25"/>
      <c r="AT41" s="25"/>
    </row>
    <row r="42" spans="1:46" ht="22.5" hidden="1">
      <c r="A42" s="31">
        <v>1</v>
      </c>
      <c r="B42" s="165" t="s">
        <v>239</v>
      </c>
      <c r="C42" s="166">
        <v>-0.2</v>
      </c>
      <c r="D42" s="166">
        <v>40</v>
      </c>
      <c r="E42" s="166">
        <v>-0.3</v>
      </c>
      <c r="F42" s="166">
        <v>42</v>
      </c>
      <c r="G42" s="167">
        <v>50</v>
      </c>
      <c r="H42" s="168">
        <v>2.5000000000000001E-3</v>
      </c>
      <c r="I42" s="166">
        <v>7</v>
      </c>
      <c r="J42" s="167">
        <v>12</v>
      </c>
      <c r="K42" s="166">
        <v>0.13</v>
      </c>
      <c r="L42" s="167">
        <v>132</v>
      </c>
      <c r="M42" s="166">
        <v>12</v>
      </c>
      <c r="N42" s="167">
        <v>106</v>
      </c>
      <c r="O42" s="166">
        <v>1.8</v>
      </c>
      <c r="P42" s="166">
        <v>1.7</v>
      </c>
      <c r="Q42" s="166">
        <v>5.5</v>
      </c>
      <c r="R42" s="166">
        <v>8.5000000000000006E-2</v>
      </c>
      <c r="S42" s="166">
        <v>1E-4</v>
      </c>
      <c r="T42" s="166">
        <v>0.1</v>
      </c>
      <c r="U42" s="167">
        <v>37</v>
      </c>
      <c r="V42" s="166">
        <v>0.3</v>
      </c>
      <c r="W42" s="166">
        <v>1</v>
      </c>
      <c r="X42" s="166">
        <v>-0.04</v>
      </c>
      <c r="Y42" s="166" t="s">
        <v>68</v>
      </c>
      <c r="Z42" s="166" t="s">
        <v>68</v>
      </c>
      <c r="AA42" s="166" t="s">
        <v>68</v>
      </c>
      <c r="AB42" s="170" t="s">
        <v>43</v>
      </c>
      <c r="AC42" s="170" t="s">
        <v>44</v>
      </c>
      <c r="AD42" s="170" t="s">
        <v>44</v>
      </c>
      <c r="AE42" s="170" t="s">
        <v>338</v>
      </c>
      <c r="AF42" s="171" t="s">
        <v>68</v>
      </c>
      <c r="AG42" s="202" t="s">
        <v>496</v>
      </c>
      <c r="AH42" s="172" t="s">
        <v>502</v>
      </c>
      <c r="AI42" s="34"/>
      <c r="AN42" s="25"/>
      <c r="AO42" s="25"/>
      <c r="AR42" s="25"/>
      <c r="AS42" s="25"/>
      <c r="AT42" s="25"/>
    </row>
    <row r="43" spans="1:46" ht="22.5" hidden="1">
      <c r="A43" s="31">
        <v>1</v>
      </c>
      <c r="B43" s="165" t="s">
        <v>240</v>
      </c>
      <c r="C43" s="166">
        <v>-0.2</v>
      </c>
      <c r="D43" s="166">
        <v>40</v>
      </c>
      <c r="E43" s="166">
        <v>-0.3</v>
      </c>
      <c r="F43" s="166">
        <v>42</v>
      </c>
      <c r="G43" s="167">
        <v>100</v>
      </c>
      <c r="H43" s="168">
        <v>2.5000000000000001E-3</v>
      </c>
      <c r="I43" s="166">
        <v>7</v>
      </c>
      <c r="J43" s="167">
        <v>12</v>
      </c>
      <c r="K43" s="166">
        <v>0.13</v>
      </c>
      <c r="L43" s="167">
        <v>132</v>
      </c>
      <c r="M43" s="166">
        <v>12</v>
      </c>
      <c r="N43" s="167">
        <v>106</v>
      </c>
      <c r="O43" s="166">
        <v>1.8</v>
      </c>
      <c r="P43" s="166">
        <v>1.7</v>
      </c>
      <c r="Q43" s="166">
        <v>5.5</v>
      </c>
      <c r="R43" s="166">
        <v>8.5000000000000006E-2</v>
      </c>
      <c r="S43" s="166">
        <v>1E-4</v>
      </c>
      <c r="T43" s="166">
        <v>0.1</v>
      </c>
      <c r="U43" s="167">
        <v>35</v>
      </c>
      <c r="V43" s="166">
        <v>0.3</v>
      </c>
      <c r="W43" s="166">
        <v>1</v>
      </c>
      <c r="X43" s="166">
        <v>-0.04</v>
      </c>
      <c r="Y43" s="166" t="s">
        <v>68</v>
      </c>
      <c r="Z43" s="166" t="s">
        <v>68</v>
      </c>
      <c r="AA43" s="166" t="s">
        <v>68</v>
      </c>
      <c r="AB43" s="170" t="s">
        <v>43</v>
      </c>
      <c r="AC43" s="170" t="s">
        <v>44</v>
      </c>
      <c r="AD43" s="170" t="s">
        <v>44</v>
      </c>
      <c r="AE43" s="170" t="s">
        <v>338</v>
      </c>
      <c r="AF43" s="171" t="s">
        <v>68</v>
      </c>
      <c r="AG43" s="201" t="s">
        <v>496</v>
      </c>
      <c r="AH43" s="172" t="s">
        <v>502</v>
      </c>
      <c r="AI43" s="34"/>
      <c r="AN43" s="25"/>
      <c r="AO43" s="25"/>
      <c r="AR43" s="25"/>
      <c r="AS43" s="25"/>
      <c r="AT43" s="25"/>
    </row>
    <row r="44" spans="1:46" ht="22.5" hidden="1">
      <c r="A44" s="31">
        <v>1</v>
      </c>
      <c r="B44" s="165" t="s">
        <v>241</v>
      </c>
      <c r="C44" s="166">
        <v>-0.2</v>
      </c>
      <c r="D44" s="166">
        <v>40</v>
      </c>
      <c r="E44" s="166">
        <v>-0.3</v>
      </c>
      <c r="F44" s="166">
        <v>42</v>
      </c>
      <c r="G44" s="167">
        <v>200</v>
      </c>
      <c r="H44" s="168">
        <v>2.5000000000000001E-3</v>
      </c>
      <c r="I44" s="166">
        <v>7</v>
      </c>
      <c r="J44" s="167">
        <v>12</v>
      </c>
      <c r="K44" s="166">
        <v>0.13</v>
      </c>
      <c r="L44" s="167">
        <v>132</v>
      </c>
      <c r="M44" s="166">
        <v>12</v>
      </c>
      <c r="N44" s="167">
        <v>106</v>
      </c>
      <c r="O44" s="166">
        <v>1.8</v>
      </c>
      <c r="P44" s="166">
        <v>1.7</v>
      </c>
      <c r="Q44" s="166">
        <v>5.5</v>
      </c>
      <c r="R44" s="166">
        <v>8.5000000000000006E-2</v>
      </c>
      <c r="S44" s="166">
        <v>1E-4</v>
      </c>
      <c r="T44" s="166">
        <v>0.1</v>
      </c>
      <c r="U44" s="167">
        <v>33</v>
      </c>
      <c r="V44" s="166">
        <v>0.3</v>
      </c>
      <c r="W44" s="166">
        <v>1</v>
      </c>
      <c r="X44" s="166">
        <v>-0.04</v>
      </c>
      <c r="Y44" s="166" t="s">
        <v>68</v>
      </c>
      <c r="Z44" s="166" t="s">
        <v>68</v>
      </c>
      <c r="AA44" s="166" t="s">
        <v>68</v>
      </c>
      <c r="AB44" s="170" t="s">
        <v>43</v>
      </c>
      <c r="AC44" s="170" t="s">
        <v>44</v>
      </c>
      <c r="AD44" s="170" t="s">
        <v>44</v>
      </c>
      <c r="AE44" s="170" t="s">
        <v>338</v>
      </c>
      <c r="AF44" s="171" t="s">
        <v>68</v>
      </c>
      <c r="AG44" s="202" t="s">
        <v>496</v>
      </c>
      <c r="AH44" s="172" t="s">
        <v>502</v>
      </c>
      <c r="AI44" s="34"/>
      <c r="AN44" s="25"/>
      <c r="AO44" s="25"/>
      <c r="AR44" s="25"/>
      <c r="AS44" s="25"/>
      <c r="AT44" s="25"/>
    </row>
    <row r="45" spans="1:46" ht="22.5" hidden="1">
      <c r="A45" s="31">
        <v>1</v>
      </c>
      <c r="B45" s="165" t="s">
        <v>242</v>
      </c>
      <c r="C45" s="166">
        <v>-0.2</v>
      </c>
      <c r="D45" s="166">
        <v>40</v>
      </c>
      <c r="E45" s="166">
        <v>-0.3</v>
      </c>
      <c r="F45" s="166">
        <v>42</v>
      </c>
      <c r="G45" s="167">
        <v>500</v>
      </c>
      <c r="H45" s="168">
        <v>2.5000000000000001E-3</v>
      </c>
      <c r="I45" s="166">
        <v>7</v>
      </c>
      <c r="J45" s="167">
        <v>12</v>
      </c>
      <c r="K45" s="166">
        <v>0.13</v>
      </c>
      <c r="L45" s="167">
        <v>132</v>
      </c>
      <c r="M45" s="166">
        <v>12</v>
      </c>
      <c r="N45" s="167">
        <v>106</v>
      </c>
      <c r="O45" s="166">
        <v>1.8</v>
      </c>
      <c r="P45" s="166">
        <v>1.7</v>
      </c>
      <c r="Q45" s="166">
        <v>5.5</v>
      </c>
      <c r="R45" s="166">
        <v>8.5000000000000006E-2</v>
      </c>
      <c r="S45" s="166">
        <v>1E-4</v>
      </c>
      <c r="T45" s="166">
        <v>0.1</v>
      </c>
      <c r="U45" s="167">
        <v>27</v>
      </c>
      <c r="V45" s="166">
        <v>0.3</v>
      </c>
      <c r="W45" s="166">
        <v>1</v>
      </c>
      <c r="X45" s="166">
        <v>-0.04</v>
      </c>
      <c r="Y45" s="166" t="s">
        <v>68</v>
      </c>
      <c r="Z45" s="166" t="s">
        <v>68</v>
      </c>
      <c r="AA45" s="166" t="s">
        <v>68</v>
      </c>
      <c r="AB45" s="170" t="s">
        <v>43</v>
      </c>
      <c r="AC45" s="170" t="s">
        <v>44</v>
      </c>
      <c r="AD45" s="170" t="s">
        <v>44</v>
      </c>
      <c r="AE45" s="170" t="s">
        <v>338</v>
      </c>
      <c r="AF45" s="171" t="s">
        <v>68</v>
      </c>
      <c r="AG45" s="201" t="s">
        <v>496</v>
      </c>
      <c r="AH45" s="172" t="s">
        <v>502</v>
      </c>
      <c r="AI45" s="34"/>
      <c r="AN45" s="25"/>
      <c r="AO45" s="25"/>
      <c r="AR45" s="25"/>
      <c r="AS45" s="25"/>
      <c r="AT45" s="25"/>
    </row>
    <row r="46" spans="1:46" ht="22.5" hidden="1">
      <c r="A46" s="31">
        <v>1</v>
      </c>
      <c r="B46" s="165" t="s">
        <v>2</v>
      </c>
      <c r="C46" s="166">
        <v>-16</v>
      </c>
      <c r="D46" s="166">
        <v>80</v>
      </c>
      <c r="E46" s="166">
        <v>-16</v>
      </c>
      <c r="F46" s="166">
        <v>80</v>
      </c>
      <c r="G46" s="167">
        <v>20</v>
      </c>
      <c r="H46" s="168">
        <v>0.01</v>
      </c>
      <c r="I46" s="166">
        <v>100</v>
      </c>
      <c r="J46" s="167">
        <v>2000</v>
      </c>
      <c r="K46" s="166">
        <v>10</v>
      </c>
      <c r="L46" s="167">
        <v>80</v>
      </c>
      <c r="M46" s="166">
        <v>12</v>
      </c>
      <c r="N46" s="167">
        <v>80</v>
      </c>
      <c r="O46" s="166">
        <v>12</v>
      </c>
      <c r="P46" s="166">
        <v>2.7</v>
      </c>
      <c r="Q46" s="166">
        <v>18</v>
      </c>
      <c r="R46" s="166">
        <v>0.95</v>
      </c>
      <c r="S46" s="166">
        <v>8</v>
      </c>
      <c r="T46" s="166" t="s">
        <v>68</v>
      </c>
      <c r="U46" s="167">
        <v>500</v>
      </c>
      <c r="V46" s="166">
        <v>1</v>
      </c>
      <c r="W46" s="166">
        <v>50</v>
      </c>
      <c r="X46" s="166">
        <v>-0.2</v>
      </c>
      <c r="Y46" s="166" t="s">
        <v>68</v>
      </c>
      <c r="Z46" s="166" t="s">
        <v>68</v>
      </c>
      <c r="AA46" s="166" t="s">
        <v>68</v>
      </c>
      <c r="AB46" s="170" t="s">
        <v>43</v>
      </c>
      <c r="AC46" s="170" t="s">
        <v>44</v>
      </c>
      <c r="AD46" s="170" t="s">
        <v>44</v>
      </c>
      <c r="AE46" s="166"/>
      <c r="AF46" s="171" t="s">
        <v>328</v>
      </c>
      <c r="AG46" s="203" t="s">
        <v>497</v>
      </c>
      <c r="AH46" s="172" t="s">
        <v>155</v>
      </c>
      <c r="AI46" s="34"/>
      <c r="AN46" s="25"/>
      <c r="AO46" s="25"/>
      <c r="AR46" s="25"/>
      <c r="AS46" s="25"/>
      <c r="AT46" s="25"/>
    </row>
    <row r="47" spans="1:46" ht="11.25" hidden="1">
      <c r="A47" s="31">
        <v>1</v>
      </c>
      <c r="B47" s="165" t="s">
        <v>103</v>
      </c>
      <c r="C47" s="166">
        <v>-16</v>
      </c>
      <c r="D47" s="166">
        <v>80</v>
      </c>
      <c r="E47" s="166">
        <v>-16</v>
      </c>
      <c r="F47" s="166">
        <v>80</v>
      </c>
      <c r="G47" s="167">
        <v>50</v>
      </c>
      <c r="H47" s="168">
        <v>0.01</v>
      </c>
      <c r="I47" s="166">
        <v>100</v>
      </c>
      <c r="J47" s="167">
        <v>2000</v>
      </c>
      <c r="K47" s="166">
        <v>10</v>
      </c>
      <c r="L47" s="167">
        <v>80</v>
      </c>
      <c r="M47" s="166">
        <v>12</v>
      </c>
      <c r="N47" s="167">
        <v>80</v>
      </c>
      <c r="O47" s="166">
        <v>12</v>
      </c>
      <c r="P47" s="166">
        <v>2.7</v>
      </c>
      <c r="Q47" s="166">
        <v>18</v>
      </c>
      <c r="R47" s="166">
        <v>0.95</v>
      </c>
      <c r="S47" s="166">
        <v>8</v>
      </c>
      <c r="T47" s="166" t="s">
        <v>68</v>
      </c>
      <c r="U47" s="167">
        <v>300</v>
      </c>
      <c r="V47" s="166">
        <v>1</v>
      </c>
      <c r="W47" s="166">
        <v>50</v>
      </c>
      <c r="X47" s="166">
        <v>-0.2</v>
      </c>
      <c r="Y47" s="166" t="s">
        <v>68</v>
      </c>
      <c r="Z47" s="166" t="s">
        <v>68</v>
      </c>
      <c r="AA47" s="166" t="s">
        <v>68</v>
      </c>
      <c r="AB47" s="170" t="s">
        <v>43</v>
      </c>
      <c r="AC47" s="170" t="s">
        <v>44</v>
      </c>
      <c r="AD47" s="170" t="s">
        <v>44</v>
      </c>
      <c r="AE47" s="166"/>
      <c r="AF47" s="171" t="s">
        <v>327</v>
      </c>
      <c r="AG47" s="202" t="s">
        <v>496</v>
      </c>
      <c r="AH47" s="172" t="s">
        <v>155</v>
      </c>
      <c r="AI47" s="34"/>
      <c r="AN47" s="25"/>
      <c r="AO47" s="25"/>
      <c r="AR47" s="25"/>
      <c r="AS47" s="25"/>
      <c r="AT47" s="25"/>
    </row>
    <row r="48" spans="1:46" ht="11.25" hidden="1">
      <c r="A48" s="31">
        <v>1</v>
      </c>
      <c r="B48" s="165" t="s">
        <v>104</v>
      </c>
      <c r="C48" s="166">
        <v>-16</v>
      </c>
      <c r="D48" s="166">
        <v>80</v>
      </c>
      <c r="E48" s="166">
        <v>-16</v>
      </c>
      <c r="F48" s="166">
        <v>80</v>
      </c>
      <c r="G48" s="167">
        <v>100</v>
      </c>
      <c r="H48" s="168">
        <v>0.01</v>
      </c>
      <c r="I48" s="166">
        <v>100</v>
      </c>
      <c r="J48" s="167">
        <v>2000</v>
      </c>
      <c r="K48" s="166">
        <v>10</v>
      </c>
      <c r="L48" s="167">
        <v>80</v>
      </c>
      <c r="M48" s="166">
        <v>12</v>
      </c>
      <c r="N48" s="167">
        <v>80</v>
      </c>
      <c r="O48" s="166">
        <v>12</v>
      </c>
      <c r="P48" s="166">
        <v>2.7</v>
      </c>
      <c r="Q48" s="166">
        <v>18</v>
      </c>
      <c r="R48" s="166">
        <v>0.95</v>
      </c>
      <c r="S48" s="166">
        <v>8</v>
      </c>
      <c r="T48" s="166" t="s">
        <v>68</v>
      </c>
      <c r="U48" s="167">
        <v>200</v>
      </c>
      <c r="V48" s="166">
        <v>1</v>
      </c>
      <c r="W48" s="166">
        <v>50</v>
      </c>
      <c r="X48" s="166">
        <v>-0.2</v>
      </c>
      <c r="Y48" s="166" t="s">
        <v>68</v>
      </c>
      <c r="Z48" s="166" t="s">
        <v>68</v>
      </c>
      <c r="AA48" s="166" t="s">
        <v>68</v>
      </c>
      <c r="AB48" s="170" t="s">
        <v>43</v>
      </c>
      <c r="AC48" s="170" t="s">
        <v>44</v>
      </c>
      <c r="AD48" s="170" t="s">
        <v>44</v>
      </c>
      <c r="AE48" s="166"/>
      <c r="AF48" s="171" t="s">
        <v>327</v>
      </c>
      <c r="AG48" s="202" t="s">
        <v>496</v>
      </c>
      <c r="AH48" s="172" t="s">
        <v>155</v>
      </c>
      <c r="AI48" s="34"/>
      <c r="AN48" s="25"/>
      <c r="AO48" s="25"/>
      <c r="AR48" s="25"/>
      <c r="AS48" s="25"/>
      <c r="AT48" s="25"/>
    </row>
    <row r="49" spans="1:46" ht="11.25" hidden="1">
      <c r="A49" s="31">
        <v>1</v>
      </c>
      <c r="B49" s="165" t="s">
        <v>105</v>
      </c>
      <c r="C49" s="166">
        <v>-16</v>
      </c>
      <c r="D49" s="166">
        <v>80</v>
      </c>
      <c r="E49" s="166">
        <v>-16</v>
      </c>
      <c r="F49" s="166">
        <v>80</v>
      </c>
      <c r="G49" s="167">
        <v>20</v>
      </c>
      <c r="H49" s="168">
        <v>0.01</v>
      </c>
      <c r="I49" s="166">
        <v>100</v>
      </c>
      <c r="J49" s="167">
        <v>2000</v>
      </c>
      <c r="K49" s="166">
        <v>10</v>
      </c>
      <c r="L49" s="167">
        <v>80</v>
      </c>
      <c r="M49" s="166">
        <v>12</v>
      </c>
      <c r="N49" s="167">
        <v>80</v>
      </c>
      <c r="O49" s="166">
        <v>12</v>
      </c>
      <c r="P49" s="166">
        <v>2.7</v>
      </c>
      <c r="Q49" s="166">
        <v>18</v>
      </c>
      <c r="R49" s="166">
        <v>0.95</v>
      </c>
      <c r="S49" s="166">
        <v>8</v>
      </c>
      <c r="T49" s="166" t="s">
        <v>68</v>
      </c>
      <c r="U49" s="167">
        <v>500</v>
      </c>
      <c r="V49" s="166">
        <v>1</v>
      </c>
      <c r="W49" s="166">
        <v>50</v>
      </c>
      <c r="X49" s="166">
        <v>-0.2</v>
      </c>
      <c r="Y49" s="166" t="s">
        <v>68</v>
      </c>
      <c r="Z49" s="166" t="s">
        <v>68</v>
      </c>
      <c r="AA49" s="166" t="s">
        <v>68</v>
      </c>
      <c r="AB49" s="170" t="s">
        <v>43</v>
      </c>
      <c r="AC49" s="170" t="s">
        <v>44</v>
      </c>
      <c r="AD49" s="170" t="s">
        <v>44</v>
      </c>
      <c r="AE49" s="166"/>
      <c r="AF49" s="171" t="s">
        <v>327</v>
      </c>
      <c r="AG49" s="202" t="s">
        <v>496</v>
      </c>
      <c r="AH49" s="172" t="s">
        <v>155</v>
      </c>
      <c r="AI49" s="34"/>
      <c r="AN49" s="25"/>
      <c r="AO49" s="25"/>
      <c r="AR49" s="25"/>
      <c r="AS49" s="25"/>
      <c r="AT49" s="25"/>
    </row>
    <row r="50" spans="1:46" ht="11.25" hidden="1">
      <c r="A50" s="31">
        <v>1</v>
      </c>
      <c r="B50" s="165" t="s">
        <v>106</v>
      </c>
      <c r="C50" s="166">
        <v>-16</v>
      </c>
      <c r="D50" s="166">
        <v>80</v>
      </c>
      <c r="E50" s="166">
        <v>-16</v>
      </c>
      <c r="F50" s="166">
        <v>80</v>
      </c>
      <c r="G50" s="167">
        <v>50</v>
      </c>
      <c r="H50" s="168">
        <v>0.01</v>
      </c>
      <c r="I50" s="166">
        <v>100</v>
      </c>
      <c r="J50" s="167">
        <v>2000</v>
      </c>
      <c r="K50" s="166">
        <v>10</v>
      </c>
      <c r="L50" s="167">
        <v>80</v>
      </c>
      <c r="M50" s="166">
        <v>12</v>
      </c>
      <c r="N50" s="167">
        <v>80</v>
      </c>
      <c r="O50" s="166">
        <v>12</v>
      </c>
      <c r="P50" s="166">
        <v>2.7</v>
      </c>
      <c r="Q50" s="166">
        <v>18</v>
      </c>
      <c r="R50" s="166">
        <v>0.95</v>
      </c>
      <c r="S50" s="166">
        <v>8</v>
      </c>
      <c r="T50" s="166" t="s">
        <v>68</v>
      </c>
      <c r="U50" s="167">
        <v>300</v>
      </c>
      <c r="V50" s="166">
        <v>1</v>
      </c>
      <c r="W50" s="166">
        <v>50</v>
      </c>
      <c r="X50" s="166">
        <v>-0.2</v>
      </c>
      <c r="Y50" s="166" t="s">
        <v>68</v>
      </c>
      <c r="Z50" s="166" t="s">
        <v>68</v>
      </c>
      <c r="AA50" s="166" t="s">
        <v>68</v>
      </c>
      <c r="AB50" s="170" t="s">
        <v>43</v>
      </c>
      <c r="AC50" s="170" t="s">
        <v>44</v>
      </c>
      <c r="AD50" s="170" t="s">
        <v>44</v>
      </c>
      <c r="AE50" s="166"/>
      <c r="AF50" s="171" t="s">
        <v>327</v>
      </c>
      <c r="AG50" s="202" t="s">
        <v>496</v>
      </c>
      <c r="AH50" s="172" t="s">
        <v>155</v>
      </c>
      <c r="AI50" s="34"/>
      <c r="AN50" s="25"/>
      <c r="AO50" s="25"/>
      <c r="AR50" s="25"/>
      <c r="AS50" s="25"/>
      <c r="AT50" s="25"/>
    </row>
    <row r="51" spans="1:46" ht="11.25" hidden="1">
      <c r="A51" s="31">
        <v>1</v>
      </c>
      <c r="B51" s="165" t="s">
        <v>107</v>
      </c>
      <c r="C51" s="166">
        <v>-16</v>
      </c>
      <c r="D51" s="166">
        <v>80</v>
      </c>
      <c r="E51" s="166">
        <v>-16</v>
      </c>
      <c r="F51" s="166">
        <v>80</v>
      </c>
      <c r="G51" s="167">
        <v>100</v>
      </c>
      <c r="H51" s="168">
        <v>0.01</v>
      </c>
      <c r="I51" s="166">
        <v>100</v>
      </c>
      <c r="J51" s="167">
        <v>2000</v>
      </c>
      <c r="K51" s="166">
        <v>10</v>
      </c>
      <c r="L51" s="167">
        <v>80</v>
      </c>
      <c r="M51" s="166">
        <v>12</v>
      </c>
      <c r="N51" s="167">
        <v>80</v>
      </c>
      <c r="O51" s="166">
        <v>12</v>
      </c>
      <c r="P51" s="166">
        <v>2.7</v>
      </c>
      <c r="Q51" s="166">
        <v>18</v>
      </c>
      <c r="R51" s="166">
        <v>0.95</v>
      </c>
      <c r="S51" s="166">
        <v>8</v>
      </c>
      <c r="T51" s="166" t="s">
        <v>68</v>
      </c>
      <c r="U51" s="167">
        <v>200</v>
      </c>
      <c r="V51" s="166">
        <v>1</v>
      </c>
      <c r="W51" s="166">
        <v>50</v>
      </c>
      <c r="X51" s="166">
        <v>-0.2</v>
      </c>
      <c r="Y51" s="166" t="s">
        <v>68</v>
      </c>
      <c r="Z51" s="166" t="s">
        <v>68</v>
      </c>
      <c r="AA51" s="166" t="s">
        <v>68</v>
      </c>
      <c r="AB51" s="170" t="s">
        <v>43</v>
      </c>
      <c r="AC51" s="170" t="s">
        <v>44</v>
      </c>
      <c r="AD51" s="170" t="s">
        <v>44</v>
      </c>
      <c r="AE51" s="166"/>
      <c r="AF51" s="171" t="s">
        <v>327</v>
      </c>
      <c r="AG51" s="202" t="s">
        <v>496</v>
      </c>
      <c r="AH51" s="172" t="s">
        <v>155</v>
      </c>
      <c r="AI51" s="34"/>
      <c r="AN51" s="25"/>
      <c r="AO51" s="25"/>
      <c r="AR51" s="25"/>
      <c r="AS51" s="25"/>
      <c r="AT51" s="25"/>
    </row>
    <row r="52" spans="1:46" ht="22.5" hidden="1">
      <c r="A52" s="31">
        <v>1</v>
      </c>
      <c r="B52" s="165" t="s">
        <v>194</v>
      </c>
      <c r="C52" s="166">
        <v>-0.3</v>
      </c>
      <c r="D52" s="166">
        <v>26</v>
      </c>
      <c r="E52" s="166">
        <v>-0.3</v>
      </c>
      <c r="F52" s="166">
        <v>26</v>
      </c>
      <c r="G52" s="167">
        <v>50</v>
      </c>
      <c r="H52" s="168">
        <v>1.4E-2</v>
      </c>
      <c r="I52" s="166">
        <v>10</v>
      </c>
      <c r="J52" s="167">
        <v>150</v>
      </c>
      <c r="K52" s="166">
        <v>0.5</v>
      </c>
      <c r="L52" s="167">
        <v>100</v>
      </c>
      <c r="M52" s="166">
        <v>12</v>
      </c>
      <c r="N52" s="167">
        <v>100</v>
      </c>
      <c r="O52" s="166">
        <v>5</v>
      </c>
      <c r="P52" s="166">
        <v>2.7</v>
      </c>
      <c r="Q52" s="166">
        <v>26</v>
      </c>
      <c r="R52" s="166">
        <v>0.115</v>
      </c>
      <c r="S52" s="166">
        <v>28</v>
      </c>
      <c r="T52" s="166" t="s">
        <v>68</v>
      </c>
      <c r="U52" s="167">
        <v>80</v>
      </c>
      <c r="V52" s="166">
        <v>0.4</v>
      </c>
      <c r="W52" s="166">
        <v>50</v>
      </c>
      <c r="X52" s="166">
        <v>-0.2</v>
      </c>
      <c r="Y52" s="166" t="s">
        <v>68</v>
      </c>
      <c r="Z52" s="166" t="s">
        <v>68</v>
      </c>
      <c r="AA52" s="166" t="s">
        <v>68</v>
      </c>
      <c r="AB52" s="170" t="s">
        <v>43</v>
      </c>
      <c r="AC52" s="170" t="s">
        <v>43</v>
      </c>
      <c r="AD52" s="170" t="s">
        <v>44</v>
      </c>
      <c r="AE52" s="166"/>
      <c r="AF52" s="170" t="s">
        <v>327</v>
      </c>
      <c r="AG52" s="202" t="s">
        <v>496</v>
      </c>
      <c r="AH52" s="173" t="s">
        <v>331</v>
      </c>
      <c r="AI52" s="34"/>
      <c r="AN52" s="25"/>
      <c r="AO52" s="25"/>
      <c r="AR52" s="25"/>
      <c r="AS52" s="25"/>
      <c r="AT52" s="25"/>
    </row>
    <row r="53" spans="1:46" ht="22.5" hidden="1">
      <c r="A53" s="31">
        <v>1</v>
      </c>
      <c r="B53" s="165" t="s">
        <v>195</v>
      </c>
      <c r="C53" s="166">
        <v>-0.3</v>
      </c>
      <c r="D53" s="166">
        <v>26</v>
      </c>
      <c r="E53" s="166">
        <v>-0.3</v>
      </c>
      <c r="F53" s="166">
        <v>26</v>
      </c>
      <c r="G53" s="167">
        <v>100</v>
      </c>
      <c r="H53" s="168">
        <v>1.4E-2</v>
      </c>
      <c r="I53" s="166">
        <v>10</v>
      </c>
      <c r="J53" s="167">
        <v>150</v>
      </c>
      <c r="K53" s="166">
        <v>0.5</v>
      </c>
      <c r="L53" s="167">
        <v>100</v>
      </c>
      <c r="M53" s="166">
        <v>12</v>
      </c>
      <c r="N53" s="167">
        <v>100</v>
      </c>
      <c r="O53" s="166">
        <v>5</v>
      </c>
      <c r="P53" s="166">
        <v>2.7</v>
      </c>
      <c r="Q53" s="166">
        <v>26</v>
      </c>
      <c r="R53" s="166">
        <v>0.115</v>
      </c>
      <c r="S53" s="166">
        <v>28</v>
      </c>
      <c r="T53" s="166" t="s">
        <v>68</v>
      </c>
      <c r="U53" s="167">
        <v>30</v>
      </c>
      <c r="V53" s="166">
        <v>0.4</v>
      </c>
      <c r="W53" s="166">
        <v>50</v>
      </c>
      <c r="X53" s="166">
        <v>-0.2</v>
      </c>
      <c r="Y53" s="166" t="s">
        <v>68</v>
      </c>
      <c r="Z53" s="166" t="s">
        <v>68</v>
      </c>
      <c r="AA53" s="166" t="s">
        <v>68</v>
      </c>
      <c r="AB53" s="170" t="s">
        <v>43</v>
      </c>
      <c r="AC53" s="170" t="s">
        <v>43</v>
      </c>
      <c r="AD53" s="170" t="s">
        <v>44</v>
      </c>
      <c r="AE53" s="166"/>
      <c r="AF53" s="170" t="s">
        <v>327</v>
      </c>
      <c r="AG53" s="202" t="s">
        <v>496</v>
      </c>
      <c r="AH53" s="173" t="s">
        <v>331</v>
      </c>
      <c r="AI53" s="34"/>
      <c r="AN53" s="25"/>
      <c r="AO53" s="25"/>
      <c r="AR53" s="25"/>
      <c r="AS53" s="25"/>
      <c r="AT53" s="25"/>
    </row>
    <row r="54" spans="1:46" ht="22.5" hidden="1">
      <c r="A54" s="31">
        <v>1</v>
      </c>
      <c r="B54" s="165" t="s">
        <v>196</v>
      </c>
      <c r="C54" s="166">
        <v>-0.3</v>
      </c>
      <c r="D54" s="166">
        <v>26</v>
      </c>
      <c r="E54" s="166">
        <v>-0.3</v>
      </c>
      <c r="F54" s="166">
        <v>26</v>
      </c>
      <c r="G54" s="167">
        <v>200</v>
      </c>
      <c r="H54" s="168">
        <v>1.4E-2</v>
      </c>
      <c r="I54" s="166">
        <v>10</v>
      </c>
      <c r="J54" s="167">
        <v>150</v>
      </c>
      <c r="K54" s="166">
        <v>0.5</v>
      </c>
      <c r="L54" s="167">
        <v>100</v>
      </c>
      <c r="M54" s="166">
        <v>12</v>
      </c>
      <c r="N54" s="167">
        <v>100</v>
      </c>
      <c r="O54" s="166">
        <v>5</v>
      </c>
      <c r="P54" s="166">
        <v>2.7</v>
      </c>
      <c r="Q54" s="166">
        <v>26</v>
      </c>
      <c r="R54" s="166">
        <v>0.115</v>
      </c>
      <c r="S54" s="166">
        <v>28</v>
      </c>
      <c r="T54" s="166" t="s">
        <v>68</v>
      </c>
      <c r="U54" s="167">
        <v>14</v>
      </c>
      <c r="V54" s="166">
        <v>0.4</v>
      </c>
      <c r="W54" s="166">
        <v>50</v>
      </c>
      <c r="X54" s="166">
        <v>-0.2</v>
      </c>
      <c r="Y54" s="166" t="s">
        <v>68</v>
      </c>
      <c r="Z54" s="166" t="s">
        <v>68</v>
      </c>
      <c r="AA54" s="166" t="s">
        <v>68</v>
      </c>
      <c r="AB54" s="170" t="s">
        <v>43</v>
      </c>
      <c r="AC54" s="170" t="s">
        <v>43</v>
      </c>
      <c r="AD54" s="170" t="s">
        <v>44</v>
      </c>
      <c r="AE54" s="166"/>
      <c r="AF54" s="170" t="s">
        <v>327</v>
      </c>
      <c r="AG54" s="202" t="s">
        <v>496</v>
      </c>
      <c r="AH54" s="173" t="s">
        <v>331</v>
      </c>
      <c r="AI54" s="34"/>
      <c r="AN54" s="25"/>
      <c r="AO54" s="25"/>
      <c r="AR54" s="25"/>
      <c r="AS54" s="25"/>
      <c r="AT54" s="25"/>
    </row>
    <row r="55" spans="1:46" ht="22.5" hidden="1">
      <c r="A55" s="31">
        <v>1</v>
      </c>
      <c r="B55" s="165" t="s">
        <v>181</v>
      </c>
      <c r="C55" s="166">
        <v>-0.1</v>
      </c>
      <c r="D55" s="166">
        <v>26</v>
      </c>
      <c r="E55" s="166">
        <v>-0.1</v>
      </c>
      <c r="F55" s="166">
        <v>26</v>
      </c>
      <c r="G55" s="167">
        <v>50</v>
      </c>
      <c r="H55" s="168">
        <v>1.4E-2</v>
      </c>
      <c r="I55" s="166">
        <v>10</v>
      </c>
      <c r="J55" s="167">
        <v>150</v>
      </c>
      <c r="K55" s="166">
        <v>0.5</v>
      </c>
      <c r="L55" s="167">
        <v>100</v>
      </c>
      <c r="M55" s="166">
        <v>12</v>
      </c>
      <c r="N55" s="167">
        <v>100</v>
      </c>
      <c r="O55" s="166">
        <v>5</v>
      </c>
      <c r="P55" s="166">
        <v>2.7</v>
      </c>
      <c r="Q55" s="166">
        <v>26</v>
      </c>
      <c r="R55" s="166">
        <v>0.115</v>
      </c>
      <c r="S55" s="166">
        <v>28</v>
      </c>
      <c r="T55" s="166" t="s">
        <v>68</v>
      </c>
      <c r="U55" s="167">
        <v>80</v>
      </c>
      <c r="V55" s="166">
        <v>0.4</v>
      </c>
      <c r="W55" s="166">
        <v>50</v>
      </c>
      <c r="X55" s="166">
        <v>-0.2</v>
      </c>
      <c r="Y55" s="166" t="s">
        <v>68</v>
      </c>
      <c r="Z55" s="166" t="s">
        <v>68</v>
      </c>
      <c r="AA55" s="166" t="s">
        <v>68</v>
      </c>
      <c r="AB55" s="170" t="s">
        <v>43</v>
      </c>
      <c r="AC55" s="170" t="s">
        <v>43</v>
      </c>
      <c r="AD55" s="170" t="s">
        <v>44</v>
      </c>
      <c r="AE55" s="166"/>
      <c r="AF55" s="171" t="s">
        <v>327</v>
      </c>
      <c r="AG55" s="202" t="s">
        <v>496</v>
      </c>
      <c r="AH55" s="173" t="s">
        <v>331</v>
      </c>
      <c r="AI55" s="34"/>
      <c r="AN55" s="25"/>
      <c r="AO55" s="25"/>
      <c r="AR55" s="25"/>
      <c r="AS55" s="25"/>
      <c r="AT55" s="25"/>
    </row>
    <row r="56" spans="1:46" ht="22.5" hidden="1">
      <c r="A56" s="31">
        <v>1</v>
      </c>
      <c r="B56" s="165" t="s">
        <v>182</v>
      </c>
      <c r="C56" s="166">
        <v>-0.1</v>
      </c>
      <c r="D56" s="166">
        <v>26</v>
      </c>
      <c r="E56" s="166">
        <v>-0.1</v>
      </c>
      <c r="F56" s="166">
        <v>26</v>
      </c>
      <c r="G56" s="167">
        <v>100</v>
      </c>
      <c r="H56" s="168">
        <v>1.4E-2</v>
      </c>
      <c r="I56" s="166">
        <v>10</v>
      </c>
      <c r="J56" s="167">
        <v>150</v>
      </c>
      <c r="K56" s="166">
        <v>0.5</v>
      </c>
      <c r="L56" s="167">
        <v>100</v>
      </c>
      <c r="M56" s="166">
        <v>12</v>
      </c>
      <c r="N56" s="167">
        <v>100</v>
      </c>
      <c r="O56" s="166">
        <v>5</v>
      </c>
      <c r="P56" s="166">
        <v>2.7</v>
      </c>
      <c r="Q56" s="166">
        <v>26</v>
      </c>
      <c r="R56" s="166">
        <v>0.115</v>
      </c>
      <c r="S56" s="166">
        <v>28</v>
      </c>
      <c r="T56" s="166" t="s">
        <v>68</v>
      </c>
      <c r="U56" s="167">
        <v>30</v>
      </c>
      <c r="V56" s="166">
        <v>0.4</v>
      </c>
      <c r="W56" s="166">
        <v>50</v>
      </c>
      <c r="X56" s="166">
        <v>-0.2</v>
      </c>
      <c r="Y56" s="166" t="s">
        <v>68</v>
      </c>
      <c r="Z56" s="166" t="s">
        <v>68</v>
      </c>
      <c r="AA56" s="166" t="s">
        <v>68</v>
      </c>
      <c r="AB56" s="170" t="s">
        <v>43</v>
      </c>
      <c r="AC56" s="170" t="s">
        <v>43</v>
      </c>
      <c r="AD56" s="170" t="s">
        <v>44</v>
      </c>
      <c r="AE56" s="166"/>
      <c r="AF56" s="171" t="s">
        <v>327</v>
      </c>
      <c r="AG56" s="202" t="s">
        <v>496</v>
      </c>
      <c r="AH56" s="173" t="s">
        <v>331</v>
      </c>
      <c r="AI56" s="34"/>
      <c r="AN56" s="25"/>
      <c r="AO56" s="25"/>
      <c r="AR56" s="25"/>
      <c r="AS56" s="25"/>
      <c r="AT56" s="25"/>
    </row>
    <row r="57" spans="1:46" ht="22.5" hidden="1">
      <c r="A57" s="31">
        <v>1</v>
      </c>
      <c r="B57" s="165" t="s">
        <v>183</v>
      </c>
      <c r="C57" s="166">
        <v>-0.1</v>
      </c>
      <c r="D57" s="166">
        <v>26</v>
      </c>
      <c r="E57" s="166">
        <v>-0.1</v>
      </c>
      <c r="F57" s="166">
        <v>26</v>
      </c>
      <c r="G57" s="167">
        <v>200</v>
      </c>
      <c r="H57" s="168">
        <v>1.4E-2</v>
      </c>
      <c r="I57" s="166">
        <v>10</v>
      </c>
      <c r="J57" s="167">
        <v>150</v>
      </c>
      <c r="K57" s="166">
        <v>0.5</v>
      </c>
      <c r="L57" s="167">
        <v>100</v>
      </c>
      <c r="M57" s="166">
        <v>12</v>
      </c>
      <c r="N57" s="167">
        <v>100</v>
      </c>
      <c r="O57" s="166">
        <v>5</v>
      </c>
      <c r="P57" s="166">
        <v>2.7</v>
      </c>
      <c r="Q57" s="166">
        <v>26</v>
      </c>
      <c r="R57" s="166">
        <v>0.115</v>
      </c>
      <c r="S57" s="166">
        <v>28</v>
      </c>
      <c r="T57" s="166" t="s">
        <v>68</v>
      </c>
      <c r="U57" s="167">
        <v>14</v>
      </c>
      <c r="V57" s="166">
        <v>0.4</v>
      </c>
      <c r="W57" s="166">
        <v>50</v>
      </c>
      <c r="X57" s="166">
        <v>-0.2</v>
      </c>
      <c r="Y57" s="166" t="s">
        <v>68</v>
      </c>
      <c r="Z57" s="166" t="s">
        <v>68</v>
      </c>
      <c r="AA57" s="166" t="s">
        <v>68</v>
      </c>
      <c r="AB57" s="170" t="s">
        <v>43</v>
      </c>
      <c r="AC57" s="170" t="s">
        <v>43</v>
      </c>
      <c r="AD57" s="170" t="s">
        <v>44</v>
      </c>
      <c r="AE57" s="166"/>
      <c r="AF57" s="171" t="s">
        <v>327</v>
      </c>
      <c r="AG57" s="202" t="s">
        <v>496</v>
      </c>
      <c r="AH57" s="173" t="s">
        <v>331</v>
      </c>
      <c r="AI57" s="34"/>
      <c r="AN57" s="25"/>
      <c r="AO57" s="25"/>
      <c r="AR57" s="25"/>
      <c r="AS57" s="25"/>
      <c r="AT57" s="25"/>
    </row>
    <row r="58" spans="1:46" ht="22.5" hidden="1">
      <c r="A58" s="31">
        <v>1</v>
      </c>
      <c r="B58" s="165" t="s">
        <v>198</v>
      </c>
      <c r="C58" s="166">
        <v>-0.1</v>
      </c>
      <c r="D58" s="166">
        <v>26</v>
      </c>
      <c r="E58" s="166">
        <v>-0.1</v>
      </c>
      <c r="F58" s="166">
        <v>26</v>
      </c>
      <c r="G58" s="167">
        <v>50</v>
      </c>
      <c r="H58" s="168">
        <v>8.9999999999999993E-3</v>
      </c>
      <c r="I58" s="166">
        <v>10</v>
      </c>
      <c r="J58" s="167">
        <v>150</v>
      </c>
      <c r="K58" s="166">
        <v>0.5</v>
      </c>
      <c r="L58" s="167">
        <v>100</v>
      </c>
      <c r="M58" s="166">
        <v>12</v>
      </c>
      <c r="N58" s="167">
        <v>100</v>
      </c>
      <c r="O58" s="166">
        <v>5</v>
      </c>
      <c r="P58" s="166">
        <v>2.7</v>
      </c>
      <c r="Q58" s="166">
        <v>26</v>
      </c>
      <c r="R58" s="166">
        <v>0.115</v>
      </c>
      <c r="S58" s="166">
        <v>28</v>
      </c>
      <c r="T58" s="166" t="s">
        <v>68</v>
      </c>
      <c r="U58" s="167">
        <v>80</v>
      </c>
      <c r="V58" s="166">
        <v>0.4</v>
      </c>
      <c r="W58" s="166">
        <v>50</v>
      </c>
      <c r="X58" s="166">
        <v>-0.2</v>
      </c>
      <c r="Y58" s="166" t="s">
        <v>68</v>
      </c>
      <c r="Z58" s="166" t="s">
        <v>68</v>
      </c>
      <c r="AA58" s="166" t="s">
        <v>68</v>
      </c>
      <c r="AB58" s="170" t="s">
        <v>43</v>
      </c>
      <c r="AC58" s="170" t="s">
        <v>43</v>
      </c>
      <c r="AD58" s="170" t="s">
        <v>44</v>
      </c>
      <c r="AE58" s="166"/>
      <c r="AF58" s="171" t="s">
        <v>327</v>
      </c>
      <c r="AG58" s="202" t="s">
        <v>496</v>
      </c>
      <c r="AH58" s="173" t="s">
        <v>331</v>
      </c>
      <c r="AI58" s="34"/>
      <c r="AN58" s="25"/>
      <c r="AO58" s="25"/>
      <c r="AR58" s="25"/>
      <c r="AS58" s="25"/>
      <c r="AT58" s="25"/>
    </row>
    <row r="59" spans="1:46" ht="22.5" hidden="1">
      <c r="A59" s="31">
        <v>1</v>
      </c>
      <c r="B59" s="165" t="s">
        <v>197</v>
      </c>
      <c r="C59" s="166">
        <v>-0.1</v>
      </c>
      <c r="D59" s="166">
        <v>26</v>
      </c>
      <c r="E59" s="166">
        <v>-0.1</v>
      </c>
      <c r="F59" s="166">
        <v>26</v>
      </c>
      <c r="G59" s="167">
        <v>100</v>
      </c>
      <c r="H59" s="168">
        <v>8.9999999999999993E-3</v>
      </c>
      <c r="I59" s="166">
        <v>10</v>
      </c>
      <c r="J59" s="167">
        <v>150</v>
      </c>
      <c r="K59" s="166">
        <v>0.5</v>
      </c>
      <c r="L59" s="167">
        <v>100</v>
      </c>
      <c r="M59" s="166">
        <v>12</v>
      </c>
      <c r="N59" s="167">
        <v>100</v>
      </c>
      <c r="O59" s="166">
        <v>5</v>
      </c>
      <c r="P59" s="166">
        <v>2.7</v>
      </c>
      <c r="Q59" s="166">
        <v>26</v>
      </c>
      <c r="R59" s="166">
        <v>0.115</v>
      </c>
      <c r="S59" s="166">
        <v>28</v>
      </c>
      <c r="T59" s="166" t="s">
        <v>68</v>
      </c>
      <c r="U59" s="167">
        <v>30</v>
      </c>
      <c r="V59" s="166">
        <v>0.4</v>
      </c>
      <c r="W59" s="166">
        <v>50</v>
      </c>
      <c r="X59" s="166">
        <v>-0.2</v>
      </c>
      <c r="Y59" s="166" t="s">
        <v>68</v>
      </c>
      <c r="Z59" s="166" t="s">
        <v>68</v>
      </c>
      <c r="AA59" s="166" t="s">
        <v>68</v>
      </c>
      <c r="AB59" s="170" t="s">
        <v>43</v>
      </c>
      <c r="AC59" s="170" t="s">
        <v>43</v>
      </c>
      <c r="AD59" s="170" t="s">
        <v>44</v>
      </c>
      <c r="AE59" s="166"/>
      <c r="AF59" s="171" t="s">
        <v>327</v>
      </c>
      <c r="AG59" s="202" t="s">
        <v>496</v>
      </c>
      <c r="AH59" s="173" t="s">
        <v>331</v>
      </c>
      <c r="AI59" s="34"/>
      <c r="AN59" s="25"/>
      <c r="AO59" s="25"/>
      <c r="AR59" s="25"/>
      <c r="AS59" s="25"/>
      <c r="AT59" s="25"/>
    </row>
    <row r="60" spans="1:46" ht="22.5" hidden="1">
      <c r="A60" s="31">
        <v>1</v>
      </c>
      <c r="B60" s="165" t="s">
        <v>199</v>
      </c>
      <c r="C60" s="166">
        <v>-0.1</v>
      </c>
      <c r="D60" s="166">
        <v>26</v>
      </c>
      <c r="E60" s="166">
        <v>-0.1</v>
      </c>
      <c r="F60" s="166">
        <v>26</v>
      </c>
      <c r="G60" s="167">
        <v>200</v>
      </c>
      <c r="H60" s="168">
        <v>8.9999999999999993E-3</v>
      </c>
      <c r="I60" s="166">
        <v>10</v>
      </c>
      <c r="J60" s="167">
        <v>150</v>
      </c>
      <c r="K60" s="166">
        <v>0.5</v>
      </c>
      <c r="L60" s="167">
        <v>100</v>
      </c>
      <c r="M60" s="166">
        <v>12</v>
      </c>
      <c r="N60" s="167">
        <v>100</v>
      </c>
      <c r="O60" s="166">
        <v>5</v>
      </c>
      <c r="P60" s="166">
        <v>2.7</v>
      </c>
      <c r="Q60" s="166">
        <v>26</v>
      </c>
      <c r="R60" s="166">
        <v>0.115</v>
      </c>
      <c r="S60" s="166">
        <v>28</v>
      </c>
      <c r="T60" s="166" t="s">
        <v>68</v>
      </c>
      <c r="U60" s="167">
        <v>14</v>
      </c>
      <c r="V60" s="166">
        <v>0.4</v>
      </c>
      <c r="W60" s="166">
        <v>50</v>
      </c>
      <c r="X60" s="166">
        <v>-0.2</v>
      </c>
      <c r="Y60" s="166" t="s">
        <v>68</v>
      </c>
      <c r="Z60" s="166" t="s">
        <v>68</v>
      </c>
      <c r="AA60" s="166" t="s">
        <v>68</v>
      </c>
      <c r="AB60" s="170" t="s">
        <v>43</v>
      </c>
      <c r="AC60" s="170" t="s">
        <v>43</v>
      </c>
      <c r="AD60" s="170" t="s">
        <v>44</v>
      </c>
      <c r="AE60" s="166"/>
      <c r="AF60" s="171" t="s">
        <v>327</v>
      </c>
      <c r="AG60" s="202" t="s">
        <v>496</v>
      </c>
      <c r="AH60" s="173" t="s">
        <v>331</v>
      </c>
      <c r="AI60" s="34"/>
      <c r="AN60" s="25"/>
      <c r="AO60" s="25"/>
      <c r="AR60" s="25"/>
      <c r="AS60" s="25"/>
      <c r="AT60" s="25"/>
    </row>
    <row r="61" spans="1:46" ht="22.5" hidden="1">
      <c r="A61" s="31">
        <v>1</v>
      </c>
      <c r="B61" s="165" t="s">
        <v>5</v>
      </c>
      <c r="C61" s="166">
        <v>-16</v>
      </c>
      <c r="D61" s="166">
        <v>80</v>
      </c>
      <c r="E61" s="166">
        <v>-16</v>
      </c>
      <c r="F61" s="166">
        <v>80</v>
      </c>
      <c r="G61" s="167">
        <v>20</v>
      </c>
      <c r="H61" s="168">
        <v>0.01</v>
      </c>
      <c r="I61" s="166">
        <v>100</v>
      </c>
      <c r="J61" s="167">
        <v>2500</v>
      </c>
      <c r="K61" s="166">
        <v>10</v>
      </c>
      <c r="L61" s="167">
        <v>80</v>
      </c>
      <c r="M61" s="166">
        <v>12</v>
      </c>
      <c r="N61" s="167">
        <v>80</v>
      </c>
      <c r="O61" s="166">
        <v>12</v>
      </c>
      <c r="P61" s="166">
        <v>2.7</v>
      </c>
      <c r="Q61" s="166">
        <v>18</v>
      </c>
      <c r="R61" s="166">
        <v>1.85</v>
      </c>
      <c r="S61" s="166">
        <v>9</v>
      </c>
      <c r="T61" s="166" t="s">
        <v>68</v>
      </c>
      <c r="U61" s="167">
        <v>500</v>
      </c>
      <c r="V61" s="166">
        <v>1</v>
      </c>
      <c r="W61" s="166">
        <v>50</v>
      </c>
      <c r="X61" s="166">
        <v>-0.25</v>
      </c>
      <c r="Y61" s="166" t="s">
        <v>68</v>
      </c>
      <c r="Z61" s="166" t="s">
        <v>68</v>
      </c>
      <c r="AA61" s="166" t="s">
        <v>68</v>
      </c>
      <c r="AB61" s="170" t="s">
        <v>43</v>
      </c>
      <c r="AC61" s="170" t="s">
        <v>44</v>
      </c>
      <c r="AD61" s="170" t="s">
        <v>99</v>
      </c>
      <c r="AE61" s="166" t="s">
        <v>381</v>
      </c>
      <c r="AF61" s="171" t="s">
        <v>327</v>
      </c>
      <c r="AG61" s="201" t="s">
        <v>496</v>
      </c>
      <c r="AH61" s="173" t="s">
        <v>332</v>
      </c>
      <c r="AI61" s="34"/>
      <c r="AN61" s="25"/>
      <c r="AO61" s="25"/>
      <c r="AR61" s="25"/>
      <c r="AS61" s="25"/>
      <c r="AT61" s="25"/>
    </row>
    <row r="62" spans="1:46" ht="22.5" hidden="1">
      <c r="A62" s="31">
        <v>1</v>
      </c>
      <c r="B62" s="165" t="s">
        <v>111</v>
      </c>
      <c r="C62" s="166">
        <v>-16</v>
      </c>
      <c r="D62" s="166">
        <v>80</v>
      </c>
      <c r="E62" s="166">
        <v>-16</v>
      </c>
      <c r="F62" s="166">
        <v>80</v>
      </c>
      <c r="G62" s="167">
        <v>50</v>
      </c>
      <c r="H62" s="168">
        <v>0.01</v>
      </c>
      <c r="I62" s="166">
        <v>100</v>
      </c>
      <c r="J62" s="167">
        <v>2500</v>
      </c>
      <c r="K62" s="166">
        <v>10</v>
      </c>
      <c r="L62" s="167">
        <v>80</v>
      </c>
      <c r="M62" s="166">
        <v>12</v>
      </c>
      <c r="N62" s="167">
        <v>80</v>
      </c>
      <c r="O62" s="166">
        <v>12</v>
      </c>
      <c r="P62" s="166">
        <v>2.7</v>
      </c>
      <c r="Q62" s="166">
        <v>18</v>
      </c>
      <c r="R62" s="166">
        <v>1.85</v>
      </c>
      <c r="S62" s="166">
        <v>9</v>
      </c>
      <c r="T62" s="166" t="s">
        <v>68</v>
      </c>
      <c r="U62" s="167">
        <v>300</v>
      </c>
      <c r="V62" s="166">
        <v>1</v>
      </c>
      <c r="W62" s="166">
        <v>50</v>
      </c>
      <c r="X62" s="166">
        <v>-0.25</v>
      </c>
      <c r="Y62" s="166" t="s">
        <v>68</v>
      </c>
      <c r="Z62" s="166" t="s">
        <v>68</v>
      </c>
      <c r="AA62" s="166" t="s">
        <v>68</v>
      </c>
      <c r="AB62" s="170" t="s">
        <v>43</v>
      </c>
      <c r="AC62" s="170" t="s">
        <v>44</v>
      </c>
      <c r="AD62" s="170" t="s">
        <v>99</v>
      </c>
      <c r="AE62" s="166" t="s">
        <v>381</v>
      </c>
      <c r="AF62" s="171" t="s">
        <v>327</v>
      </c>
      <c r="AG62" s="201" t="s">
        <v>496</v>
      </c>
      <c r="AH62" s="173" t="s">
        <v>332</v>
      </c>
      <c r="AI62" s="34"/>
      <c r="AN62" s="25"/>
      <c r="AO62" s="25"/>
      <c r="AR62" s="25"/>
      <c r="AS62" s="25"/>
      <c r="AT62" s="25"/>
    </row>
    <row r="63" spans="1:46" ht="22.5" hidden="1">
      <c r="A63" s="31">
        <v>1</v>
      </c>
      <c r="B63" s="165" t="s">
        <v>112</v>
      </c>
      <c r="C63" s="166">
        <v>-16</v>
      </c>
      <c r="D63" s="166">
        <v>80</v>
      </c>
      <c r="E63" s="166">
        <v>-16</v>
      </c>
      <c r="F63" s="166">
        <v>80</v>
      </c>
      <c r="G63" s="167">
        <v>100</v>
      </c>
      <c r="H63" s="168">
        <v>0.01</v>
      </c>
      <c r="I63" s="166">
        <v>100</v>
      </c>
      <c r="J63" s="167">
        <v>2500</v>
      </c>
      <c r="K63" s="166">
        <v>10</v>
      </c>
      <c r="L63" s="167">
        <v>80</v>
      </c>
      <c r="M63" s="166">
        <v>12</v>
      </c>
      <c r="N63" s="167">
        <v>80</v>
      </c>
      <c r="O63" s="166">
        <v>12</v>
      </c>
      <c r="P63" s="166">
        <v>2.7</v>
      </c>
      <c r="Q63" s="166">
        <v>18</v>
      </c>
      <c r="R63" s="166">
        <v>1.85</v>
      </c>
      <c r="S63" s="166">
        <v>9</v>
      </c>
      <c r="T63" s="166" t="s">
        <v>68</v>
      </c>
      <c r="U63" s="167">
        <v>200</v>
      </c>
      <c r="V63" s="166">
        <v>1</v>
      </c>
      <c r="W63" s="166">
        <v>50</v>
      </c>
      <c r="X63" s="166">
        <v>-0.25</v>
      </c>
      <c r="Y63" s="166" t="s">
        <v>68</v>
      </c>
      <c r="Z63" s="166" t="s">
        <v>68</v>
      </c>
      <c r="AA63" s="166" t="s">
        <v>68</v>
      </c>
      <c r="AB63" s="170" t="s">
        <v>43</v>
      </c>
      <c r="AC63" s="170" t="s">
        <v>44</v>
      </c>
      <c r="AD63" s="170" t="s">
        <v>99</v>
      </c>
      <c r="AE63" s="166" t="s">
        <v>381</v>
      </c>
      <c r="AF63" s="171" t="s">
        <v>327</v>
      </c>
      <c r="AG63" s="201" t="s">
        <v>496</v>
      </c>
      <c r="AH63" s="173" t="s">
        <v>332</v>
      </c>
      <c r="AI63" s="34"/>
      <c r="AN63" s="25"/>
      <c r="AO63" s="25"/>
      <c r="AR63" s="25"/>
      <c r="AS63" s="25"/>
      <c r="AT63" s="25"/>
    </row>
    <row r="64" spans="1:46" ht="33.75" hidden="1">
      <c r="A64" s="31">
        <v>1</v>
      </c>
      <c r="B64" s="165" t="s">
        <v>3</v>
      </c>
      <c r="C64" s="166">
        <v>-16</v>
      </c>
      <c r="D64" s="166">
        <v>80</v>
      </c>
      <c r="E64" s="166">
        <v>-16</v>
      </c>
      <c r="F64" s="166">
        <v>80</v>
      </c>
      <c r="G64" s="167">
        <v>20</v>
      </c>
      <c r="H64" s="168">
        <v>0.01</v>
      </c>
      <c r="I64" s="166">
        <v>100</v>
      </c>
      <c r="J64" s="167">
        <v>2500</v>
      </c>
      <c r="K64" s="166">
        <v>10</v>
      </c>
      <c r="L64" s="167">
        <v>80</v>
      </c>
      <c r="M64" s="166">
        <v>12</v>
      </c>
      <c r="N64" s="167">
        <v>80</v>
      </c>
      <c r="O64" s="166">
        <v>12</v>
      </c>
      <c r="P64" s="166">
        <v>2.7</v>
      </c>
      <c r="Q64" s="166">
        <v>18</v>
      </c>
      <c r="R64" s="166">
        <v>2.8</v>
      </c>
      <c r="S64" s="166">
        <v>9</v>
      </c>
      <c r="T64" s="166" t="s">
        <v>68</v>
      </c>
      <c r="U64" s="167">
        <v>500</v>
      </c>
      <c r="V64" s="166">
        <v>1</v>
      </c>
      <c r="W64" s="166">
        <v>50</v>
      </c>
      <c r="X64" s="166">
        <v>-0.25</v>
      </c>
      <c r="Y64" s="166" t="s">
        <v>68</v>
      </c>
      <c r="Z64" s="166" t="s">
        <v>68</v>
      </c>
      <c r="AA64" s="166" t="s">
        <v>68</v>
      </c>
      <c r="AB64" s="170" t="s">
        <v>43</v>
      </c>
      <c r="AC64" s="170" t="s">
        <v>44</v>
      </c>
      <c r="AD64" s="170" t="s">
        <v>97</v>
      </c>
      <c r="AE64" s="166" t="s">
        <v>378</v>
      </c>
      <c r="AF64" s="171" t="s">
        <v>327</v>
      </c>
      <c r="AG64" s="201" t="s">
        <v>496</v>
      </c>
      <c r="AH64" s="173" t="s">
        <v>386</v>
      </c>
      <c r="AI64" s="34"/>
      <c r="AN64" s="25"/>
      <c r="AO64" s="25"/>
      <c r="AR64" s="25"/>
      <c r="AS64" s="25"/>
      <c r="AT64" s="25"/>
    </row>
    <row r="65" spans="1:46" ht="22.5" hidden="1">
      <c r="A65" s="31">
        <v>1</v>
      </c>
      <c r="B65" s="165" t="s">
        <v>113</v>
      </c>
      <c r="C65" s="166">
        <v>-16</v>
      </c>
      <c r="D65" s="166">
        <v>80</v>
      </c>
      <c r="E65" s="166">
        <v>-16</v>
      </c>
      <c r="F65" s="166">
        <v>80</v>
      </c>
      <c r="G65" s="167">
        <v>50</v>
      </c>
      <c r="H65" s="168">
        <v>0.01</v>
      </c>
      <c r="I65" s="166">
        <v>100</v>
      </c>
      <c r="J65" s="167">
        <v>2500</v>
      </c>
      <c r="K65" s="166">
        <v>10</v>
      </c>
      <c r="L65" s="167">
        <v>80</v>
      </c>
      <c r="M65" s="166">
        <v>12</v>
      </c>
      <c r="N65" s="167">
        <v>80</v>
      </c>
      <c r="O65" s="166">
        <v>12</v>
      </c>
      <c r="P65" s="166">
        <v>2.7</v>
      </c>
      <c r="Q65" s="166">
        <v>18</v>
      </c>
      <c r="R65" s="166">
        <v>2.8</v>
      </c>
      <c r="S65" s="166">
        <v>9</v>
      </c>
      <c r="T65" s="166" t="s">
        <v>68</v>
      </c>
      <c r="U65" s="167">
        <v>300</v>
      </c>
      <c r="V65" s="166">
        <v>1</v>
      </c>
      <c r="W65" s="166">
        <v>50</v>
      </c>
      <c r="X65" s="166">
        <v>-0.25</v>
      </c>
      <c r="Y65" s="166" t="s">
        <v>68</v>
      </c>
      <c r="Z65" s="166" t="s">
        <v>68</v>
      </c>
      <c r="AA65" s="166" t="s">
        <v>68</v>
      </c>
      <c r="AB65" s="170" t="s">
        <v>43</v>
      </c>
      <c r="AC65" s="170" t="s">
        <v>44</v>
      </c>
      <c r="AD65" s="170" t="s">
        <v>97</v>
      </c>
      <c r="AE65" s="166" t="s">
        <v>378</v>
      </c>
      <c r="AF65" s="170" t="s">
        <v>68</v>
      </c>
      <c r="AG65" s="201" t="s">
        <v>496</v>
      </c>
      <c r="AH65" s="173" t="s">
        <v>387</v>
      </c>
      <c r="AI65" s="34"/>
      <c r="AN65" s="25"/>
      <c r="AO65" s="25"/>
      <c r="AR65" s="25"/>
      <c r="AS65" s="25"/>
      <c r="AT65" s="25"/>
    </row>
    <row r="66" spans="1:46" ht="33.75" hidden="1">
      <c r="A66" s="31">
        <v>1</v>
      </c>
      <c r="B66" s="165" t="s">
        <v>114</v>
      </c>
      <c r="C66" s="166">
        <v>-16</v>
      </c>
      <c r="D66" s="166">
        <v>80</v>
      </c>
      <c r="E66" s="166">
        <v>-16</v>
      </c>
      <c r="F66" s="166">
        <v>80</v>
      </c>
      <c r="G66" s="167">
        <v>100</v>
      </c>
      <c r="H66" s="168">
        <v>0.01</v>
      </c>
      <c r="I66" s="166">
        <v>100</v>
      </c>
      <c r="J66" s="167">
        <v>2500</v>
      </c>
      <c r="K66" s="166">
        <v>10</v>
      </c>
      <c r="L66" s="167">
        <v>80</v>
      </c>
      <c r="M66" s="166">
        <v>12</v>
      </c>
      <c r="N66" s="167">
        <v>80</v>
      </c>
      <c r="O66" s="166">
        <v>12</v>
      </c>
      <c r="P66" s="166">
        <v>2.7</v>
      </c>
      <c r="Q66" s="166">
        <v>18</v>
      </c>
      <c r="R66" s="166">
        <v>2.8</v>
      </c>
      <c r="S66" s="166">
        <v>9</v>
      </c>
      <c r="T66" s="166" t="s">
        <v>68</v>
      </c>
      <c r="U66" s="167">
        <v>200</v>
      </c>
      <c r="V66" s="166">
        <v>1</v>
      </c>
      <c r="W66" s="166">
        <v>50</v>
      </c>
      <c r="X66" s="166">
        <v>-0.25</v>
      </c>
      <c r="Y66" s="166" t="s">
        <v>68</v>
      </c>
      <c r="Z66" s="166" t="s">
        <v>68</v>
      </c>
      <c r="AA66" s="166" t="s">
        <v>68</v>
      </c>
      <c r="AB66" s="170" t="s">
        <v>43</v>
      </c>
      <c r="AC66" s="170" t="s">
        <v>44</v>
      </c>
      <c r="AD66" s="170" t="s">
        <v>97</v>
      </c>
      <c r="AE66" s="166" t="s">
        <v>378</v>
      </c>
      <c r="AF66" s="170" t="s">
        <v>68</v>
      </c>
      <c r="AG66" s="201" t="s">
        <v>496</v>
      </c>
      <c r="AH66" s="173" t="s">
        <v>386</v>
      </c>
      <c r="AI66" s="34"/>
      <c r="AN66" s="25"/>
      <c r="AO66" s="25"/>
      <c r="AR66" s="25"/>
      <c r="AS66" s="25"/>
      <c r="AT66" s="25"/>
    </row>
    <row r="67" spans="1:46" ht="33.75" hidden="1">
      <c r="A67" s="31">
        <v>1</v>
      </c>
      <c r="B67" s="165" t="s">
        <v>4</v>
      </c>
      <c r="C67" s="166">
        <v>-16</v>
      </c>
      <c r="D67" s="166">
        <v>80</v>
      </c>
      <c r="E67" s="166">
        <v>-16</v>
      </c>
      <c r="F67" s="166">
        <v>80</v>
      </c>
      <c r="G67" s="167">
        <v>20</v>
      </c>
      <c r="H67" s="168">
        <v>0.01</v>
      </c>
      <c r="I67" s="166">
        <v>100</v>
      </c>
      <c r="J67" s="167">
        <v>2500</v>
      </c>
      <c r="K67" s="166">
        <v>10</v>
      </c>
      <c r="L67" s="167">
        <v>80</v>
      </c>
      <c r="M67" s="166">
        <v>12</v>
      </c>
      <c r="N67" s="167">
        <v>80</v>
      </c>
      <c r="O67" s="166">
        <v>12</v>
      </c>
      <c r="P67" s="166">
        <v>2.7</v>
      </c>
      <c r="Q67" s="166">
        <v>18</v>
      </c>
      <c r="R67" s="166">
        <v>2.8</v>
      </c>
      <c r="S67" s="166">
        <v>9</v>
      </c>
      <c r="T67" s="166" t="s">
        <v>68</v>
      </c>
      <c r="U67" s="167">
        <v>500</v>
      </c>
      <c r="V67" s="166">
        <v>1</v>
      </c>
      <c r="W67" s="166">
        <v>50</v>
      </c>
      <c r="X67" s="166">
        <v>-0.25</v>
      </c>
      <c r="Y67" s="166" t="s">
        <v>68</v>
      </c>
      <c r="Z67" s="166" t="s">
        <v>68</v>
      </c>
      <c r="AA67" s="166" t="s">
        <v>68</v>
      </c>
      <c r="AB67" s="170" t="s">
        <v>43</v>
      </c>
      <c r="AC67" s="170" t="s">
        <v>44</v>
      </c>
      <c r="AD67" s="170" t="s">
        <v>98</v>
      </c>
      <c r="AE67" s="166" t="s">
        <v>379</v>
      </c>
      <c r="AF67" s="170" t="s">
        <v>68</v>
      </c>
      <c r="AG67" s="201" t="s">
        <v>496</v>
      </c>
      <c r="AH67" s="173" t="s">
        <v>386</v>
      </c>
      <c r="AI67" s="34"/>
      <c r="AN67" s="25"/>
      <c r="AO67" s="25"/>
      <c r="AR67" s="25"/>
      <c r="AS67" s="25"/>
      <c r="AT67" s="25"/>
    </row>
    <row r="68" spans="1:46" ht="22.5" hidden="1">
      <c r="A68" s="31">
        <v>1</v>
      </c>
      <c r="B68" s="165" t="s">
        <v>115</v>
      </c>
      <c r="C68" s="166">
        <v>-16</v>
      </c>
      <c r="D68" s="166">
        <v>80</v>
      </c>
      <c r="E68" s="166">
        <v>-16</v>
      </c>
      <c r="F68" s="166">
        <v>80</v>
      </c>
      <c r="G68" s="167">
        <v>50</v>
      </c>
      <c r="H68" s="168">
        <v>0.01</v>
      </c>
      <c r="I68" s="166">
        <v>100</v>
      </c>
      <c r="J68" s="167">
        <v>2500</v>
      </c>
      <c r="K68" s="166">
        <v>10</v>
      </c>
      <c r="L68" s="167">
        <v>80</v>
      </c>
      <c r="M68" s="166">
        <v>12</v>
      </c>
      <c r="N68" s="167">
        <v>80</v>
      </c>
      <c r="O68" s="166">
        <v>12</v>
      </c>
      <c r="P68" s="166">
        <v>2.7</v>
      </c>
      <c r="Q68" s="166">
        <v>18</v>
      </c>
      <c r="R68" s="166">
        <v>2.8</v>
      </c>
      <c r="S68" s="166">
        <v>9</v>
      </c>
      <c r="T68" s="166" t="s">
        <v>68</v>
      </c>
      <c r="U68" s="167">
        <v>300</v>
      </c>
      <c r="V68" s="166">
        <v>1</v>
      </c>
      <c r="W68" s="166">
        <v>50</v>
      </c>
      <c r="X68" s="166">
        <v>-0.25</v>
      </c>
      <c r="Y68" s="166" t="s">
        <v>68</v>
      </c>
      <c r="Z68" s="166" t="s">
        <v>68</v>
      </c>
      <c r="AA68" s="166" t="s">
        <v>68</v>
      </c>
      <c r="AB68" s="170" t="s">
        <v>43</v>
      </c>
      <c r="AC68" s="170" t="s">
        <v>44</v>
      </c>
      <c r="AD68" s="170" t="s">
        <v>98</v>
      </c>
      <c r="AE68" s="166" t="s">
        <v>379</v>
      </c>
      <c r="AF68" s="170" t="s">
        <v>68</v>
      </c>
      <c r="AG68" s="201" t="s">
        <v>496</v>
      </c>
      <c r="AH68" s="173" t="s">
        <v>388</v>
      </c>
      <c r="AI68" s="34"/>
      <c r="AN68" s="25"/>
      <c r="AO68" s="25"/>
      <c r="AR68" s="25"/>
      <c r="AS68" s="25"/>
      <c r="AT68" s="25"/>
    </row>
    <row r="69" spans="1:46" ht="33.75" hidden="1">
      <c r="A69" s="31">
        <v>1</v>
      </c>
      <c r="B69" s="165" t="s">
        <v>116</v>
      </c>
      <c r="C69" s="166">
        <v>-16</v>
      </c>
      <c r="D69" s="166">
        <v>80</v>
      </c>
      <c r="E69" s="166">
        <v>-16</v>
      </c>
      <c r="F69" s="166">
        <v>80</v>
      </c>
      <c r="G69" s="167">
        <v>100</v>
      </c>
      <c r="H69" s="168">
        <v>0.01</v>
      </c>
      <c r="I69" s="166">
        <v>100</v>
      </c>
      <c r="J69" s="167">
        <v>2500</v>
      </c>
      <c r="K69" s="166">
        <v>10</v>
      </c>
      <c r="L69" s="167">
        <v>80</v>
      </c>
      <c r="M69" s="166">
        <v>12</v>
      </c>
      <c r="N69" s="167">
        <v>80</v>
      </c>
      <c r="O69" s="166">
        <v>12</v>
      </c>
      <c r="P69" s="166">
        <v>2.7</v>
      </c>
      <c r="Q69" s="166">
        <v>18</v>
      </c>
      <c r="R69" s="166">
        <v>2.8</v>
      </c>
      <c r="S69" s="166">
        <v>9</v>
      </c>
      <c r="T69" s="166" t="s">
        <v>68</v>
      </c>
      <c r="U69" s="167">
        <v>200</v>
      </c>
      <c r="V69" s="166">
        <v>1</v>
      </c>
      <c r="W69" s="166">
        <v>50</v>
      </c>
      <c r="X69" s="166">
        <v>-0.25</v>
      </c>
      <c r="Y69" s="166" t="s">
        <v>68</v>
      </c>
      <c r="Z69" s="166" t="s">
        <v>68</v>
      </c>
      <c r="AA69" s="166" t="s">
        <v>68</v>
      </c>
      <c r="AB69" s="170" t="s">
        <v>43</v>
      </c>
      <c r="AC69" s="170" t="s">
        <v>44</v>
      </c>
      <c r="AD69" s="170" t="s">
        <v>98</v>
      </c>
      <c r="AE69" s="166" t="s">
        <v>379</v>
      </c>
      <c r="AF69" s="170" t="s">
        <v>68</v>
      </c>
      <c r="AG69" s="201" t="s">
        <v>496</v>
      </c>
      <c r="AH69" s="173" t="s">
        <v>386</v>
      </c>
      <c r="AI69" s="34"/>
      <c r="AN69" s="25"/>
      <c r="AO69" s="25"/>
      <c r="AR69" s="25"/>
      <c r="AS69" s="25"/>
      <c r="AT69" s="25"/>
    </row>
    <row r="70" spans="1:46" ht="11.25" hidden="1">
      <c r="A70" s="31">
        <v>1</v>
      </c>
      <c r="B70" s="165" t="s">
        <v>214</v>
      </c>
      <c r="C70" s="166">
        <v>0</v>
      </c>
      <c r="D70" s="166">
        <v>26</v>
      </c>
      <c r="E70" s="166">
        <v>-0.3</v>
      </c>
      <c r="F70" s="166">
        <v>26</v>
      </c>
      <c r="G70" s="167">
        <v>1</v>
      </c>
      <c r="H70" s="168">
        <v>5.0000000000000001E-3</v>
      </c>
      <c r="I70" s="166">
        <v>83</v>
      </c>
      <c r="J70" s="167">
        <v>100</v>
      </c>
      <c r="K70" s="166">
        <v>0.16</v>
      </c>
      <c r="L70" s="167">
        <v>100</v>
      </c>
      <c r="M70" s="166">
        <v>12</v>
      </c>
      <c r="N70" s="167">
        <v>100</v>
      </c>
      <c r="O70" s="166">
        <v>3.3</v>
      </c>
      <c r="P70" s="166">
        <v>3</v>
      </c>
      <c r="Q70" s="166">
        <v>5.5</v>
      </c>
      <c r="R70" s="166">
        <v>1.5</v>
      </c>
      <c r="S70" s="166">
        <v>20</v>
      </c>
      <c r="T70" s="166">
        <v>15</v>
      </c>
      <c r="U70" s="167" t="s">
        <v>68</v>
      </c>
      <c r="V70" s="166" t="s">
        <v>68</v>
      </c>
      <c r="W70" s="166" t="s">
        <v>68</v>
      </c>
      <c r="X70" s="166" t="s">
        <v>68</v>
      </c>
      <c r="Y70" s="166">
        <v>12</v>
      </c>
      <c r="Z70" s="166">
        <v>93</v>
      </c>
      <c r="AA70" s="166" t="s">
        <v>85</v>
      </c>
      <c r="AB70" s="170" t="s">
        <v>43</v>
      </c>
      <c r="AC70" s="170" t="s">
        <v>43</v>
      </c>
      <c r="AD70" s="170" t="s">
        <v>99</v>
      </c>
      <c r="AE70" s="166" t="s">
        <v>380</v>
      </c>
      <c r="AF70" s="170" t="s">
        <v>68</v>
      </c>
      <c r="AG70" s="202" t="s">
        <v>496</v>
      </c>
      <c r="AH70" s="172" t="s">
        <v>168</v>
      </c>
      <c r="AI70" s="34"/>
      <c r="AN70" s="25"/>
      <c r="AO70" s="25"/>
      <c r="AR70" s="25"/>
      <c r="AS70" s="25"/>
      <c r="AT70" s="25"/>
    </row>
    <row r="71" spans="1:46" ht="11.25" hidden="1">
      <c r="A71" s="31">
        <v>1</v>
      </c>
      <c r="B71" s="165" t="s">
        <v>232</v>
      </c>
      <c r="C71" s="166">
        <v>0</v>
      </c>
      <c r="D71" s="166">
        <v>26</v>
      </c>
      <c r="E71" s="166">
        <v>-0.3</v>
      </c>
      <c r="F71" s="166">
        <v>26</v>
      </c>
      <c r="G71" s="175">
        <v>0.5</v>
      </c>
      <c r="H71" s="168">
        <v>5.0000000000000001E-3</v>
      </c>
      <c r="I71" s="166">
        <v>83</v>
      </c>
      <c r="J71" s="167">
        <v>125</v>
      </c>
      <c r="K71" s="166">
        <v>0.16</v>
      </c>
      <c r="L71" s="167">
        <v>100</v>
      </c>
      <c r="M71" s="166">
        <v>12</v>
      </c>
      <c r="N71" s="167">
        <v>100</v>
      </c>
      <c r="O71" s="166">
        <v>3.3</v>
      </c>
      <c r="P71" s="166">
        <v>3</v>
      </c>
      <c r="Q71" s="166">
        <v>5.5</v>
      </c>
      <c r="R71" s="166">
        <v>1.5</v>
      </c>
      <c r="S71" s="166">
        <v>20</v>
      </c>
      <c r="T71" s="166">
        <v>15</v>
      </c>
      <c r="U71" s="167" t="s">
        <v>68</v>
      </c>
      <c r="V71" s="166" t="s">
        <v>68</v>
      </c>
      <c r="W71" s="166" t="s">
        <v>68</v>
      </c>
      <c r="X71" s="166" t="s">
        <v>68</v>
      </c>
      <c r="Y71" s="166">
        <v>12</v>
      </c>
      <c r="Z71" s="166">
        <v>93</v>
      </c>
      <c r="AA71" s="166" t="s">
        <v>85</v>
      </c>
      <c r="AB71" s="170" t="s">
        <v>43</v>
      </c>
      <c r="AC71" s="170" t="s">
        <v>43</v>
      </c>
      <c r="AD71" s="170" t="s">
        <v>99</v>
      </c>
      <c r="AE71" s="166" t="s">
        <v>380</v>
      </c>
      <c r="AF71" s="170" t="s">
        <v>68</v>
      </c>
      <c r="AG71" s="202" t="s">
        <v>496</v>
      </c>
      <c r="AH71" s="172" t="s">
        <v>168</v>
      </c>
      <c r="AI71" s="34"/>
      <c r="AN71" s="25"/>
      <c r="AO71" s="25"/>
      <c r="AR71" s="25"/>
      <c r="AS71" s="25"/>
      <c r="AT71" s="25"/>
    </row>
    <row r="72" spans="1:46" ht="11.25" hidden="1">
      <c r="A72" s="31">
        <v>1</v>
      </c>
      <c r="B72" s="165" t="s">
        <v>226</v>
      </c>
      <c r="C72" s="166">
        <v>0</v>
      </c>
      <c r="D72" s="166">
        <v>26</v>
      </c>
      <c r="E72" s="166">
        <v>-0.3</v>
      </c>
      <c r="F72" s="166">
        <v>26</v>
      </c>
      <c r="G72" s="169">
        <v>0.25</v>
      </c>
      <c r="H72" s="168">
        <v>5.0000000000000001E-3</v>
      </c>
      <c r="I72" s="166">
        <v>83</v>
      </c>
      <c r="J72" s="167">
        <v>150</v>
      </c>
      <c r="K72" s="166">
        <v>0.16</v>
      </c>
      <c r="L72" s="167">
        <v>100</v>
      </c>
      <c r="M72" s="166">
        <v>12</v>
      </c>
      <c r="N72" s="167">
        <v>100</v>
      </c>
      <c r="O72" s="166">
        <v>3.3</v>
      </c>
      <c r="P72" s="166">
        <v>3</v>
      </c>
      <c r="Q72" s="166">
        <v>5.5</v>
      </c>
      <c r="R72" s="166">
        <v>1.5</v>
      </c>
      <c r="S72" s="166">
        <v>20</v>
      </c>
      <c r="T72" s="166">
        <v>15</v>
      </c>
      <c r="U72" s="167" t="s">
        <v>68</v>
      </c>
      <c r="V72" s="166" t="s">
        <v>68</v>
      </c>
      <c r="W72" s="166" t="s">
        <v>68</v>
      </c>
      <c r="X72" s="166" t="s">
        <v>68</v>
      </c>
      <c r="Y72" s="166">
        <v>12</v>
      </c>
      <c r="Z72" s="166">
        <v>93</v>
      </c>
      <c r="AA72" s="166" t="s">
        <v>85</v>
      </c>
      <c r="AB72" s="170" t="s">
        <v>43</v>
      </c>
      <c r="AC72" s="170" t="s">
        <v>43</v>
      </c>
      <c r="AD72" s="170" t="s">
        <v>99</v>
      </c>
      <c r="AE72" s="166" t="s">
        <v>380</v>
      </c>
      <c r="AF72" s="170" t="s">
        <v>68</v>
      </c>
      <c r="AG72" s="202" t="s">
        <v>496</v>
      </c>
      <c r="AH72" s="172" t="s">
        <v>168</v>
      </c>
      <c r="AI72" s="34"/>
      <c r="AN72" s="25"/>
      <c r="AO72" s="25"/>
      <c r="AR72" s="25"/>
      <c r="AS72" s="25"/>
      <c r="AT72" s="25"/>
    </row>
    <row r="73" spans="1:46" ht="11.25" hidden="1">
      <c r="A73" s="31">
        <v>1</v>
      </c>
      <c r="B73" s="165" t="s">
        <v>220</v>
      </c>
      <c r="C73" s="166">
        <v>0</v>
      </c>
      <c r="D73" s="166">
        <v>26</v>
      </c>
      <c r="E73" s="166">
        <v>-0.3</v>
      </c>
      <c r="F73" s="166">
        <v>26</v>
      </c>
      <c r="G73" s="176">
        <v>0.125</v>
      </c>
      <c r="H73" s="168">
        <v>5.0000000000000001E-3</v>
      </c>
      <c r="I73" s="166">
        <v>83</v>
      </c>
      <c r="J73" s="167">
        <v>200</v>
      </c>
      <c r="K73" s="166">
        <v>0.16</v>
      </c>
      <c r="L73" s="167">
        <v>100</v>
      </c>
      <c r="M73" s="166">
        <v>12</v>
      </c>
      <c r="N73" s="167">
        <v>100</v>
      </c>
      <c r="O73" s="166">
        <v>3.3</v>
      </c>
      <c r="P73" s="166">
        <v>3</v>
      </c>
      <c r="Q73" s="166">
        <v>5.5</v>
      </c>
      <c r="R73" s="166">
        <v>1.5</v>
      </c>
      <c r="S73" s="166">
        <v>20</v>
      </c>
      <c r="T73" s="166">
        <v>15</v>
      </c>
      <c r="U73" s="167" t="s">
        <v>68</v>
      </c>
      <c r="V73" s="166" t="s">
        <v>68</v>
      </c>
      <c r="W73" s="166" t="s">
        <v>68</v>
      </c>
      <c r="X73" s="166" t="s">
        <v>68</v>
      </c>
      <c r="Y73" s="166">
        <v>12</v>
      </c>
      <c r="Z73" s="166">
        <v>93</v>
      </c>
      <c r="AA73" s="166" t="s">
        <v>85</v>
      </c>
      <c r="AB73" s="170" t="s">
        <v>43</v>
      </c>
      <c r="AC73" s="170" t="s">
        <v>43</v>
      </c>
      <c r="AD73" s="170" t="s">
        <v>99</v>
      </c>
      <c r="AE73" s="166" t="s">
        <v>380</v>
      </c>
      <c r="AF73" s="170" t="s">
        <v>68</v>
      </c>
      <c r="AG73" s="202" t="s">
        <v>496</v>
      </c>
      <c r="AH73" s="172" t="s">
        <v>168</v>
      </c>
      <c r="AI73" s="34"/>
      <c r="AN73" s="25"/>
      <c r="AO73" s="25"/>
      <c r="AR73" s="25"/>
      <c r="AS73" s="25"/>
      <c r="AT73" s="25"/>
    </row>
    <row r="74" spans="1:46" ht="22.5" hidden="1">
      <c r="A74" s="31">
        <v>1</v>
      </c>
      <c r="B74" s="165" t="s">
        <v>117</v>
      </c>
      <c r="C74" s="166">
        <v>-0.3</v>
      </c>
      <c r="D74" s="166">
        <v>26</v>
      </c>
      <c r="E74" s="166">
        <v>-0.3</v>
      </c>
      <c r="F74" s="166">
        <v>26</v>
      </c>
      <c r="G74" s="167">
        <v>200</v>
      </c>
      <c r="H74" s="168">
        <v>8.9999999999999993E-3</v>
      </c>
      <c r="I74" s="166">
        <v>10</v>
      </c>
      <c r="J74" s="167">
        <v>35</v>
      </c>
      <c r="K74" s="166">
        <v>0.5</v>
      </c>
      <c r="L74" s="167">
        <v>105</v>
      </c>
      <c r="M74" s="166">
        <v>12</v>
      </c>
      <c r="N74" s="167">
        <v>100</v>
      </c>
      <c r="O74" s="166">
        <v>5</v>
      </c>
      <c r="P74" s="166">
        <v>2.7</v>
      </c>
      <c r="Q74" s="166">
        <v>26</v>
      </c>
      <c r="R74" s="166">
        <v>0.115</v>
      </c>
      <c r="S74" s="166">
        <v>28</v>
      </c>
      <c r="T74" s="166" t="s">
        <v>68</v>
      </c>
      <c r="U74" s="167">
        <v>14</v>
      </c>
      <c r="V74" s="166">
        <v>0.4</v>
      </c>
      <c r="W74" s="166">
        <v>50</v>
      </c>
      <c r="X74" s="166">
        <v>-0.2</v>
      </c>
      <c r="Y74" s="166" t="s">
        <v>68</v>
      </c>
      <c r="Z74" s="166" t="s">
        <v>68</v>
      </c>
      <c r="AA74" s="166" t="s">
        <v>68</v>
      </c>
      <c r="AB74" s="170" t="s">
        <v>43</v>
      </c>
      <c r="AC74" s="170" t="s">
        <v>43</v>
      </c>
      <c r="AD74" s="170" t="s">
        <v>44</v>
      </c>
      <c r="AE74" s="166"/>
      <c r="AF74" s="171" t="s">
        <v>327</v>
      </c>
      <c r="AG74" s="201" t="s">
        <v>496</v>
      </c>
      <c r="AH74" s="173" t="s">
        <v>331</v>
      </c>
      <c r="AI74" s="34"/>
      <c r="AN74" s="25"/>
      <c r="AO74" s="25"/>
      <c r="AR74" s="25"/>
      <c r="AS74" s="25"/>
      <c r="AT74" s="25"/>
    </row>
    <row r="75" spans="1:46" ht="22.5" hidden="1">
      <c r="A75" s="31">
        <v>1</v>
      </c>
      <c r="B75" s="165" t="s">
        <v>118</v>
      </c>
      <c r="C75" s="166">
        <v>-0.1</v>
      </c>
      <c r="D75" s="166">
        <v>26</v>
      </c>
      <c r="E75" s="166">
        <v>-0.1</v>
      </c>
      <c r="F75" s="166">
        <v>26</v>
      </c>
      <c r="G75" s="167">
        <v>200</v>
      </c>
      <c r="H75" s="168">
        <v>8.9999999999999993E-3</v>
      </c>
      <c r="I75" s="166">
        <v>10</v>
      </c>
      <c r="J75" s="167">
        <v>35</v>
      </c>
      <c r="K75" s="166">
        <v>0.5</v>
      </c>
      <c r="L75" s="167">
        <v>105</v>
      </c>
      <c r="M75" s="166">
        <v>12</v>
      </c>
      <c r="N75" s="167">
        <v>100</v>
      </c>
      <c r="O75" s="166">
        <v>5</v>
      </c>
      <c r="P75" s="166">
        <v>2.7</v>
      </c>
      <c r="Q75" s="166">
        <v>26</v>
      </c>
      <c r="R75" s="166">
        <v>0.115</v>
      </c>
      <c r="S75" s="166">
        <v>28</v>
      </c>
      <c r="T75" s="166" t="s">
        <v>68</v>
      </c>
      <c r="U75" s="167">
        <v>14</v>
      </c>
      <c r="V75" s="166">
        <v>0.4</v>
      </c>
      <c r="W75" s="166">
        <v>50</v>
      </c>
      <c r="X75" s="166">
        <v>-0.2</v>
      </c>
      <c r="Y75" s="166" t="s">
        <v>68</v>
      </c>
      <c r="Z75" s="166" t="s">
        <v>68</v>
      </c>
      <c r="AA75" s="166" t="s">
        <v>68</v>
      </c>
      <c r="AB75" s="170" t="s">
        <v>43</v>
      </c>
      <c r="AC75" s="170" t="s">
        <v>43</v>
      </c>
      <c r="AD75" s="170" t="s">
        <v>44</v>
      </c>
      <c r="AE75" s="166"/>
      <c r="AF75" s="171" t="s">
        <v>327</v>
      </c>
      <c r="AG75" s="201" t="s">
        <v>496</v>
      </c>
      <c r="AH75" s="173" t="s">
        <v>331</v>
      </c>
      <c r="AI75" s="34"/>
      <c r="AN75" s="25"/>
      <c r="AO75" s="25"/>
      <c r="AR75" s="25"/>
      <c r="AS75" s="25"/>
      <c r="AT75" s="25"/>
    </row>
    <row r="76" spans="1:46" ht="22.5" hidden="1">
      <c r="A76" s="31">
        <v>1</v>
      </c>
      <c r="B76" s="165" t="s">
        <v>119</v>
      </c>
      <c r="C76" s="166">
        <v>-0.1</v>
      </c>
      <c r="D76" s="166">
        <v>26</v>
      </c>
      <c r="E76" s="166">
        <v>-0.1</v>
      </c>
      <c r="F76" s="166">
        <v>26</v>
      </c>
      <c r="G76" s="167">
        <v>200</v>
      </c>
      <c r="H76" s="168">
        <v>4.0000000000000001E-3</v>
      </c>
      <c r="I76" s="166">
        <v>10</v>
      </c>
      <c r="J76" s="167">
        <v>35</v>
      </c>
      <c r="K76" s="166">
        <v>0.5</v>
      </c>
      <c r="L76" s="167">
        <v>105</v>
      </c>
      <c r="M76" s="166">
        <v>12</v>
      </c>
      <c r="N76" s="167">
        <v>100</v>
      </c>
      <c r="O76" s="166">
        <v>5</v>
      </c>
      <c r="P76" s="166">
        <v>2.7</v>
      </c>
      <c r="Q76" s="166">
        <v>26</v>
      </c>
      <c r="R76" s="166">
        <v>0.115</v>
      </c>
      <c r="S76" s="166">
        <v>28</v>
      </c>
      <c r="T76" s="166" t="s">
        <v>68</v>
      </c>
      <c r="U76" s="167">
        <v>14</v>
      </c>
      <c r="V76" s="166">
        <v>0.4</v>
      </c>
      <c r="W76" s="166">
        <v>50</v>
      </c>
      <c r="X76" s="166">
        <v>-0.2</v>
      </c>
      <c r="Y76" s="166" t="s">
        <v>68</v>
      </c>
      <c r="Z76" s="166" t="s">
        <v>68</v>
      </c>
      <c r="AA76" s="166" t="s">
        <v>68</v>
      </c>
      <c r="AB76" s="170" t="s">
        <v>43</v>
      </c>
      <c r="AC76" s="170" t="s">
        <v>43</v>
      </c>
      <c r="AD76" s="170" t="s">
        <v>44</v>
      </c>
      <c r="AE76" s="166"/>
      <c r="AF76" s="171" t="s">
        <v>327</v>
      </c>
      <c r="AG76" s="201" t="s">
        <v>496</v>
      </c>
      <c r="AH76" s="173" t="s">
        <v>331</v>
      </c>
      <c r="AI76" s="34"/>
      <c r="AN76" s="25"/>
      <c r="AO76" s="25"/>
      <c r="AR76" s="25"/>
      <c r="AS76" s="25"/>
      <c r="AT76" s="25"/>
    </row>
    <row r="77" spans="1:46" ht="11.25" hidden="1">
      <c r="A77" s="31">
        <v>1</v>
      </c>
      <c r="B77" s="165" t="s">
        <v>120</v>
      </c>
      <c r="C77" s="166">
        <v>-0.3</v>
      </c>
      <c r="D77" s="166">
        <v>26</v>
      </c>
      <c r="E77" s="166">
        <v>-0.3</v>
      </c>
      <c r="F77" s="166">
        <v>26</v>
      </c>
      <c r="G77" s="167">
        <v>500</v>
      </c>
      <c r="H77" s="168">
        <v>8.9999999999999993E-3</v>
      </c>
      <c r="I77" s="166">
        <v>10</v>
      </c>
      <c r="J77" s="167">
        <v>35</v>
      </c>
      <c r="K77" s="166">
        <v>0.5</v>
      </c>
      <c r="L77" s="167">
        <v>105</v>
      </c>
      <c r="M77" s="166">
        <v>12</v>
      </c>
      <c r="N77" s="167">
        <v>100</v>
      </c>
      <c r="O77" s="166">
        <v>12</v>
      </c>
      <c r="P77" s="166">
        <v>2.7</v>
      </c>
      <c r="Q77" s="166">
        <v>26</v>
      </c>
      <c r="R77" s="166">
        <v>0.115</v>
      </c>
      <c r="S77" s="166">
        <v>28</v>
      </c>
      <c r="T77" s="166" t="s">
        <v>68</v>
      </c>
      <c r="U77" s="167">
        <v>7</v>
      </c>
      <c r="V77" s="166">
        <v>0.4</v>
      </c>
      <c r="W77" s="166">
        <v>50</v>
      </c>
      <c r="X77" s="166">
        <v>-0.2</v>
      </c>
      <c r="Y77" s="166" t="s">
        <v>68</v>
      </c>
      <c r="Z77" s="166" t="s">
        <v>68</v>
      </c>
      <c r="AA77" s="166" t="s">
        <v>68</v>
      </c>
      <c r="AB77" s="170" t="s">
        <v>43</v>
      </c>
      <c r="AC77" s="170" t="s">
        <v>43</v>
      </c>
      <c r="AD77" s="170" t="s">
        <v>44</v>
      </c>
      <c r="AE77" s="166"/>
      <c r="AF77" s="171" t="s">
        <v>327</v>
      </c>
      <c r="AG77" s="201" t="s">
        <v>496</v>
      </c>
      <c r="AH77" s="172" t="s">
        <v>154</v>
      </c>
      <c r="AI77" s="34"/>
      <c r="AN77" s="25"/>
      <c r="AO77" s="25"/>
      <c r="AR77" s="25"/>
      <c r="AS77" s="25"/>
      <c r="AT77" s="25"/>
    </row>
    <row r="78" spans="1:46" ht="22.5" hidden="1">
      <c r="A78" s="31">
        <v>1</v>
      </c>
      <c r="B78" s="165" t="s">
        <v>121</v>
      </c>
      <c r="C78" s="166">
        <v>-0.1</v>
      </c>
      <c r="D78" s="166">
        <v>26</v>
      </c>
      <c r="E78" s="166">
        <v>-0.1</v>
      </c>
      <c r="F78" s="166">
        <v>26</v>
      </c>
      <c r="G78" s="167">
        <v>500</v>
      </c>
      <c r="H78" s="168">
        <v>8.9999999999999993E-3</v>
      </c>
      <c r="I78" s="166">
        <v>10</v>
      </c>
      <c r="J78" s="167">
        <v>35</v>
      </c>
      <c r="K78" s="166">
        <v>0.5</v>
      </c>
      <c r="L78" s="167">
        <v>105</v>
      </c>
      <c r="M78" s="166">
        <v>12</v>
      </c>
      <c r="N78" s="167">
        <v>100</v>
      </c>
      <c r="O78" s="166">
        <v>12</v>
      </c>
      <c r="P78" s="166">
        <v>2.7</v>
      </c>
      <c r="Q78" s="166">
        <v>26</v>
      </c>
      <c r="R78" s="166">
        <v>0.115</v>
      </c>
      <c r="S78" s="166">
        <v>28</v>
      </c>
      <c r="T78" s="166" t="s">
        <v>68</v>
      </c>
      <c r="U78" s="167">
        <v>7</v>
      </c>
      <c r="V78" s="166">
        <v>0.4</v>
      </c>
      <c r="W78" s="166">
        <v>50</v>
      </c>
      <c r="X78" s="166">
        <v>-0.2</v>
      </c>
      <c r="Y78" s="166" t="s">
        <v>68</v>
      </c>
      <c r="Z78" s="166" t="s">
        <v>68</v>
      </c>
      <c r="AA78" s="166" t="s">
        <v>68</v>
      </c>
      <c r="AB78" s="170" t="s">
        <v>43</v>
      </c>
      <c r="AC78" s="170" t="s">
        <v>43</v>
      </c>
      <c r="AD78" s="170" t="s">
        <v>44</v>
      </c>
      <c r="AE78" s="166"/>
      <c r="AF78" s="171" t="s">
        <v>327</v>
      </c>
      <c r="AG78" s="201" t="s">
        <v>496</v>
      </c>
      <c r="AH78" s="173" t="s">
        <v>331</v>
      </c>
      <c r="AI78" s="34"/>
      <c r="AN78" s="25"/>
      <c r="AO78" s="25"/>
      <c r="AR78" s="25"/>
      <c r="AS78" s="25"/>
      <c r="AT78" s="25"/>
    </row>
    <row r="79" spans="1:46" ht="22.5" hidden="1">
      <c r="A79" s="31">
        <v>1</v>
      </c>
      <c r="B79" s="165" t="s">
        <v>122</v>
      </c>
      <c r="C79" s="166">
        <v>-0.1</v>
      </c>
      <c r="D79" s="166">
        <v>26</v>
      </c>
      <c r="E79" s="166">
        <v>-0.1</v>
      </c>
      <c r="F79" s="166">
        <v>26</v>
      </c>
      <c r="G79" s="167">
        <v>500</v>
      </c>
      <c r="H79" s="168">
        <v>4.0000000000000001E-3</v>
      </c>
      <c r="I79" s="166">
        <v>10</v>
      </c>
      <c r="J79" s="167">
        <v>35</v>
      </c>
      <c r="K79" s="166">
        <v>0.5</v>
      </c>
      <c r="L79" s="167">
        <v>105</v>
      </c>
      <c r="M79" s="166">
        <v>12</v>
      </c>
      <c r="N79" s="167">
        <v>100</v>
      </c>
      <c r="O79" s="166">
        <v>12</v>
      </c>
      <c r="P79" s="166">
        <v>2.7</v>
      </c>
      <c r="Q79" s="166">
        <v>26</v>
      </c>
      <c r="R79" s="166">
        <v>0.115</v>
      </c>
      <c r="S79" s="166">
        <v>28</v>
      </c>
      <c r="T79" s="166" t="s">
        <v>68</v>
      </c>
      <c r="U79" s="167">
        <v>7</v>
      </c>
      <c r="V79" s="166">
        <v>0.4</v>
      </c>
      <c r="W79" s="166">
        <v>50</v>
      </c>
      <c r="X79" s="166">
        <v>-0.2</v>
      </c>
      <c r="Y79" s="166" t="s">
        <v>68</v>
      </c>
      <c r="Z79" s="166" t="s">
        <v>68</v>
      </c>
      <c r="AA79" s="166" t="s">
        <v>68</v>
      </c>
      <c r="AB79" s="170" t="s">
        <v>43</v>
      </c>
      <c r="AC79" s="170" t="s">
        <v>43</v>
      </c>
      <c r="AD79" s="170" t="s">
        <v>44</v>
      </c>
      <c r="AE79" s="166"/>
      <c r="AF79" s="171" t="s">
        <v>327</v>
      </c>
      <c r="AG79" s="201" t="s">
        <v>496</v>
      </c>
      <c r="AH79" s="173" t="s">
        <v>331</v>
      </c>
      <c r="AI79" s="34"/>
      <c r="AN79" s="25"/>
      <c r="AO79" s="25"/>
      <c r="AR79" s="25"/>
      <c r="AS79" s="25"/>
      <c r="AT79" s="25"/>
    </row>
    <row r="80" spans="1:46" ht="11.25" hidden="1">
      <c r="A80" s="31">
        <v>1</v>
      </c>
      <c r="B80" s="165" t="s">
        <v>126</v>
      </c>
      <c r="C80" s="166">
        <v>-0.3</v>
      </c>
      <c r="D80" s="166">
        <v>26</v>
      </c>
      <c r="E80" s="166">
        <v>-0.3</v>
      </c>
      <c r="F80" s="166">
        <v>26</v>
      </c>
      <c r="G80" s="167">
        <v>1000</v>
      </c>
      <c r="H80" s="168">
        <v>8.9999999999999993E-3</v>
      </c>
      <c r="I80" s="166">
        <v>10</v>
      </c>
      <c r="J80" s="167">
        <v>35</v>
      </c>
      <c r="K80" s="166">
        <v>0.5</v>
      </c>
      <c r="L80" s="167">
        <v>105</v>
      </c>
      <c r="M80" s="166">
        <v>12</v>
      </c>
      <c r="N80" s="167">
        <v>100</v>
      </c>
      <c r="O80" s="166">
        <v>12</v>
      </c>
      <c r="P80" s="166">
        <v>2.7</v>
      </c>
      <c r="Q80" s="166">
        <v>26</v>
      </c>
      <c r="R80" s="166">
        <v>0.115</v>
      </c>
      <c r="S80" s="166">
        <v>28</v>
      </c>
      <c r="T80" s="166" t="s">
        <v>68</v>
      </c>
      <c r="U80" s="167">
        <v>4</v>
      </c>
      <c r="V80" s="166">
        <v>0.4</v>
      </c>
      <c r="W80" s="166">
        <v>50</v>
      </c>
      <c r="X80" s="166">
        <v>-0.2</v>
      </c>
      <c r="Y80" s="166" t="s">
        <v>68</v>
      </c>
      <c r="Z80" s="166" t="s">
        <v>68</v>
      </c>
      <c r="AA80" s="166" t="s">
        <v>68</v>
      </c>
      <c r="AB80" s="170" t="s">
        <v>43</v>
      </c>
      <c r="AC80" s="170" t="s">
        <v>43</v>
      </c>
      <c r="AD80" s="170" t="s">
        <v>44</v>
      </c>
      <c r="AE80" s="166"/>
      <c r="AF80" s="171" t="s">
        <v>327</v>
      </c>
      <c r="AG80" s="201" t="s">
        <v>496</v>
      </c>
      <c r="AH80" s="172" t="s">
        <v>154</v>
      </c>
      <c r="AI80" s="34"/>
      <c r="AN80" s="25"/>
      <c r="AO80" s="25"/>
      <c r="AR80" s="25"/>
      <c r="AS80" s="25"/>
      <c r="AT80" s="25"/>
    </row>
    <row r="81" spans="1:46" ht="22.5" hidden="1">
      <c r="A81" s="31">
        <v>1</v>
      </c>
      <c r="B81" s="165" t="s">
        <v>127</v>
      </c>
      <c r="C81" s="166">
        <v>-0.1</v>
      </c>
      <c r="D81" s="166">
        <v>26</v>
      </c>
      <c r="E81" s="166">
        <v>-0.1</v>
      </c>
      <c r="F81" s="166">
        <v>26</v>
      </c>
      <c r="G81" s="167">
        <v>1000</v>
      </c>
      <c r="H81" s="168">
        <v>8.9999999999999993E-3</v>
      </c>
      <c r="I81" s="166">
        <v>10</v>
      </c>
      <c r="J81" s="167">
        <v>35</v>
      </c>
      <c r="K81" s="166">
        <v>0.5</v>
      </c>
      <c r="L81" s="167">
        <v>105</v>
      </c>
      <c r="M81" s="166">
        <v>12</v>
      </c>
      <c r="N81" s="167">
        <v>100</v>
      </c>
      <c r="O81" s="166">
        <v>12</v>
      </c>
      <c r="P81" s="166">
        <v>2.7</v>
      </c>
      <c r="Q81" s="166">
        <v>26</v>
      </c>
      <c r="R81" s="166">
        <v>0.115</v>
      </c>
      <c r="S81" s="166">
        <v>28</v>
      </c>
      <c r="T81" s="166" t="s">
        <v>68</v>
      </c>
      <c r="U81" s="167">
        <v>4</v>
      </c>
      <c r="V81" s="166">
        <v>0.4</v>
      </c>
      <c r="W81" s="166">
        <v>50</v>
      </c>
      <c r="X81" s="166">
        <v>-0.2</v>
      </c>
      <c r="Y81" s="166" t="s">
        <v>68</v>
      </c>
      <c r="Z81" s="166" t="s">
        <v>68</v>
      </c>
      <c r="AA81" s="166" t="s">
        <v>68</v>
      </c>
      <c r="AB81" s="170" t="s">
        <v>43</v>
      </c>
      <c r="AC81" s="170" t="s">
        <v>43</v>
      </c>
      <c r="AD81" s="170" t="s">
        <v>44</v>
      </c>
      <c r="AE81" s="166"/>
      <c r="AF81" s="171" t="s">
        <v>327</v>
      </c>
      <c r="AG81" s="201" t="s">
        <v>496</v>
      </c>
      <c r="AH81" s="173" t="s">
        <v>331</v>
      </c>
      <c r="AI81" s="34"/>
      <c r="AN81" s="25"/>
      <c r="AO81" s="25"/>
      <c r="AR81" s="25"/>
      <c r="AS81" s="25"/>
      <c r="AT81" s="25"/>
    </row>
    <row r="82" spans="1:46" ht="22.5" hidden="1">
      <c r="A82" s="31">
        <v>1</v>
      </c>
      <c r="B82" s="165" t="s">
        <v>128</v>
      </c>
      <c r="C82" s="166">
        <v>-0.1</v>
      </c>
      <c r="D82" s="166">
        <v>26</v>
      </c>
      <c r="E82" s="166">
        <v>-0.1</v>
      </c>
      <c r="F82" s="166">
        <v>26</v>
      </c>
      <c r="G82" s="167">
        <v>1000</v>
      </c>
      <c r="H82" s="168">
        <v>4.0000000000000001E-3</v>
      </c>
      <c r="I82" s="166">
        <v>10</v>
      </c>
      <c r="J82" s="167">
        <v>35</v>
      </c>
      <c r="K82" s="166">
        <v>0.5</v>
      </c>
      <c r="L82" s="167">
        <v>105</v>
      </c>
      <c r="M82" s="166">
        <v>12</v>
      </c>
      <c r="N82" s="167">
        <v>100</v>
      </c>
      <c r="O82" s="166">
        <v>12</v>
      </c>
      <c r="P82" s="166">
        <v>2.7</v>
      </c>
      <c r="Q82" s="166">
        <v>26</v>
      </c>
      <c r="R82" s="166">
        <v>0.115</v>
      </c>
      <c r="S82" s="166">
        <v>28</v>
      </c>
      <c r="T82" s="166" t="s">
        <v>68</v>
      </c>
      <c r="U82" s="167">
        <v>4</v>
      </c>
      <c r="V82" s="166">
        <v>0.4</v>
      </c>
      <c r="W82" s="166">
        <v>50</v>
      </c>
      <c r="X82" s="166">
        <v>-0.2</v>
      </c>
      <c r="Y82" s="166" t="s">
        <v>68</v>
      </c>
      <c r="Z82" s="166" t="s">
        <v>68</v>
      </c>
      <c r="AA82" s="166" t="s">
        <v>68</v>
      </c>
      <c r="AB82" s="170" t="s">
        <v>43</v>
      </c>
      <c r="AC82" s="170" t="s">
        <v>43</v>
      </c>
      <c r="AD82" s="170" t="s">
        <v>44</v>
      </c>
      <c r="AE82" s="166"/>
      <c r="AF82" s="171" t="s">
        <v>327</v>
      </c>
      <c r="AG82" s="201" t="s">
        <v>496</v>
      </c>
      <c r="AH82" s="173" t="s">
        <v>331</v>
      </c>
      <c r="AI82" s="34"/>
      <c r="AN82" s="25"/>
      <c r="AO82" s="25"/>
      <c r="AR82" s="25"/>
      <c r="AS82" s="25"/>
      <c r="AT82" s="25"/>
    </row>
    <row r="83" spans="1:46" ht="22.5" hidden="1">
      <c r="A83" s="31">
        <v>1</v>
      </c>
      <c r="B83" s="165" t="s">
        <v>123</v>
      </c>
      <c r="C83" s="166">
        <v>-0.3</v>
      </c>
      <c r="D83" s="166">
        <v>26</v>
      </c>
      <c r="E83" s="166">
        <v>-0.3</v>
      </c>
      <c r="F83" s="166">
        <v>26</v>
      </c>
      <c r="G83" s="167">
        <v>50</v>
      </c>
      <c r="H83" s="168">
        <v>8.9999999999999993E-3</v>
      </c>
      <c r="I83" s="166">
        <v>10</v>
      </c>
      <c r="J83" s="167">
        <v>100</v>
      </c>
      <c r="K83" s="166">
        <v>0.5</v>
      </c>
      <c r="L83" s="167">
        <v>100</v>
      </c>
      <c r="M83" s="166">
        <v>12</v>
      </c>
      <c r="N83" s="167">
        <v>100</v>
      </c>
      <c r="O83" s="166">
        <v>5</v>
      </c>
      <c r="P83" s="166">
        <v>2.7</v>
      </c>
      <c r="Q83" s="166">
        <v>26</v>
      </c>
      <c r="R83" s="166">
        <v>0.115</v>
      </c>
      <c r="S83" s="166">
        <v>28</v>
      </c>
      <c r="T83" s="166" t="s">
        <v>68</v>
      </c>
      <c r="U83" s="167">
        <v>80</v>
      </c>
      <c r="V83" s="166">
        <v>0.4</v>
      </c>
      <c r="W83" s="166">
        <v>50</v>
      </c>
      <c r="X83" s="166">
        <v>-0.2</v>
      </c>
      <c r="Y83" s="166" t="s">
        <v>68</v>
      </c>
      <c r="Z83" s="166" t="s">
        <v>68</v>
      </c>
      <c r="AA83" s="166" t="s">
        <v>68</v>
      </c>
      <c r="AB83" s="170" t="s">
        <v>43</v>
      </c>
      <c r="AC83" s="170" t="s">
        <v>43</v>
      </c>
      <c r="AD83" s="170" t="s">
        <v>44</v>
      </c>
      <c r="AE83" s="166"/>
      <c r="AF83" s="171" t="s">
        <v>327</v>
      </c>
      <c r="AG83" s="201" t="s">
        <v>496</v>
      </c>
      <c r="AH83" s="173" t="s">
        <v>331</v>
      </c>
      <c r="AI83" s="34"/>
      <c r="AN83" s="25"/>
      <c r="AO83" s="25"/>
      <c r="AR83" s="25"/>
      <c r="AS83" s="25"/>
      <c r="AT83" s="25"/>
    </row>
    <row r="84" spans="1:46" ht="22.5" hidden="1">
      <c r="A84" s="31">
        <v>1</v>
      </c>
      <c r="B84" s="165" t="s">
        <v>124</v>
      </c>
      <c r="C84" s="166">
        <v>-0.1</v>
      </c>
      <c r="D84" s="166">
        <v>26</v>
      </c>
      <c r="E84" s="166">
        <v>-0.1</v>
      </c>
      <c r="F84" s="166">
        <v>26</v>
      </c>
      <c r="G84" s="167">
        <v>50</v>
      </c>
      <c r="H84" s="168">
        <v>8.9999999999999993E-3</v>
      </c>
      <c r="I84" s="166">
        <v>10</v>
      </c>
      <c r="J84" s="167">
        <v>100</v>
      </c>
      <c r="K84" s="166">
        <v>0.5</v>
      </c>
      <c r="L84" s="167">
        <v>100</v>
      </c>
      <c r="M84" s="166">
        <v>12</v>
      </c>
      <c r="N84" s="167">
        <v>100</v>
      </c>
      <c r="O84" s="166">
        <v>5</v>
      </c>
      <c r="P84" s="166">
        <v>2.7</v>
      </c>
      <c r="Q84" s="166">
        <v>26</v>
      </c>
      <c r="R84" s="166">
        <v>0.115</v>
      </c>
      <c r="S84" s="166">
        <v>28</v>
      </c>
      <c r="T84" s="166" t="s">
        <v>68</v>
      </c>
      <c r="U84" s="167">
        <v>80</v>
      </c>
      <c r="V84" s="166">
        <v>0.4</v>
      </c>
      <c r="W84" s="166">
        <v>50</v>
      </c>
      <c r="X84" s="166">
        <v>-0.2</v>
      </c>
      <c r="Y84" s="166" t="s">
        <v>68</v>
      </c>
      <c r="Z84" s="166" t="s">
        <v>68</v>
      </c>
      <c r="AA84" s="166" t="s">
        <v>68</v>
      </c>
      <c r="AB84" s="170" t="s">
        <v>43</v>
      </c>
      <c r="AC84" s="170" t="s">
        <v>43</v>
      </c>
      <c r="AD84" s="170" t="s">
        <v>44</v>
      </c>
      <c r="AE84" s="166"/>
      <c r="AF84" s="171" t="s">
        <v>327</v>
      </c>
      <c r="AG84" s="201" t="s">
        <v>496</v>
      </c>
      <c r="AH84" s="173" t="s">
        <v>331</v>
      </c>
      <c r="AI84" s="34"/>
      <c r="AN84" s="25"/>
      <c r="AO84" s="25"/>
      <c r="AR84" s="25"/>
      <c r="AS84" s="25"/>
      <c r="AT84" s="25"/>
    </row>
    <row r="85" spans="1:46" ht="22.5" hidden="1">
      <c r="A85" s="31">
        <v>1</v>
      </c>
      <c r="B85" s="165" t="s">
        <v>125</v>
      </c>
      <c r="C85" s="166">
        <v>-0.1</v>
      </c>
      <c r="D85" s="166">
        <v>26</v>
      </c>
      <c r="E85" s="166">
        <v>-0.1</v>
      </c>
      <c r="F85" s="166">
        <v>26</v>
      </c>
      <c r="G85" s="167">
        <v>50</v>
      </c>
      <c r="H85" s="168">
        <v>4.0000000000000001E-3</v>
      </c>
      <c r="I85" s="166">
        <v>10</v>
      </c>
      <c r="J85" s="167">
        <v>100</v>
      </c>
      <c r="K85" s="166">
        <v>0.5</v>
      </c>
      <c r="L85" s="167">
        <v>100</v>
      </c>
      <c r="M85" s="166">
        <v>12</v>
      </c>
      <c r="N85" s="167">
        <v>100</v>
      </c>
      <c r="O85" s="166">
        <v>5</v>
      </c>
      <c r="P85" s="166">
        <v>2.7</v>
      </c>
      <c r="Q85" s="166">
        <v>26</v>
      </c>
      <c r="R85" s="166">
        <v>0.115</v>
      </c>
      <c r="S85" s="166">
        <v>28</v>
      </c>
      <c r="T85" s="166" t="s">
        <v>68</v>
      </c>
      <c r="U85" s="167">
        <v>80</v>
      </c>
      <c r="V85" s="166">
        <v>0.4</v>
      </c>
      <c r="W85" s="166">
        <v>50</v>
      </c>
      <c r="X85" s="166">
        <v>-0.2</v>
      </c>
      <c r="Y85" s="166" t="s">
        <v>68</v>
      </c>
      <c r="Z85" s="166" t="s">
        <v>68</v>
      </c>
      <c r="AA85" s="166" t="s">
        <v>68</v>
      </c>
      <c r="AB85" s="170" t="s">
        <v>43</v>
      </c>
      <c r="AC85" s="170" t="s">
        <v>43</v>
      </c>
      <c r="AD85" s="170" t="s">
        <v>44</v>
      </c>
      <c r="AE85" s="166"/>
      <c r="AF85" s="171" t="s">
        <v>327</v>
      </c>
      <c r="AG85" s="201" t="s">
        <v>496</v>
      </c>
      <c r="AH85" s="173" t="s">
        <v>331</v>
      </c>
      <c r="AI85" s="34"/>
      <c r="AN85" s="25"/>
      <c r="AO85" s="25"/>
      <c r="AR85" s="25"/>
      <c r="AS85" s="25"/>
      <c r="AT85" s="25"/>
    </row>
    <row r="86" spans="1:46" ht="22.5" hidden="1">
      <c r="A86" s="31">
        <v>1</v>
      </c>
      <c r="B86" s="165" t="s">
        <v>129</v>
      </c>
      <c r="C86" s="166">
        <v>-0.3</v>
      </c>
      <c r="D86" s="166">
        <v>26</v>
      </c>
      <c r="E86" s="166">
        <v>-0.3</v>
      </c>
      <c r="F86" s="166">
        <v>26</v>
      </c>
      <c r="G86" s="167">
        <v>100</v>
      </c>
      <c r="H86" s="168">
        <v>8.9999999999999993E-3</v>
      </c>
      <c r="I86" s="166">
        <v>10</v>
      </c>
      <c r="J86" s="167">
        <v>60</v>
      </c>
      <c r="K86" s="166">
        <v>0.5</v>
      </c>
      <c r="L86" s="167">
        <v>105</v>
      </c>
      <c r="M86" s="166">
        <v>12</v>
      </c>
      <c r="N86" s="167">
        <v>100</v>
      </c>
      <c r="O86" s="166">
        <v>5</v>
      </c>
      <c r="P86" s="166">
        <v>2.7</v>
      </c>
      <c r="Q86" s="166">
        <v>26</v>
      </c>
      <c r="R86" s="166">
        <v>0.115</v>
      </c>
      <c r="S86" s="166">
        <v>28</v>
      </c>
      <c r="T86" s="166" t="s">
        <v>68</v>
      </c>
      <c r="U86" s="167">
        <v>30</v>
      </c>
      <c r="V86" s="166">
        <v>0.4</v>
      </c>
      <c r="W86" s="166">
        <v>50</v>
      </c>
      <c r="X86" s="166">
        <v>-0.2</v>
      </c>
      <c r="Y86" s="166" t="s">
        <v>68</v>
      </c>
      <c r="Z86" s="166" t="s">
        <v>68</v>
      </c>
      <c r="AA86" s="166" t="s">
        <v>68</v>
      </c>
      <c r="AB86" s="170" t="s">
        <v>43</v>
      </c>
      <c r="AC86" s="170" t="s">
        <v>43</v>
      </c>
      <c r="AD86" s="170" t="s">
        <v>44</v>
      </c>
      <c r="AE86" s="166"/>
      <c r="AF86" s="171" t="s">
        <v>327</v>
      </c>
      <c r="AG86" s="201" t="s">
        <v>496</v>
      </c>
      <c r="AH86" s="173" t="s">
        <v>331</v>
      </c>
      <c r="AI86" s="34"/>
      <c r="AN86" s="25"/>
      <c r="AO86" s="25"/>
      <c r="AR86" s="25"/>
      <c r="AS86" s="25"/>
      <c r="AT86" s="25"/>
    </row>
    <row r="87" spans="1:46" ht="22.5" hidden="1">
      <c r="A87" s="31">
        <v>1</v>
      </c>
      <c r="B87" s="165" t="s">
        <v>130</v>
      </c>
      <c r="C87" s="166">
        <v>-0.1</v>
      </c>
      <c r="D87" s="166">
        <v>26</v>
      </c>
      <c r="E87" s="166">
        <v>-0.1</v>
      </c>
      <c r="F87" s="166">
        <v>26</v>
      </c>
      <c r="G87" s="167">
        <v>100</v>
      </c>
      <c r="H87" s="168">
        <v>8.9999999999999993E-3</v>
      </c>
      <c r="I87" s="166">
        <v>10</v>
      </c>
      <c r="J87" s="167">
        <v>60</v>
      </c>
      <c r="K87" s="166">
        <v>0.5</v>
      </c>
      <c r="L87" s="167">
        <v>105</v>
      </c>
      <c r="M87" s="166">
        <v>12</v>
      </c>
      <c r="N87" s="167">
        <v>100</v>
      </c>
      <c r="O87" s="166">
        <v>5</v>
      </c>
      <c r="P87" s="166">
        <v>2.7</v>
      </c>
      <c r="Q87" s="166">
        <v>26</v>
      </c>
      <c r="R87" s="166">
        <v>0.115</v>
      </c>
      <c r="S87" s="166">
        <v>28</v>
      </c>
      <c r="T87" s="166" t="s">
        <v>68</v>
      </c>
      <c r="U87" s="167">
        <v>30</v>
      </c>
      <c r="V87" s="166">
        <v>0.4</v>
      </c>
      <c r="W87" s="166">
        <v>50</v>
      </c>
      <c r="X87" s="166">
        <v>-0.2</v>
      </c>
      <c r="Y87" s="166" t="s">
        <v>68</v>
      </c>
      <c r="Z87" s="166" t="s">
        <v>68</v>
      </c>
      <c r="AA87" s="166" t="s">
        <v>68</v>
      </c>
      <c r="AB87" s="170" t="s">
        <v>43</v>
      </c>
      <c r="AC87" s="170" t="s">
        <v>43</v>
      </c>
      <c r="AD87" s="170" t="s">
        <v>44</v>
      </c>
      <c r="AE87" s="166"/>
      <c r="AF87" s="171" t="s">
        <v>327</v>
      </c>
      <c r="AG87" s="201" t="s">
        <v>496</v>
      </c>
      <c r="AH87" s="173" t="s">
        <v>331</v>
      </c>
      <c r="AI87" s="34"/>
      <c r="AN87" s="25"/>
      <c r="AO87" s="25"/>
      <c r="AR87" s="25"/>
      <c r="AS87" s="25"/>
      <c r="AT87" s="25"/>
    </row>
    <row r="88" spans="1:46" ht="22.5" hidden="1">
      <c r="A88" s="31">
        <v>1</v>
      </c>
      <c r="B88" s="165" t="s">
        <v>131</v>
      </c>
      <c r="C88" s="166">
        <v>-0.1</v>
      </c>
      <c r="D88" s="166">
        <v>26</v>
      </c>
      <c r="E88" s="166">
        <v>-0.1</v>
      </c>
      <c r="F88" s="166">
        <v>26</v>
      </c>
      <c r="G88" s="167">
        <v>100</v>
      </c>
      <c r="H88" s="168">
        <v>4.0000000000000001E-3</v>
      </c>
      <c r="I88" s="166">
        <v>10</v>
      </c>
      <c r="J88" s="167">
        <v>60</v>
      </c>
      <c r="K88" s="166">
        <v>0.5</v>
      </c>
      <c r="L88" s="167">
        <v>105</v>
      </c>
      <c r="M88" s="166">
        <v>12</v>
      </c>
      <c r="N88" s="167">
        <v>100</v>
      </c>
      <c r="O88" s="166">
        <v>5</v>
      </c>
      <c r="P88" s="166">
        <v>2.7</v>
      </c>
      <c r="Q88" s="166">
        <v>26</v>
      </c>
      <c r="R88" s="166">
        <v>0.115</v>
      </c>
      <c r="S88" s="166">
        <v>28</v>
      </c>
      <c r="T88" s="166" t="s">
        <v>68</v>
      </c>
      <c r="U88" s="167">
        <v>30</v>
      </c>
      <c r="V88" s="166">
        <v>0.4</v>
      </c>
      <c r="W88" s="166">
        <v>50</v>
      </c>
      <c r="X88" s="166">
        <v>-0.2</v>
      </c>
      <c r="Y88" s="166" t="s">
        <v>68</v>
      </c>
      <c r="Z88" s="166" t="s">
        <v>68</v>
      </c>
      <c r="AA88" s="166" t="s">
        <v>68</v>
      </c>
      <c r="AB88" s="170" t="s">
        <v>43</v>
      </c>
      <c r="AC88" s="170" t="s">
        <v>43</v>
      </c>
      <c r="AD88" s="170" t="s">
        <v>44</v>
      </c>
      <c r="AE88" s="166"/>
      <c r="AF88" s="171" t="s">
        <v>327</v>
      </c>
      <c r="AG88" s="201" t="s">
        <v>496</v>
      </c>
      <c r="AH88" s="173" t="s">
        <v>331</v>
      </c>
      <c r="AI88" s="34"/>
      <c r="AN88" s="25"/>
      <c r="AO88" s="25"/>
      <c r="AR88" s="25"/>
      <c r="AS88" s="25"/>
      <c r="AT88" s="25"/>
    </row>
    <row r="89" spans="1:46" ht="11.25" hidden="1">
      <c r="A89" s="31">
        <v>1</v>
      </c>
      <c r="B89" s="165" t="s">
        <v>132</v>
      </c>
      <c r="C89" s="166">
        <v>-0.3</v>
      </c>
      <c r="D89" s="166">
        <v>26</v>
      </c>
      <c r="E89" s="166">
        <v>-0.3</v>
      </c>
      <c r="F89" s="166">
        <v>26</v>
      </c>
      <c r="G89" s="167">
        <v>75</v>
      </c>
      <c r="H89" s="168">
        <v>8.9999999999999993E-3</v>
      </c>
      <c r="I89" s="166">
        <v>10</v>
      </c>
      <c r="J89" s="167">
        <v>60</v>
      </c>
      <c r="K89" s="166">
        <v>0.5</v>
      </c>
      <c r="L89" s="167">
        <v>105</v>
      </c>
      <c r="M89" s="166">
        <v>12</v>
      </c>
      <c r="N89" s="167">
        <v>100</v>
      </c>
      <c r="O89" s="166">
        <v>5</v>
      </c>
      <c r="P89" s="166">
        <v>2.7</v>
      </c>
      <c r="Q89" s="166">
        <v>26</v>
      </c>
      <c r="R89" s="166">
        <v>0.115</v>
      </c>
      <c r="S89" s="166">
        <v>28</v>
      </c>
      <c r="T89" s="166" t="s">
        <v>68</v>
      </c>
      <c r="U89" s="167">
        <v>40</v>
      </c>
      <c r="V89" s="166">
        <v>0.4</v>
      </c>
      <c r="W89" s="166">
        <v>50</v>
      </c>
      <c r="X89" s="166">
        <v>-0.2</v>
      </c>
      <c r="Y89" s="166" t="s">
        <v>68</v>
      </c>
      <c r="Z89" s="166" t="s">
        <v>68</v>
      </c>
      <c r="AA89" s="166" t="s">
        <v>68</v>
      </c>
      <c r="AB89" s="170" t="s">
        <v>43</v>
      </c>
      <c r="AC89" s="170" t="s">
        <v>43</v>
      </c>
      <c r="AD89" s="170" t="s">
        <v>44</v>
      </c>
      <c r="AE89" s="166"/>
      <c r="AF89" s="171" t="s">
        <v>327</v>
      </c>
      <c r="AG89" s="201" t="s">
        <v>496</v>
      </c>
      <c r="AH89" s="172" t="s">
        <v>154</v>
      </c>
      <c r="AI89" s="34"/>
      <c r="AN89" s="25"/>
      <c r="AO89" s="25"/>
      <c r="AR89" s="25"/>
      <c r="AS89" s="25"/>
      <c r="AT89" s="25"/>
    </row>
    <row r="90" spans="1:46" ht="22.5" hidden="1">
      <c r="A90" s="31">
        <v>1</v>
      </c>
      <c r="B90" s="165" t="s">
        <v>133</v>
      </c>
      <c r="C90" s="166">
        <v>-0.1</v>
      </c>
      <c r="D90" s="166">
        <v>26</v>
      </c>
      <c r="E90" s="166">
        <v>-0.1</v>
      </c>
      <c r="F90" s="166">
        <v>26</v>
      </c>
      <c r="G90" s="167">
        <v>75</v>
      </c>
      <c r="H90" s="168">
        <v>8.9999999999999993E-3</v>
      </c>
      <c r="I90" s="166">
        <v>10</v>
      </c>
      <c r="J90" s="167">
        <v>60</v>
      </c>
      <c r="K90" s="166">
        <v>0.5</v>
      </c>
      <c r="L90" s="167">
        <v>105</v>
      </c>
      <c r="M90" s="166">
        <v>12</v>
      </c>
      <c r="N90" s="167">
        <v>100</v>
      </c>
      <c r="O90" s="166">
        <v>5</v>
      </c>
      <c r="P90" s="166">
        <v>2.7</v>
      </c>
      <c r="Q90" s="166">
        <v>26</v>
      </c>
      <c r="R90" s="166">
        <v>0.115</v>
      </c>
      <c r="S90" s="166">
        <v>28</v>
      </c>
      <c r="T90" s="166" t="s">
        <v>68</v>
      </c>
      <c r="U90" s="167">
        <v>40</v>
      </c>
      <c r="V90" s="166">
        <v>0.4</v>
      </c>
      <c r="W90" s="166">
        <v>50</v>
      </c>
      <c r="X90" s="166">
        <v>-0.2</v>
      </c>
      <c r="Y90" s="166" t="s">
        <v>68</v>
      </c>
      <c r="Z90" s="166" t="s">
        <v>68</v>
      </c>
      <c r="AA90" s="166" t="s">
        <v>68</v>
      </c>
      <c r="AB90" s="170" t="s">
        <v>43</v>
      </c>
      <c r="AC90" s="170" t="s">
        <v>43</v>
      </c>
      <c r="AD90" s="170" t="s">
        <v>44</v>
      </c>
      <c r="AE90" s="166"/>
      <c r="AF90" s="171" t="s">
        <v>327</v>
      </c>
      <c r="AG90" s="201" t="s">
        <v>496</v>
      </c>
      <c r="AH90" s="173" t="s">
        <v>331</v>
      </c>
      <c r="AI90" s="34"/>
      <c r="AN90" s="25"/>
      <c r="AO90" s="25"/>
      <c r="AR90" s="25"/>
      <c r="AS90" s="25"/>
      <c r="AT90" s="25"/>
    </row>
    <row r="91" spans="1:46" ht="22.5" hidden="1">
      <c r="A91" s="31">
        <v>1</v>
      </c>
      <c r="B91" s="165" t="s">
        <v>134</v>
      </c>
      <c r="C91" s="166">
        <v>-0.1</v>
      </c>
      <c r="D91" s="166">
        <v>26</v>
      </c>
      <c r="E91" s="166">
        <v>-0.1</v>
      </c>
      <c r="F91" s="166">
        <v>26</v>
      </c>
      <c r="G91" s="167">
        <v>75</v>
      </c>
      <c r="H91" s="168">
        <v>4.0000000000000001E-3</v>
      </c>
      <c r="I91" s="166">
        <v>10</v>
      </c>
      <c r="J91" s="167">
        <v>60</v>
      </c>
      <c r="K91" s="166">
        <v>0.5</v>
      </c>
      <c r="L91" s="167">
        <v>105</v>
      </c>
      <c r="M91" s="166">
        <v>12</v>
      </c>
      <c r="N91" s="167">
        <v>100</v>
      </c>
      <c r="O91" s="166">
        <v>5</v>
      </c>
      <c r="P91" s="166">
        <v>2.7</v>
      </c>
      <c r="Q91" s="166">
        <v>26</v>
      </c>
      <c r="R91" s="166">
        <v>0.115</v>
      </c>
      <c r="S91" s="166">
        <v>28</v>
      </c>
      <c r="T91" s="166" t="s">
        <v>68</v>
      </c>
      <c r="U91" s="167">
        <v>40</v>
      </c>
      <c r="V91" s="166">
        <v>0.4</v>
      </c>
      <c r="W91" s="166">
        <v>50</v>
      </c>
      <c r="X91" s="166">
        <v>-0.2</v>
      </c>
      <c r="Y91" s="166" t="s">
        <v>68</v>
      </c>
      <c r="Z91" s="166" t="s">
        <v>68</v>
      </c>
      <c r="AA91" s="166" t="s">
        <v>68</v>
      </c>
      <c r="AB91" s="170" t="s">
        <v>43</v>
      </c>
      <c r="AC91" s="170" t="s">
        <v>43</v>
      </c>
      <c r="AD91" s="170" t="s">
        <v>44</v>
      </c>
      <c r="AE91" s="166"/>
      <c r="AF91" s="171" t="s">
        <v>327</v>
      </c>
      <c r="AG91" s="201" t="s">
        <v>496</v>
      </c>
      <c r="AH91" s="173" t="s">
        <v>331</v>
      </c>
      <c r="AI91" s="34"/>
      <c r="AN91" s="25"/>
      <c r="AO91" s="25"/>
      <c r="AR91" s="25"/>
      <c r="AS91" s="25"/>
      <c r="AT91" s="25"/>
    </row>
    <row r="92" spans="1:46" ht="22.5" hidden="1">
      <c r="A92" s="31">
        <v>1</v>
      </c>
      <c r="B92" s="165" t="s">
        <v>48</v>
      </c>
      <c r="C92" s="166">
        <v>1.8</v>
      </c>
      <c r="D92" s="166">
        <v>5.5</v>
      </c>
      <c r="E92" s="166">
        <v>-0.3</v>
      </c>
      <c r="F92" s="166">
        <v>5.5</v>
      </c>
      <c r="G92" s="167">
        <v>25</v>
      </c>
      <c r="H92" s="168">
        <v>2E-3</v>
      </c>
      <c r="I92" s="166">
        <v>0.25</v>
      </c>
      <c r="J92" s="167">
        <v>99.999999999999986</v>
      </c>
      <c r="K92" s="166">
        <v>0.2</v>
      </c>
      <c r="L92" s="167">
        <v>90</v>
      </c>
      <c r="M92" s="166">
        <v>4.2</v>
      </c>
      <c r="N92" s="167" t="s">
        <v>68</v>
      </c>
      <c r="O92" s="166">
        <v>4.2</v>
      </c>
      <c r="P92" s="166">
        <v>1.8</v>
      </c>
      <c r="Q92" s="166">
        <v>5.5</v>
      </c>
      <c r="R92" s="166">
        <v>0.03</v>
      </c>
      <c r="S92" s="166">
        <v>3</v>
      </c>
      <c r="T92" s="166" t="s">
        <v>68</v>
      </c>
      <c r="U92" s="167">
        <v>20</v>
      </c>
      <c r="V92" s="166">
        <v>0.03</v>
      </c>
      <c r="W92" s="166">
        <v>2</v>
      </c>
      <c r="X92" s="166">
        <v>-0.3</v>
      </c>
      <c r="Y92" s="166" t="s">
        <v>68</v>
      </c>
      <c r="Z92" s="166" t="s">
        <v>68</v>
      </c>
      <c r="AA92" s="166" t="s">
        <v>68</v>
      </c>
      <c r="AB92" s="170" t="s">
        <v>44</v>
      </c>
      <c r="AC92" s="170" t="s">
        <v>44</v>
      </c>
      <c r="AD92" s="170" t="s">
        <v>44</v>
      </c>
      <c r="AE92" s="166" t="s">
        <v>382</v>
      </c>
      <c r="AF92" s="170" t="s">
        <v>68</v>
      </c>
      <c r="AG92" s="201" t="s">
        <v>496</v>
      </c>
      <c r="AH92" s="173" t="s">
        <v>333</v>
      </c>
      <c r="AI92" s="34"/>
      <c r="AN92" s="25"/>
      <c r="AO92" s="25"/>
      <c r="AR92" s="25"/>
      <c r="AS92" s="25"/>
      <c r="AT92" s="25"/>
    </row>
    <row r="93" spans="1:46" ht="22.5" hidden="1">
      <c r="A93" s="31">
        <v>1</v>
      </c>
      <c r="B93" s="165" t="s">
        <v>49</v>
      </c>
      <c r="C93" s="166">
        <v>1.8</v>
      </c>
      <c r="D93" s="166">
        <v>5.5</v>
      </c>
      <c r="E93" s="166">
        <v>-0.3</v>
      </c>
      <c r="F93" s="166">
        <v>5.5</v>
      </c>
      <c r="G93" s="167">
        <v>50</v>
      </c>
      <c r="H93" s="168">
        <v>2E-3</v>
      </c>
      <c r="I93" s="166">
        <v>1</v>
      </c>
      <c r="J93" s="167">
        <v>75</v>
      </c>
      <c r="K93" s="166">
        <v>0.25</v>
      </c>
      <c r="L93" s="167">
        <v>90</v>
      </c>
      <c r="M93" s="166">
        <v>4.2</v>
      </c>
      <c r="N93" s="167" t="s">
        <v>68</v>
      </c>
      <c r="O93" s="166">
        <v>4.2</v>
      </c>
      <c r="P93" s="166">
        <v>1.8</v>
      </c>
      <c r="Q93" s="166">
        <v>5.5</v>
      </c>
      <c r="R93" s="166">
        <v>0.03</v>
      </c>
      <c r="S93" s="166">
        <v>3</v>
      </c>
      <c r="T93" s="166" t="s">
        <v>68</v>
      </c>
      <c r="U93" s="167">
        <v>10</v>
      </c>
      <c r="V93" s="166">
        <v>0.03</v>
      </c>
      <c r="W93" s="166">
        <v>2</v>
      </c>
      <c r="X93" s="166">
        <v>-0.3</v>
      </c>
      <c r="Y93" s="166" t="s">
        <v>68</v>
      </c>
      <c r="Z93" s="166" t="s">
        <v>68</v>
      </c>
      <c r="AA93" s="166" t="s">
        <v>68</v>
      </c>
      <c r="AB93" s="170" t="s">
        <v>44</v>
      </c>
      <c r="AC93" s="170" t="s">
        <v>44</v>
      </c>
      <c r="AD93" s="170" t="s">
        <v>44</v>
      </c>
      <c r="AE93" s="166" t="s">
        <v>382</v>
      </c>
      <c r="AF93" s="170" t="s">
        <v>68</v>
      </c>
      <c r="AG93" s="201" t="s">
        <v>496</v>
      </c>
      <c r="AH93" s="173" t="s">
        <v>333</v>
      </c>
      <c r="AI93" s="34"/>
      <c r="AN93" s="25"/>
      <c r="AO93" s="25"/>
      <c r="AR93" s="25"/>
      <c r="AS93" s="25"/>
      <c r="AT93" s="25"/>
    </row>
    <row r="94" spans="1:46" ht="22.5" hidden="1">
      <c r="A94" s="31">
        <v>1</v>
      </c>
      <c r="B94" s="165" t="s">
        <v>50</v>
      </c>
      <c r="C94" s="166">
        <v>1.8</v>
      </c>
      <c r="D94" s="166">
        <v>5.5</v>
      </c>
      <c r="E94" s="166">
        <v>-0.3</v>
      </c>
      <c r="F94" s="166">
        <v>5.5</v>
      </c>
      <c r="G94" s="167">
        <v>100</v>
      </c>
      <c r="H94" s="168">
        <v>2E-3</v>
      </c>
      <c r="I94" s="166">
        <v>1</v>
      </c>
      <c r="J94" s="167">
        <v>75</v>
      </c>
      <c r="K94" s="166">
        <v>0.25</v>
      </c>
      <c r="L94" s="167">
        <v>90</v>
      </c>
      <c r="M94" s="166">
        <v>4.2</v>
      </c>
      <c r="N94" s="167" t="s">
        <v>68</v>
      </c>
      <c r="O94" s="166">
        <v>4.2</v>
      </c>
      <c r="P94" s="166">
        <v>1.8</v>
      </c>
      <c r="Q94" s="166">
        <v>5.5</v>
      </c>
      <c r="R94" s="166">
        <v>0.03</v>
      </c>
      <c r="S94" s="166">
        <v>3</v>
      </c>
      <c r="T94" s="166" t="s">
        <v>68</v>
      </c>
      <c r="U94" s="167">
        <v>5</v>
      </c>
      <c r="V94" s="166">
        <v>0.03</v>
      </c>
      <c r="W94" s="166">
        <v>2</v>
      </c>
      <c r="X94" s="166">
        <v>-0.3</v>
      </c>
      <c r="Y94" s="166" t="s">
        <v>68</v>
      </c>
      <c r="Z94" s="166" t="s">
        <v>68</v>
      </c>
      <c r="AA94" s="166" t="s">
        <v>68</v>
      </c>
      <c r="AB94" s="170" t="s">
        <v>44</v>
      </c>
      <c r="AC94" s="170" t="s">
        <v>44</v>
      </c>
      <c r="AD94" s="170" t="s">
        <v>44</v>
      </c>
      <c r="AE94" s="166" t="s">
        <v>382</v>
      </c>
      <c r="AF94" s="170" t="s">
        <v>68</v>
      </c>
      <c r="AG94" s="201" t="s">
        <v>496</v>
      </c>
      <c r="AH94" s="173" t="s">
        <v>333</v>
      </c>
      <c r="AI94" s="34"/>
      <c r="AN94" s="25"/>
      <c r="AO94" s="25"/>
      <c r="AR94" s="25"/>
      <c r="AS94" s="25"/>
      <c r="AT94" s="25"/>
    </row>
    <row r="95" spans="1:46" ht="22.5" hidden="1">
      <c r="A95" s="31">
        <v>1</v>
      </c>
      <c r="B95" s="165" t="s">
        <v>51</v>
      </c>
      <c r="C95" s="166">
        <v>1.8</v>
      </c>
      <c r="D95" s="166">
        <v>5.5</v>
      </c>
      <c r="E95" s="166">
        <v>-0.3</v>
      </c>
      <c r="F95" s="166">
        <v>5.5</v>
      </c>
      <c r="G95" s="167">
        <v>200</v>
      </c>
      <c r="H95" s="168">
        <v>2E-3</v>
      </c>
      <c r="I95" s="166">
        <v>3</v>
      </c>
      <c r="J95" s="167">
        <v>75</v>
      </c>
      <c r="K95" s="166">
        <v>0.3</v>
      </c>
      <c r="L95" s="167">
        <v>90</v>
      </c>
      <c r="M95" s="166">
        <v>4.2</v>
      </c>
      <c r="N95" s="167" t="s">
        <v>68</v>
      </c>
      <c r="O95" s="166">
        <v>4.2</v>
      </c>
      <c r="P95" s="166">
        <v>1.8</v>
      </c>
      <c r="Q95" s="166">
        <v>5.5</v>
      </c>
      <c r="R95" s="166">
        <v>0.03</v>
      </c>
      <c r="S95" s="166">
        <v>3</v>
      </c>
      <c r="T95" s="166" t="s">
        <v>68</v>
      </c>
      <c r="U95" s="167">
        <v>2.5</v>
      </c>
      <c r="V95" s="166">
        <v>0.03</v>
      </c>
      <c r="W95" s="166">
        <v>2</v>
      </c>
      <c r="X95" s="166">
        <v>-0.3</v>
      </c>
      <c r="Y95" s="166" t="s">
        <v>68</v>
      </c>
      <c r="Z95" s="166" t="s">
        <v>68</v>
      </c>
      <c r="AA95" s="166" t="s">
        <v>68</v>
      </c>
      <c r="AB95" s="170" t="s">
        <v>44</v>
      </c>
      <c r="AC95" s="170" t="s">
        <v>44</v>
      </c>
      <c r="AD95" s="170" t="s">
        <v>44</v>
      </c>
      <c r="AE95" s="166" t="s">
        <v>382</v>
      </c>
      <c r="AF95" s="170" t="s">
        <v>68</v>
      </c>
      <c r="AG95" s="201" t="s">
        <v>496</v>
      </c>
      <c r="AH95" s="173" t="s">
        <v>333</v>
      </c>
      <c r="AI95" s="34"/>
      <c r="AN95" s="25"/>
      <c r="AO95" s="25"/>
      <c r="AR95" s="25"/>
      <c r="AS95" s="25"/>
      <c r="AT95" s="25"/>
    </row>
    <row r="96" spans="1:46" ht="22.5" hidden="1">
      <c r="A96" s="31">
        <v>1</v>
      </c>
      <c r="B96" s="165" t="s">
        <v>421</v>
      </c>
      <c r="C96" s="166">
        <v>-0.2</v>
      </c>
      <c r="D96" s="166">
        <v>26</v>
      </c>
      <c r="E96" s="166">
        <v>-0.3</v>
      </c>
      <c r="F96" s="166">
        <v>26</v>
      </c>
      <c r="G96" s="167">
        <v>20</v>
      </c>
      <c r="H96" s="168">
        <v>8.0000000000000002E-3</v>
      </c>
      <c r="I96" s="166">
        <v>20</v>
      </c>
      <c r="J96" s="167">
        <v>500</v>
      </c>
      <c r="K96" s="166">
        <v>1</v>
      </c>
      <c r="L96" s="167">
        <v>84</v>
      </c>
      <c r="M96" s="166">
        <v>12</v>
      </c>
      <c r="N96" s="167">
        <v>87.95880017344075</v>
      </c>
      <c r="O96" s="166">
        <v>5</v>
      </c>
      <c r="P96" s="166">
        <v>2.7</v>
      </c>
      <c r="Q96" s="166">
        <v>5.5</v>
      </c>
      <c r="R96" s="169">
        <v>0.52</v>
      </c>
      <c r="S96" s="166">
        <v>80</v>
      </c>
      <c r="T96" s="166" t="s">
        <v>68</v>
      </c>
      <c r="U96" s="167">
        <v>350</v>
      </c>
      <c r="V96" s="166">
        <v>2</v>
      </c>
      <c r="W96" s="166">
        <v>5</v>
      </c>
      <c r="X96" s="166">
        <v>-0.03</v>
      </c>
      <c r="Y96" s="166" t="s">
        <v>68</v>
      </c>
      <c r="Z96" s="166" t="s">
        <v>68</v>
      </c>
      <c r="AA96" s="166" t="s">
        <v>68</v>
      </c>
      <c r="AB96" s="170" t="s">
        <v>43</v>
      </c>
      <c r="AC96" s="170" t="s">
        <v>44</v>
      </c>
      <c r="AD96" s="170" t="s">
        <v>44</v>
      </c>
      <c r="AE96" s="166" t="s">
        <v>402</v>
      </c>
      <c r="AF96" s="171" t="s">
        <v>327</v>
      </c>
      <c r="AG96" s="201" t="s">
        <v>496</v>
      </c>
      <c r="AH96" s="173" t="s">
        <v>383</v>
      </c>
      <c r="AI96" s="34"/>
      <c r="AN96" s="25"/>
      <c r="AO96" s="25"/>
      <c r="AR96" s="25"/>
      <c r="AS96" s="25"/>
      <c r="AT96" s="25"/>
    </row>
    <row r="97" spans="1:46" ht="22.5" hidden="1">
      <c r="A97" s="31">
        <v>1</v>
      </c>
      <c r="B97" s="165" t="s">
        <v>449</v>
      </c>
      <c r="C97" s="166">
        <v>-0.2</v>
      </c>
      <c r="D97" s="166">
        <v>26</v>
      </c>
      <c r="E97" s="166">
        <v>-0.3</v>
      </c>
      <c r="F97" s="166">
        <v>26</v>
      </c>
      <c r="G97" s="167">
        <v>20</v>
      </c>
      <c r="H97" s="168">
        <v>8.0000000000000002E-3</v>
      </c>
      <c r="I97" s="166">
        <v>20</v>
      </c>
      <c r="J97" s="167">
        <v>150</v>
      </c>
      <c r="K97" s="166">
        <v>1</v>
      </c>
      <c r="L97" s="167">
        <v>84</v>
      </c>
      <c r="M97" s="166">
        <v>0</v>
      </c>
      <c r="N97" s="167">
        <v>87.95880017344075</v>
      </c>
      <c r="O97" s="166">
        <v>5</v>
      </c>
      <c r="P97" s="166">
        <v>2.7</v>
      </c>
      <c r="Q97" s="166">
        <v>5.5</v>
      </c>
      <c r="R97" s="169">
        <v>0.52</v>
      </c>
      <c r="S97" s="166">
        <v>80</v>
      </c>
      <c r="T97" s="166" t="s">
        <v>68</v>
      </c>
      <c r="U97" s="167">
        <v>350</v>
      </c>
      <c r="V97" s="166">
        <v>2</v>
      </c>
      <c r="W97" s="166">
        <v>5</v>
      </c>
      <c r="X97" s="166">
        <v>-0.03</v>
      </c>
      <c r="Y97" s="166" t="s">
        <v>68</v>
      </c>
      <c r="Z97" s="166" t="s">
        <v>68</v>
      </c>
      <c r="AA97" s="166" t="s">
        <v>68</v>
      </c>
      <c r="AB97" s="170" t="s">
        <v>43</v>
      </c>
      <c r="AC97" s="170" t="s">
        <v>44</v>
      </c>
      <c r="AD97" s="170" t="s">
        <v>44</v>
      </c>
      <c r="AE97" s="166" t="s">
        <v>402</v>
      </c>
      <c r="AF97" s="171" t="s">
        <v>327</v>
      </c>
      <c r="AG97" s="201" t="s">
        <v>496</v>
      </c>
      <c r="AH97" s="173" t="s">
        <v>383</v>
      </c>
      <c r="AI97" s="34"/>
      <c r="AN97" s="25"/>
      <c r="AO97" s="25"/>
      <c r="AR97" s="25"/>
      <c r="AS97" s="25"/>
      <c r="AT97" s="25"/>
    </row>
    <row r="98" spans="1:46" ht="22.5" hidden="1">
      <c r="A98" s="31">
        <v>1</v>
      </c>
      <c r="B98" s="165" t="s">
        <v>422</v>
      </c>
      <c r="C98" s="166">
        <v>-0.2</v>
      </c>
      <c r="D98" s="166">
        <v>26</v>
      </c>
      <c r="E98" s="166">
        <v>-0.3</v>
      </c>
      <c r="F98" s="166">
        <v>26</v>
      </c>
      <c r="G98" s="167">
        <v>50</v>
      </c>
      <c r="H98" s="168">
        <v>8.0000000000000002E-3</v>
      </c>
      <c r="I98" s="166">
        <v>20</v>
      </c>
      <c r="J98" s="167">
        <v>500</v>
      </c>
      <c r="K98" s="166">
        <v>1</v>
      </c>
      <c r="L98" s="167">
        <v>84</v>
      </c>
      <c r="M98" s="166">
        <v>12</v>
      </c>
      <c r="N98" s="167">
        <v>87.95880017344075</v>
      </c>
      <c r="O98" s="166">
        <v>5</v>
      </c>
      <c r="P98" s="166">
        <v>2.7</v>
      </c>
      <c r="Q98" s="166">
        <v>5.5</v>
      </c>
      <c r="R98" s="169">
        <v>0.52</v>
      </c>
      <c r="S98" s="166">
        <v>80</v>
      </c>
      <c r="T98" s="166" t="s">
        <v>68</v>
      </c>
      <c r="U98" s="167">
        <v>210</v>
      </c>
      <c r="V98" s="166">
        <v>2</v>
      </c>
      <c r="W98" s="166">
        <v>5</v>
      </c>
      <c r="X98" s="166">
        <v>-0.03</v>
      </c>
      <c r="Y98" s="166" t="s">
        <v>68</v>
      </c>
      <c r="Z98" s="166" t="s">
        <v>68</v>
      </c>
      <c r="AA98" s="166" t="s">
        <v>68</v>
      </c>
      <c r="AB98" s="170" t="s">
        <v>43</v>
      </c>
      <c r="AC98" s="170" t="s">
        <v>44</v>
      </c>
      <c r="AD98" s="170" t="s">
        <v>44</v>
      </c>
      <c r="AE98" s="166" t="s">
        <v>402</v>
      </c>
      <c r="AF98" s="171" t="s">
        <v>327</v>
      </c>
      <c r="AG98" s="201" t="s">
        <v>496</v>
      </c>
      <c r="AH98" s="173" t="s">
        <v>383</v>
      </c>
      <c r="AI98" s="34"/>
      <c r="AN98" s="25"/>
      <c r="AO98" s="25"/>
      <c r="AR98" s="25"/>
      <c r="AS98" s="25"/>
      <c r="AT98" s="25"/>
    </row>
    <row r="99" spans="1:46" ht="22.5" hidden="1">
      <c r="A99" s="31">
        <v>1</v>
      </c>
      <c r="B99" s="165" t="s">
        <v>450</v>
      </c>
      <c r="C99" s="166">
        <v>-0.2</v>
      </c>
      <c r="D99" s="166">
        <v>26</v>
      </c>
      <c r="E99" s="166">
        <v>-0.3</v>
      </c>
      <c r="F99" s="166">
        <v>26</v>
      </c>
      <c r="G99" s="167">
        <v>50</v>
      </c>
      <c r="H99" s="168">
        <v>8.0000000000000002E-3</v>
      </c>
      <c r="I99" s="166">
        <v>20</v>
      </c>
      <c r="J99" s="167">
        <v>150</v>
      </c>
      <c r="K99" s="166">
        <v>1</v>
      </c>
      <c r="L99" s="167">
        <v>84</v>
      </c>
      <c r="M99" s="166">
        <v>0</v>
      </c>
      <c r="N99" s="167">
        <v>87.95880017344075</v>
      </c>
      <c r="O99" s="166">
        <v>5</v>
      </c>
      <c r="P99" s="166">
        <v>2.7</v>
      </c>
      <c r="Q99" s="166">
        <v>5.5</v>
      </c>
      <c r="R99" s="169">
        <v>0.52</v>
      </c>
      <c r="S99" s="166">
        <v>80</v>
      </c>
      <c r="T99" s="166" t="s">
        <v>68</v>
      </c>
      <c r="U99" s="167">
        <v>210</v>
      </c>
      <c r="V99" s="166">
        <v>2</v>
      </c>
      <c r="W99" s="166">
        <v>5</v>
      </c>
      <c r="X99" s="166">
        <v>-0.03</v>
      </c>
      <c r="Y99" s="166" t="s">
        <v>68</v>
      </c>
      <c r="Z99" s="166" t="s">
        <v>68</v>
      </c>
      <c r="AA99" s="166" t="s">
        <v>68</v>
      </c>
      <c r="AB99" s="170" t="s">
        <v>43</v>
      </c>
      <c r="AC99" s="170" t="s">
        <v>44</v>
      </c>
      <c r="AD99" s="170" t="s">
        <v>44</v>
      </c>
      <c r="AE99" s="166" t="s">
        <v>402</v>
      </c>
      <c r="AF99" s="171" t="s">
        <v>327</v>
      </c>
      <c r="AG99" s="201" t="s">
        <v>496</v>
      </c>
      <c r="AH99" s="173" t="s">
        <v>383</v>
      </c>
      <c r="AI99" s="34"/>
      <c r="AN99" s="25"/>
      <c r="AO99" s="25"/>
      <c r="AR99" s="25"/>
      <c r="AS99" s="25"/>
      <c r="AT99" s="25"/>
    </row>
    <row r="100" spans="1:46" ht="22.5" hidden="1">
      <c r="A100" s="31">
        <v>1</v>
      </c>
      <c r="B100" s="165" t="s">
        <v>423</v>
      </c>
      <c r="C100" s="166">
        <v>-0.2</v>
      </c>
      <c r="D100" s="166">
        <v>26</v>
      </c>
      <c r="E100" s="166">
        <v>-0.3</v>
      </c>
      <c r="F100" s="166">
        <v>26</v>
      </c>
      <c r="G100" s="167">
        <v>100</v>
      </c>
      <c r="H100" s="168">
        <v>8.0000000000000002E-3</v>
      </c>
      <c r="I100" s="166">
        <v>20</v>
      </c>
      <c r="J100" s="167">
        <v>500</v>
      </c>
      <c r="K100" s="166">
        <v>1</v>
      </c>
      <c r="L100" s="167">
        <v>84</v>
      </c>
      <c r="M100" s="166">
        <v>12</v>
      </c>
      <c r="N100" s="167">
        <v>87.95880017344075</v>
      </c>
      <c r="O100" s="166">
        <v>5</v>
      </c>
      <c r="P100" s="166">
        <v>2.7</v>
      </c>
      <c r="Q100" s="166">
        <v>5.5</v>
      </c>
      <c r="R100" s="169">
        <v>0.52</v>
      </c>
      <c r="S100" s="166">
        <v>80</v>
      </c>
      <c r="T100" s="166" t="s">
        <v>68</v>
      </c>
      <c r="U100" s="167">
        <v>150</v>
      </c>
      <c r="V100" s="166">
        <v>2</v>
      </c>
      <c r="W100" s="166">
        <v>5</v>
      </c>
      <c r="X100" s="166">
        <v>-0.03</v>
      </c>
      <c r="Y100" s="166" t="s">
        <v>68</v>
      </c>
      <c r="Z100" s="166" t="s">
        <v>68</v>
      </c>
      <c r="AA100" s="166" t="s">
        <v>68</v>
      </c>
      <c r="AB100" s="170" t="s">
        <v>43</v>
      </c>
      <c r="AC100" s="170" t="s">
        <v>44</v>
      </c>
      <c r="AD100" s="170" t="s">
        <v>44</v>
      </c>
      <c r="AE100" s="166" t="s">
        <v>402</v>
      </c>
      <c r="AF100" s="171" t="s">
        <v>327</v>
      </c>
      <c r="AG100" s="201" t="s">
        <v>496</v>
      </c>
      <c r="AH100" s="173" t="s">
        <v>383</v>
      </c>
      <c r="AI100" s="34"/>
      <c r="AN100" s="25"/>
      <c r="AO100" s="25"/>
      <c r="AR100" s="25"/>
      <c r="AS100" s="25"/>
      <c r="AT100" s="25"/>
    </row>
    <row r="101" spans="1:46" ht="22.5" hidden="1">
      <c r="A101" s="31">
        <v>1</v>
      </c>
      <c r="B101" s="165" t="s">
        <v>451</v>
      </c>
      <c r="C101" s="166">
        <v>-0.2</v>
      </c>
      <c r="D101" s="166">
        <v>26</v>
      </c>
      <c r="E101" s="166">
        <v>-0.3</v>
      </c>
      <c r="F101" s="166">
        <v>26</v>
      </c>
      <c r="G101" s="167">
        <v>100</v>
      </c>
      <c r="H101" s="168">
        <v>8.0000000000000002E-3</v>
      </c>
      <c r="I101" s="166">
        <v>20</v>
      </c>
      <c r="J101" s="167">
        <v>150</v>
      </c>
      <c r="K101" s="166">
        <v>1</v>
      </c>
      <c r="L101" s="167">
        <v>84</v>
      </c>
      <c r="M101" s="166">
        <v>0</v>
      </c>
      <c r="N101" s="167">
        <v>87.95880017344075</v>
      </c>
      <c r="O101" s="166">
        <v>5</v>
      </c>
      <c r="P101" s="166">
        <v>2.7</v>
      </c>
      <c r="Q101" s="166">
        <v>5.5</v>
      </c>
      <c r="R101" s="169">
        <v>0.52</v>
      </c>
      <c r="S101" s="166">
        <v>80</v>
      </c>
      <c r="T101" s="166" t="s">
        <v>68</v>
      </c>
      <c r="U101" s="167">
        <v>150</v>
      </c>
      <c r="V101" s="166">
        <v>2</v>
      </c>
      <c r="W101" s="166">
        <v>5</v>
      </c>
      <c r="X101" s="166">
        <v>-0.03</v>
      </c>
      <c r="Y101" s="166" t="s">
        <v>68</v>
      </c>
      <c r="Z101" s="166" t="s">
        <v>68</v>
      </c>
      <c r="AA101" s="166" t="s">
        <v>68</v>
      </c>
      <c r="AB101" s="170" t="s">
        <v>43</v>
      </c>
      <c r="AC101" s="170" t="s">
        <v>44</v>
      </c>
      <c r="AD101" s="170" t="s">
        <v>44</v>
      </c>
      <c r="AE101" s="166" t="s">
        <v>402</v>
      </c>
      <c r="AF101" s="171" t="s">
        <v>327</v>
      </c>
      <c r="AG101" s="201" t="s">
        <v>496</v>
      </c>
      <c r="AH101" s="173" t="s">
        <v>383</v>
      </c>
      <c r="AI101" s="34"/>
      <c r="AN101" s="25"/>
      <c r="AO101" s="25"/>
      <c r="AR101" s="25"/>
      <c r="AS101" s="25"/>
      <c r="AT101" s="25"/>
    </row>
    <row r="102" spans="1:46" ht="22.5" hidden="1">
      <c r="A102" s="31">
        <v>1</v>
      </c>
      <c r="B102" s="165" t="s">
        <v>424</v>
      </c>
      <c r="C102" s="166">
        <v>-0.2</v>
      </c>
      <c r="D102" s="166">
        <v>26</v>
      </c>
      <c r="E102" s="166">
        <v>-0.3</v>
      </c>
      <c r="F102" s="166">
        <v>26</v>
      </c>
      <c r="G102" s="167">
        <v>200</v>
      </c>
      <c r="H102" s="168">
        <v>8.0000000000000002E-3</v>
      </c>
      <c r="I102" s="166">
        <v>20</v>
      </c>
      <c r="J102" s="167">
        <v>500</v>
      </c>
      <c r="K102" s="166">
        <v>1</v>
      </c>
      <c r="L102" s="167">
        <v>84</v>
      </c>
      <c r="M102" s="166">
        <v>12</v>
      </c>
      <c r="N102" s="167">
        <v>87.95880017344075</v>
      </c>
      <c r="O102" s="166">
        <v>5</v>
      </c>
      <c r="P102" s="166">
        <v>2.7</v>
      </c>
      <c r="Q102" s="166">
        <v>5.5</v>
      </c>
      <c r="R102" s="169">
        <v>0.52</v>
      </c>
      <c r="S102" s="166">
        <v>80</v>
      </c>
      <c r="T102" s="166" t="s">
        <v>68</v>
      </c>
      <c r="U102" s="167">
        <v>105</v>
      </c>
      <c r="V102" s="166">
        <v>2</v>
      </c>
      <c r="W102" s="166">
        <v>5</v>
      </c>
      <c r="X102" s="166">
        <v>-0.03</v>
      </c>
      <c r="Y102" s="166" t="s">
        <v>68</v>
      </c>
      <c r="Z102" s="166" t="s">
        <v>68</v>
      </c>
      <c r="AA102" s="166" t="s">
        <v>68</v>
      </c>
      <c r="AB102" s="170" t="s">
        <v>43</v>
      </c>
      <c r="AC102" s="170" t="s">
        <v>44</v>
      </c>
      <c r="AD102" s="170" t="s">
        <v>44</v>
      </c>
      <c r="AE102" s="166" t="s">
        <v>402</v>
      </c>
      <c r="AF102" s="171" t="s">
        <v>327</v>
      </c>
      <c r="AG102" s="201" t="s">
        <v>496</v>
      </c>
      <c r="AH102" s="173" t="s">
        <v>383</v>
      </c>
      <c r="AI102" s="34"/>
      <c r="AN102" s="25"/>
      <c r="AO102" s="25"/>
      <c r="AR102" s="25"/>
      <c r="AS102" s="25"/>
      <c r="AT102" s="25"/>
    </row>
    <row r="103" spans="1:46" ht="22.5" hidden="1">
      <c r="A103" s="31">
        <v>1</v>
      </c>
      <c r="B103" s="165" t="s">
        <v>452</v>
      </c>
      <c r="C103" s="166">
        <v>-0.2</v>
      </c>
      <c r="D103" s="166">
        <v>26</v>
      </c>
      <c r="E103" s="166">
        <v>-0.3</v>
      </c>
      <c r="F103" s="166">
        <v>26</v>
      </c>
      <c r="G103" s="167">
        <v>200</v>
      </c>
      <c r="H103" s="168">
        <v>8.0000000000000002E-3</v>
      </c>
      <c r="I103" s="166">
        <v>20</v>
      </c>
      <c r="J103" s="167">
        <v>150</v>
      </c>
      <c r="K103" s="166">
        <v>1</v>
      </c>
      <c r="L103" s="167">
        <v>84</v>
      </c>
      <c r="M103" s="166">
        <v>0</v>
      </c>
      <c r="N103" s="167">
        <v>87.95880017344075</v>
      </c>
      <c r="O103" s="166">
        <v>5</v>
      </c>
      <c r="P103" s="166">
        <v>2.7</v>
      </c>
      <c r="Q103" s="166">
        <v>5.5</v>
      </c>
      <c r="R103" s="169">
        <v>0.52</v>
      </c>
      <c r="S103" s="166">
        <v>80</v>
      </c>
      <c r="T103" s="166" t="s">
        <v>68</v>
      </c>
      <c r="U103" s="167">
        <v>105</v>
      </c>
      <c r="V103" s="166">
        <v>2</v>
      </c>
      <c r="W103" s="166">
        <v>5</v>
      </c>
      <c r="X103" s="166">
        <v>-0.03</v>
      </c>
      <c r="Y103" s="166" t="s">
        <v>68</v>
      </c>
      <c r="Z103" s="166" t="s">
        <v>68</v>
      </c>
      <c r="AA103" s="166" t="s">
        <v>68</v>
      </c>
      <c r="AB103" s="170" t="s">
        <v>43</v>
      </c>
      <c r="AC103" s="170" t="s">
        <v>44</v>
      </c>
      <c r="AD103" s="170" t="s">
        <v>44</v>
      </c>
      <c r="AE103" s="166" t="s">
        <v>402</v>
      </c>
      <c r="AF103" s="171" t="s">
        <v>327</v>
      </c>
      <c r="AG103" s="201" t="s">
        <v>496</v>
      </c>
      <c r="AH103" s="173" t="s">
        <v>383</v>
      </c>
      <c r="AI103" s="34"/>
      <c r="AN103" s="25"/>
      <c r="AO103" s="25"/>
      <c r="AR103" s="25"/>
      <c r="AS103" s="25"/>
      <c r="AT103" s="25"/>
    </row>
    <row r="104" spans="1:46" ht="22.5" hidden="1">
      <c r="A104" s="31">
        <v>1</v>
      </c>
      <c r="B104" s="165" t="s">
        <v>425</v>
      </c>
      <c r="C104" s="166">
        <v>-0.2</v>
      </c>
      <c r="D104" s="166">
        <v>26</v>
      </c>
      <c r="E104" s="166">
        <v>-0.3</v>
      </c>
      <c r="F104" s="166">
        <v>26</v>
      </c>
      <c r="G104" s="167">
        <v>20</v>
      </c>
      <c r="H104" s="168">
        <v>8.0000000000000002E-3</v>
      </c>
      <c r="I104" s="166">
        <v>20</v>
      </c>
      <c r="J104" s="167">
        <v>500</v>
      </c>
      <c r="K104" s="166">
        <v>1</v>
      </c>
      <c r="L104" s="167">
        <v>84</v>
      </c>
      <c r="M104" s="166">
        <v>12</v>
      </c>
      <c r="N104" s="167">
        <v>87.95880017344075</v>
      </c>
      <c r="O104" s="166">
        <v>5</v>
      </c>
      <c r="P104" s="166">
        <v>2.7</v>
      </c>
      <c r="Q104" s="166">
        <v>5.5</v>
      </c>
      <c r="R104" s="169">
        <v>0.52</v>
      </c>
      <c r="S104" s="166">
        <v>80</v>
      </c>
      <c r="T104" s="166" t="s">
        <v>68</v>
      </c>
      <c r="U104" s="167">
        <v>350</v>
      </c>
      <c r="V104" s="166">
        <v>2</v>
      </c>
      <c r="W104" s="166">
        <v>5</v>
      </c>
      <c r="X104" s="166">
        <v>-0.03</v>
      </c>
      <c r="Y104" s="166" t="s">
        <v>68</v>
      </c>
      <c r="Z104" s="166" t="s">
        <v>68</v>
      </c>
      <c r="AA104" s="166" t="s">
        <v>68</v>
      </c>
      <c r="AB104" s="170" t="s">
        <v>43</v>
      </c>
      <c r="AC104" s="170" t="s">
        <v>43</v>
      </c>
      <c r="AD104" s="170" t="s">
        <v>44</v>
      </c>
      <c r="AE104" s="166" t="s">
        <v>402</v>
      </c>
      <c r="AF104" s="171" t="s">
        <v>327</v>
      </c>
      <c r="AG104" s="201" t="s">
        <v>496</v>
      </c>
      <c r="AH104" s="173" t="s">
        <v>384</v>
      </c>
      <c r="AI104" s="34"/>
      <c r="AN104" s="25"/>
      <c r="AO104" s="25"/>
      <c r="AR104" s="25"/>
      <c r="AS104" s="25"/>
      <c r="AT104" s="25"/>
    </row>
    <row r="105" spans="1:46" ht="22.5" hidden="1">
      <c r="A105" s="31">
        <v>1</v>
      </c>
      <c r="B105" s="165" t="s">
        <v>453</v>
      </c>
      <c r="C105" s="166">
        <v>-0.2</v>
      </c>
      <c r="D105" s="166">
        <v>26</v>
      </c>
      <c r="E105" s="166">
        <v>-0.3</v>
      </c>
      <c r="F105" s="166">
        <v>26</v>
      </c>
      <c r="G105" s="167">
        <v>20</v>
      </c>
      <c r="H105" s="168">
        <v>8.0000000000000002E-3</v>
      </c>
      <c r="I105" s="166">
        <v>20</v>
      </c>
      <c r="J105" s="167">
        <v>150</v>
      </c>
      <c r="K105" s="166">
        <v>1</v>
      </c>
      <c r="L105" s="167">
        <v>84</v>
      </c>
      <c r="M105" s="166">
        <v>0</v>
      </c>
      <c r="N105" s="167">
        <v>87.95880017344075</v>
      </c>
      <c r="O105" s="166">
        <v>5</v>
      </c>
      <c r="P105" s="166">
        <v>2.7</v>
      </c>
      <c r="Q105" s="166">
        <v>5.5</v>
      </c>
      <c r="R105" s="169">
        <v>0.52</v>
      </c>
      <c r="S105" s="166">
        <v>80</v>
      </c>
      <c r="T105" s="166" t="s">
        <v>68</v>
      </c>
      <c r="U105" s="167">
        <v>350</v>
      </c>
      <c r="V105" s="166">
        <v>2</v>
      </c>
      <c r="W105" s="166">
        <v>5</v>
      </c>
      <c r="X105" s="166">
        <v>-0.03</v>
      </c>
      <c r="Y105" s="166" t="s">
        <v>68</v>
      </c>
      <c r="Z105" s="166" t="s">
        <v>68</v>
      </c>
      <c r="AA105" s="166" t="s">
        <v>68</v>
      </c>
      <c r="AB105" s="170" t="s">
        <v>43</v>
      </c>
      <c r="AC105" s="170" t="s">
        <v>43</v>
      </c>
      <c r="AD105" s="170" t="s">
        <v>44</v>
      </c>
      <c r="AE105" s="166" t="s">
        <v>402</v>
      </c>
      <c r="AF105" s="171" t="s">
        <v>327</v>
      </c>
      <c r="AG105" s="201" t="s">
        <v>496</v>
      </c>
      <c r="AH105" s="173" t="s">
        <v>384</v>
      </c>
      <c r="AI105" s="34"/>
      <c r="AN105" s="25"/>
      <c r="AO105" s="25"/>
      <c r="AR105" s="25"/>
      <c r="AS105" s="25"/>
      <c r="AT105" s="25"/>
    </row>
    <row r="106" spans="1:46" ht="22.5" hidden="1">
      <c r="A106" s="31">
        <v>1</v>
      </c>
      <c r="B106" s="165" t="s">
        <v>426</v>
      </c>
      <c r="C106" s="166">
        <v>-0.2</v>
      </c>
      <c r="D106" s="166">
        <v>26</v>
      </c>
      <c r="E106" s="166">
        <v>-0.3</v>
      </c>
      <c r="F106" s="166">
        <v>26</v>
      </c>
      <c r="G106" s="167">
        <v>50</v>
      </c>
      <c r="H106" s="168">
        <v>8.0000000000000002E-3</v>
      </c>
      <c r="I106" s="166">
        <v>20</v>
      </c>
      <c r="J106" s="167">
        <v>500</v>
      </c>
      <c r="K106" s="166">
        <v>1</v>
      </c>
      <c r="L106" s="167">
        <v>84</v>
      </c>
      <c r="M106" s="166">
        <v>12</v>
      </c>
      <c r="N106" s="167">
        <v>87.95880017344075</v>
      </c>
      <c r="O106" s="166">
        <v>5</v>
      </c>
      <c r="P106" s="166">
        <v>2.7</v>
      </c>
      <c r="Q106" s="166">
        <v>5.5</v>
      </c>
      <c r="R106" s="169">
        <v>0.52</v>
      </c>
      <c r="S106" s="166">
        <v>80</v>
      </c>
      <c r="T106" s="166" t="s">
        <v>68</v>
      </c>
      <c r="U106" s="167">
        <v>210</v>
      </c>
      <c r="V106" s="166">
        <v>2</v>
      </c>
      <c r="W106" s="166">
        <v>5</v>
      </c>
      <c r="X106" s="166">
        <v>-0.03</v>
      </c>
      <c r="Y106" s="166" t="s">
        <v>68</v>
      </c>
      <c r="Z106" s="166" t="s">
        <v>68</v>
      </c>
      <c r="AA106" s="166" t="s">
        <v>68</v>
      </c>
      <c r="AB106" s="170" t="s">
        <v>43</v>
      </c>
      <c r="AC106" s="170" t="s">
        <v>43</v>
      </c>
      <c r="AD106" s="170" t="s">
        <v>44</v>
      </c>
      <c r="AE106" s="166" t="s">
        <v>402</v>
      </c>
      <c r="AF106" s="171" t="s">
        <v>327</v>
      </c>
      <c r="AG106" s="201" t="s">
        <v>496</v>
      </c>
      <c r="AH106" s="173" t="s">
        <v>384</v>
      </c>
      <c r="AI106" s="34"/>
      <c r="AN106" s="25"/>
      <c r="AO106" s="25"/>
      <c r="AR106" s="25"/>
      <c r="AS106" s="25"/>
      <c r="AT106" s="25"/>
    </row>
    <row r="107" spans="1:46" ht="22.5" hidden="1">
      <c r="A107" s="31">
        <v>1</v>
      </c>
      <c r="B107" s="165" t="s">
        <v>454</v>
      </c>
      <c r="C107" s="166">
        <v>-0.2</v>
      </c>
      <c r="D107" s="166">
        <v>26</v>
      </c>
      <c r="E107" s="166">
        <v>-0.3</v>
      </c>
      <c r="F107" s="166">
        <v>26</v>
      </c>
      <c r="G107" s="167">
        <v>50</v>
      </c>
      <c r="H107" s="168">
        <v>8.0000000000000002E-3</v>
      </c>
      <c r="I107" s="166">
        <v>20</v>
      </c>
      <c r="J107" s="167">
        <v>150</v>
      </c>
      <c r="K107" s="166">
        <v>1</v>
      </c>
      <c r="L107" s="167">
        <v>84</v>
      </c>
      <c r="M107" s="166">
        <v>0</v>
      </c>
      <c r="N107" s="167">
        <v>87.95880017344075</v>
      </c>
      <c r="O107" s="166">
        <v>5</v>
      </c>
      <c r="P107" s="166">
        <v>2.7</v>
      </c>
      <c r="Q107" s="166">
        <v>5.5</v>
      </c>
      <c r="R107" s="169">
        <v>0.52</v>
      </c>
      <c r="S107" s="166">
        <v>80</v>
      </c>
      <c r="T107" s="166" t="s">
        <v>68</v>
      </c>
      <c r="U107" s="167">
        <v>210</v>
      </c>
      <c r="V107" s="166">
        <v>2</v>
      </c>
      <c r="W107" s="166">
        <v>5</v>
      </c>
      <c r="X107" s="166">
        <v>-0.03</v>
      </c>
      <c r="Y107" s="166" t="s">
        <v>68</v>
      </c>
      <c r="Z107" s="166" t="s">
        <v>68</v>
      </c>
      <c r="AA107" s="166" t="s">
        <v>68</v>
      </c>
      <c r="AB107" s="170" t="s">
        <v>43</v>
      </c>
      <c r="AC107" s="170" t="s">
        <v>43</v>
      </c>
      <c r="AD107" s="170" t="s">
        <v>44</v>
      </c>
      <c r="AE107" s="166" t="s">
        <v>402</v>
      </c>
      <c r="AF107" s="171" t="s">
        <v>327</v>
      </c>
      <c r="AG107" s="201" t="s">
        <v>496</v>
      </c>
      <c r="AH107" s="173" t="s">
        <v>384</v>
      </c>
      <c r="AI107" s="34"/>
      <c r="AN107" s="25"/>
      <c r="AO107" s="25"/>
      <c r="AR107" s="25"/>
      <c r="AS107" s="25"/>
      <c r="AT107" s="25"/>
    </row>
    <row r="108" spans="1:46" ht="22.5" hidden="1">
      <c r="A108" s="31">
        <v>1</v>
      </c>
      <c r="B108" s="165" t="s">
        <v>427</v>
      </c>
      <c r="C108" s="166">
        <v>-0.2</v>
      </c>
      <c r="D108" s="166">
        <v>26</v>
      </c>
      <c r="E108" s="166">
        <v>-0.3</v>
      </c>
      <c r="F108" s="166">
        <v>26</v>
      </c>
      <c r="G108" s="167">
        <v>100</v>
      </c>
      <c r="H108" s="168">
        <v>8.0000000000000002E-3</v>
      </c>
      <c r="I108" s="166">
        <v>20</v>
      </c>
      <c r="J108" s="167">
        <v>500</v>
      </c>
      <c r="K108" s="166">
        <v>1</v>
      </c>
      <c r="L108" s="167">
        <v>84</v>
      </c>
      <c r="M108" s="166">
        <v>12</v>
      </c>
      <c r="N108" s="167">
        <v>87.95880017344075</v>
      </c>
      <c r="O108" s="166">
        <v>5</v>
      </c>
      <c r="P108" s="166">
        <v>2.7</v>
      </c>
      <c r="Q108" s="166">
        <v>5.5</v>
      </c>
      <c r="R108" s="169">
        <v>0.52</v>
      </c>
      <c r="S108" s="166">
        <v>80</v>
      </c>
      <c r="T108" s="166" t="s">
        <v>68</v>
      </c>
      <c r="U108" s="167">
        <v>150</v>
      </c>
      <c r="V108" s="166">
        <v>2</v>
      </c>
      <c r="W108" s="166">
        <v>5</v>
      </c>
      <c r="X108" s="166">
        <v>-0.03</v>
      </c>
      <c r="Y108" s="166" t="s">
        <v>68</v>
      </c>
      <c r="Z108" s="166" t="s">
        <v>68</v>
      </c>
      <c r="AA108" s="166" t="s">
        <v>68</v>
      </c>
      <c r="AB108" s="170" t="s">
        <v>43</v>
      </c>
      <c r="AC108" s="170" t="s">
        <v>43</v>
      </c>
      <c r="AD108" s="170" t="s">
        <v>44</v>
      </c>
      <c r="AE108" s="166" t="s">
        <v>402</v>
      </c>
      <c r="AF108" s="171" t="s">
        <v>327</v>
      </c>
      <c r="AG108" s="201" t="s">
        <v>496</v>
      </c>
      <c r="AH108" s="173" t="s">
        <v>384</v>
      </c>
      <c r="AI108" s="34"/>
      <c r="AN108" s="25"/>
      <c r="AO108" s="25"/>
      <c r="AR108" s="25"/>
      <c r="AS108" s="25"/>
      <c r="AT108" s="25"/>
    </row>
    <row r="109" spans="1:46" ht="22.5" hidden="1">
      <c r="A109" s="31">
        <v>1</v>
      </c>
      <c r="B109" s="165" t="s">
        <v>455</v>
      </c>
      <c r="C109" s="166">
        <v>-0.2</v>
      </c>
      <c r="D109" s="166">
        <v>26</v>
      </c>
      <c r="E109" s="166">
        <v>-0.3</v>
      </c>
      <c r="F109" s="166">
        <v>26</v>
      </c>
      <c r="G109" s="167">
        <v>100</v>
      </c>
      <c r="H109" s="168">
        <v>8.0000000000000002E-3</v>
      </c>
      <c r="I109" s="166">
        <v>20</v>
      </c>
      <c r="J109" s="167">
        <v>150</v>
      </c>
      <c r="K109" s="166">
        <v>1</v>
      </c>
      <c r="L109" s="167">
        <v>84</v>
      </c>
      <c r="M109" s="166">
        <v>0</v>
      </c>
      <c r="N109" s="167">
        <v>87.95880017344075</v>
      </c>
      <c r="O109" s="166">
        <v>5</v>
      </c>
      <c r="P109" s="166">
        <v>2.7</v>
      </c>
      <c r="Q109" s="166">
        <v>5.5</v>
      </c>
      <c r="R109" s="169">
        <v>0.52</v>
      </c>
      <c r="S109" s="166">
        <v>80</v>
      </c>
      <c r="T109" s="166" t="s">
        <v>68</v>
      </c>
      <c r="U109" s="167">
        <v>150</v>
      </c>
      <c r="V109" s="166">
        <v>2</v>
      </c>
      <c r="W109" s="166">
        <v>5</v>
      </c>
      <c r="X109" s="166">
        <v>-0.03</v>
      </c>
      <c r="Y109" s="166" t="s">
        <v>68</v>
      </c>
      <c r="Z109" s="166" t="s">
        <v>68</v>
      </c>
      <c r="AA109" s="166" t="s">
        <v>68</v>
      </c>
      <c r="AB109" s="170" t="s">
        <v>43</v>
      </c>
      <c r="AC109" s="170" t="s">
        <v>43</v>
      </c>
      <c r="AD109" s="170" t="s">
        <v>44</v>
      </c>
      <c r="AE109" s="166" t="s">
        <v>402</v>
      </c>
      <c r="AF109" s="171" t="s">
        <v>327</v>
      </c>
      <c r="AG109" s="201" t="s">
        <v>496</v>
      </c>
      <c r="AH109" s="173" t="s">
        <v>384</v>
      </c>
      <c r="AI109" s="34"/>
      <c r="AN109" s="25"/>
      <c r="AO109" s="25"/>
      <c r="AR109" s="25"/>
      <c r="AS109" s="25"/>
      <c r="AT109" s="25"/>
    </row>
    <row r="110" spans="1:46" ht="22.5" hidden="1">
      <c r="A110" s="31">
        <v>1</v>
      </c>
      <c r="B110" s="165" t="s">
        <v>428</v>
      </c>
      <c r="C110" s="166">
        <v>-0.2</v>
      </c>
      <c r="D110" s="166">
        <v>26</v>
      </c>
      <c r="E110" s="166">
        <v>-0.3</v>
      </c>
      <c r="F110" s="166">
        <v>26</v>
      </c>
      <c r="G110" s="167">
        <v>200</v>
      </c>
      <c r="H110" s="168">
        <v>8.0000000000000002E-3</v>
      </c>
      <c r="I110" s="166">
        <v>20</v>
      </c>
      <c r="J110" s="167">
        <v>500</v>
      </c>
      <c r="K110" s="166">
        <v>1</v>
      </c>
      <c r="L110" s="167">
        <v>84</v>
      </c>
      <c r="M110" s="166">
        <v>12</v>
      </c>
      <c r="N110" s="167">
        <v>87.95880017344075</v>
      </c>
      <c r="O110" s="166">
        <v>5</v>
      </c>
      <c r="P110" s="166">
        <v>2.7</v>
      </c>
      <c r="Q110" s="166">
        <v>5.5</v>
      </c>
      <c r="R110" s="169">
        <v>0.52</v>
      </c>
      <c r="S110" s="166">
        <v>80</v>
      </c>
      <c r="T110" s="166" t="s">
        <v>68</v>
      </c>
      <c r="U110" s="167">
        <v>105</v>
      </c>
      <c r="V110" s="166">
        <v>2</v>
      </c>
      <c r="W110" s="166">
        <v>5</v>
      </c>
      <c r="X110" s="166">
        <v>-0.03</v>
      </c>
      <c r="Y110" s="166" t="s">
        <v>68</v>
      </c>
      <c r="Z110" s="166" t="s">
        <v>68</v>
      </c>
      <c r="AA110" s="166" t="s">
        <v>68</v>
      </c>
      <c r="AB110" s="170" t="s">
        <v>43</v>
      </c>
      <c r="AC110" s="170" t="s">
        <v>43</v>
      </c>
      <c r="AD110" s="170" t="s">
        <v>44</v>
      </c>
      <c r="AE110" s="166" t="s">
        <v>402</v>
      </c>
      <c r="AF110" s="171" t="s">
        <v>327</v>
      </c>
      <c r="AG110" s="201" t="s">
        <v>496</v>
      </c>
      <c r="AH110" s="173" t="s">
        <v>384</v>
      </c>
      <c r="AI110" s="34"/>
      <c r="AN110" s="25"/>
      <c r="AO110" s="25"/>
      <c r="AR110" s="25"/>
      <c r="AS110" s="25"/>
      <c r="AT110" s="25"/>
    </row>
    <row r="111" spans="1:46" ht="22.5" hidden="1">
      <c r="A111" s="31">
        <v>1</v>
      </c>
      <c r="B111" s="165" t="s">
        <v>456</v>
      </c>
      <c r="C111" s="166">
        <v>-0.2</v>
      </c>
      <c r="D111" s="166">
        <v>26</v>
      </c>
      <c r="E111" s="166">
        <v>-0.3</v>
      </c>
      <c r="F111" s="166">
        <v>26</v>
      </c>
      <c r="G111" s="167">
        <v>200</v>
      </c>
      <c r="H111" s="168">
        <v>8.0000000000000002E-3</v>
      </c>
      <c r="I111" s="166">
        <v>20</v>
      </c>
      <c r="J111" s="167">
        <v>150</v>
      </c>
      <c r="K111" s="166">
        <v>1</v>
      </c>
      <c r="L111" s="167">
        <v>84</v>
      </c>
      <c r="M111" s="166">
        <v>0</v>
      </c>
      <c r="N111" s="167">
        <v>87.95880017344075</v>
      </c>
      <c r="O111" s="166">
        <v>5</v>
      </c>
      <c r="P111" s="166">
        <v>2.7</v>
      </c>
      <c r="Q111" s="166">
        <v>5.5</v>
      </c>
      <c r="R111" s="169">
        <v>0.52</v>
      </c>
      <c r="S111" s="166">
        <v>80</v>
      </c>
      <c r="T111" s="166" t="s">
        <v>68</v>
      </c>
      <c r="U111" s="167">
        <v>105</v>
      </c>
      <c r="V111" s="166">
        <v>2</v>
      </c>
      <c r="W111" s="166">
        <v>5</v>
      </c>
      <c r="X111" s="166">
        <v>-0.03</v>
      </c>
      <c r="Y111" s="166" t="s">
        <v>68</v>
      </c>
      <c r="Z111" s="166" t="s">
        <v>68</v>
      </c>
      <c r="AA111" s="166" t="s">
        <v>68</v>
      </c>
      <c r="AB111" s="170" t="s">
        <v>43</v>
      </c>
      <c r="AC111" s="170" t="s">
        <v>43</v>
      </c>
      <c r="AD111" s="170" t="s">
        <v>44</v>
      </c>
      <c r="AE111" s="166" t="s">
        <v>402</v>
      </c>
      <c r="AF111" s="171" t="s">
        <v>327</v>
      </c>
      <c r="AG111" s="201" t="s">
        <v>496</v>
      </c>
      <c r="AH111" s="173" t="s">
        <v>384</v>
      </c>
      <c r="AI111" s="34"/>
      <c r="AN111" s="25"/>
      <c r="AO111" s="25"/>
      <c r="AR111" s="25"/>
      <c r="AS111" s="25"/>
      <c r="AT111" s="25"/>
    </row>
    <row r="112" spans="1:46" ht="22.5" hidden="1">
      <c r="A112" s="31">
        <v>1</v>
      </c>
      <c r="B112" s="165" t="s">
        <v>476</v>
      </c>
      <c r="C112" s="166">
        <v>-0.2</v>
      </c>
      <c r="D112" s="166">
        <v>40</v>
      </c>
      <c r="E112" s="166">
        <v>-0.3</v>
      </c>
      <c r="F112" s="166">
        <v>42</v>
      </c>
      <c r="G112" s="167">
        <v>25</v>
      </c>
      <c r="H112" s="168">
        <v>2.5000000000000001E-3</v>
      </c>
      <c r="I112" s="166">
        <v>7</v>
      </c>
      <c r="J112" s="167">
        <v>12</v>
      </c>
      <c r="K112" s="166">
        <v>0.13</v>
      </c>
      <c r="L112" s="167">
        <v>132</v>
      </c>
      <c r="M112" s="166">
        <v>12</v>
      </c>
      <c r="N112" s="167">
        <v>106</v>
      </c>
      <c r="O112" s="166">
        <v>1.8</v>
      </c>
      <c r="P112" s="166">
        <v>1.7</v>
      </c>
      <c r="Q112" s="166">
        <v>5.5</v>
      </c>
      <c r="R112" s="166">
        <v>0.18</v>
      </c>
      <c r="S112" s="166">
        <v>1E-4</v>
      </c>
      <c r="T112" s="166">
        <v>0.2</v>
      </c>
      <c r="U112" s="167">
        <v>45</v>
      </c>
      <c r="V112" s="166">
        <v>0.3</v>
      </c>
      <c r="W112" s="166">
        <v>1</v>
      </c>
      <c r="X112" s="166">
        <v>-0.04</v>
      </c>
      <c r="Y112" s="166" t="s">
        <v>68</v>
      </c>
      <c r="Z112" s="166" t="s">
        <v>68</v>
      </c>
      <c r="AA112" s="166" t="s">
        <v>68</v>
      </c>
      <c r="AB112" s="170" t="s">
        <v>43</v>
      </c>
      <c r="AC112" s="170" t="s">
        <v>43</v>
      </c>
      <c r="AD112" s="170" t="s">
        <v>44</v>
      </c>
      <c r="AE112" s="170" t="s">
        <v>338</v>
      </c>
      <c r="AF112" s="171" t="s">
        <v>68</v>
      </c>
      <c r="AG112" s="201" t="s">
        <v>496</v>
      </c>
      <c r="AH112" s="172" t="s">
        <v>165</v>
      </c>
      <c r="AI112" s="34"/>
      <c r="AN112" s="25"/>
      <c r="AO112" s="25"/>
      <c r="AR112" s="25"/>
      <c r="AS112" s="25"/>
      <c r="AT112" s="25"/>
    </row>
    <row r="113" spans="1:46" ht="22.5" hidden="1">
      <c r="A113" s="31">
        <v>1</v>
      </c>
      <c r="B113" s="165" t="s">
        <v>477</v>
      </c>
      <c r="C113" s="166">
        <v>-0.2</v>
      </c>
      <c r="D113" s="166">
        <v>40</v>
      </c>
      <c r="E113" s="166">
        <v>-0.3</v>
      </c>
      <c r="F113" s="166">
        <v>42</v>
      </c>
      <c r="G113" s="167">
        <v>50</v>
      </c>
      <c r="H113" s="168">
        <v>2.5000000000000001E-3</v>
      </c>
      <c r="I113" s="166">
        <v>7</v>
      </c>
      <c r="J113" s="167">
        <v>12</v>
      </c>
      <c r="K113" s="166">
        <v>0.13</v>
      </c>
      <c r="L113" s="167">
        <v>132</v>
      </c>
      <c r="M113" s="166">
        <v>12</v>
      </c>
      <c r="N113" s="167">
        <v>106</v>
      </c>
      <c r="O113" s="166">
        <v>1.8</v>
      </c>
      <c r="P113" s="166">
        <v>1.7</v>
      </c>
      <c r="Q113" s="166">
        <v>5.5</v>
      </c>
      <c r="R113" s="166">
        <v>0.18</v>
      </c>
      <c r="S113" s="166">
        <v>1E-4</v>
      </c>
      <c r="T113" s="166">
        <v>0.2</v>
      </c>
      <c r="U113" s="167">
        <v>37</v>
      </c>
      <c r="V113" s="166">
        <v>0.3</v>
      </c>
      <c r="W113" s="166">
        <v>1</v>
      </c>
      <c r="X113" s="166">
        <v>-0.04</v>
      </c>
      <c r="Y113" s="166" t="s">
        <v>68</v>
      </c>
      <c r="Z113" s="166" t="s">
        <v>68</v>
      </c>
      <c r="AA113" s="166" t="s">
        <v>68</v>
      </c>
      <c r="AB113" s="170" t="s">
        <v>43</v>
      </c>
      <c r="AC113" s="170" t="s">
        <v>43</v>
      </c>
      <c r="AD113" s="170" t="s">
        <v>44</v>
      </c>
      <c r="AE113" s="170" t="s">
        <v>338</v>
      </c>
      <c r="AF113" s="171" t="s">
        <v>68</v>
      </c>
      <c r="AG113" s="202" t="s">
        <v>496</v>
      </c>
      <c r="AH113" s="172" t="s">
        <v>165</v>
      </c>
      <c r="AI113" s="34"/>
      <c r="AN113" s="25"/>
      <c r="AO113" s="25"/>
      <c r="AR113" s="25"/>
      <c r="AS113" s="25"/>
      <c r="AT113" s="25"/>
    </row>
    <row r="114" spans="1:46" ht="22.5" hidden="1">
      <c r="A114" s="31">
        <v>1</v>
      </c>
      <c r="B114" s="165" t="s">
        <v>478</v>
      </c>
      <c r="C114" s="166">
        <v>-0.2</v>
      </c>
      <c r="D114" s="166">
        <v>40</v>
      </c>
      <c r="E114" s="166">
        <v>-0.3</v>
      </c>
      <c r="F114" s="166">
        <v>42</v>
      </c>
      <c r="G114" s="167">
        <v>100</v>
      </c>
      <c r="H114" s="168">
        <v>2.5000000000000001E-3</v>
      </c>
      <c r="I114" s="166">
        <v>7</v>
      </c>
      <c r="J114" s="167">
        <v>12</v>
      </c>
      <c r="K114" s="166">
        <v>0.13</v>
      </c>
      <c r="L114" s="167">
        <v>132</v>
      </c>
      <c r="M114" s="166">
        <v>12</v>
      </c>
      <c r="N114" s="167">
        <v>106</v>
      </c>
      <c r="O114" s="166">
        <v>1.8</v>
      </c>
      <c r="P114" s="166">
        <v>1.7</v>
      </c>
      <c r="Q114" s="166">
        <v>5.5</v>
      </c>
      <c r="R114" s="166">
        <v>0.18</v>
      </c>
      <c r="S114" s="166">
        <v>1E-4</v>
      </c>
      <c r="T114" s="166">
        <v>0.2</v>
      </c>
      <c r="U114" s="167">
        <v>35</v>
      </c>
      <c r="V114" s="166">
        <v>0.3</v>
      </c>
      <c r="W114" s="166">
        <v>1</v>
      </c>
      <c r="X114" s="166">
        <v>-0.04</v>
      </c>
      <c r="Y114" s="166" t="s">
        <v>68</v>
      </c>
      <c r="Z114" s="166" t="s">
        <v>68</v>
      </c>
      <c r="AA114" s="166" t="s">
        <v>68</v>
      </c>
      <c r="AB114" s="170" t="s">
        <v>43</v>
      </c>
      <c r="AC114" s="170" t="s">
        <v>43</v>
      </c>
      <c r="AD114" s="170" t="s">
        <v>44</v>
      </c>
      <c r="AE114" s="170" t="s">
        <v>338</v>
      </c>
      <c r="AF114" s="171" t="s">
        <v>68</v>
      </c>
      <c r="AG114" s="201" t="s">
        <v>496</v>
      </c>
      <c r="AH114" s="172" t="s">
        <v>165</v>
      </c>
      <c r="AI114" s="34"/>
      <c r="AN114" s="25"/>
      <c r="AO114" s="25"/>
      <c r="AR114" s="25"/>
      <c r="AS114" s="25"/>
      <c r="AT114" s="25"/>
    </row>
    <row r="115" spans="1:46" ht="22.5" hidden="1">
      <c r="A115" s="31">
        <v>1</v>
      </c>
      <c r="B115" s="165" t="s">
        <v>479</v>
      </c>
      <c r="C115" s="166">
        <v>-0.2</v>
      </c>
      <c r="D115" s="166">
        <v>40</v>
      </c>
      <c r="E115" s="166">
        <v>-0.3</v>
      </c>
      <c r="F115" s="166">
        <v>42</v>
      </c>
      <c r="G115" s="167">
        <v>200</v>
      </c>
      <c r="H115" s="168">
        <v>2.5000000000000001E-3</v>
      </c>
      <c r="I115" s="166">
        <v>7</v>
      </c>
      <c r="J115" s="167">
        <v>12</v>
      </c>
      <c r="K115" s="166">
        <v>0.13</v>
      </c>
      <c r="L115" s="167">
        <v>132</v>
      </c>
      <c r="M115" s="166">
        <v>12</v>
      </c>
      <c r="N115" s="167">
        <v>106</v>
      </c>
      <c r="O115" s="166">
        <v>1.8</v>
      </c>
      <c r="P115" s="166">
        <v>1.7</v>
      </c>
      <c r="Q115" s="166">
        <v>5.5</v>
      </c>
      <c r="R115" s="166">
        <v>0.18</v>
      </c>
      <c r="S115" s="166">
        <v>1E-4</v>
      </c>
      <c r="T115" s="166">
        <v>0.2</v>
      </c>
      <c r="U115" s="167">
        <v>33</v>
      </c>
      <c r="V115" s="166">
        <v>0.3</v>
      </c>
      <c r="W115" s="166">
        <v>1</v>
      </c>
      <c r="X115" s="166">
        <v>-0.04</v>
      </c>
      <c r="Y115" s="166" t="s">
        <v>68</v>
      </c>
      <c r="Z115" s="166" t="s">
        <v>68</v>
      </c>
      <c r="AA115" s="166" t="s">
        <v>68</v>
      </c>
      <c r="AB115" s="170" t="s">
        <v>43</v>
      </c>
      <c r="AC115" s="170" t="s">
        <v>43</v>
      </c>
      <c r="AD115" s="170" t="s">
        <v>44</v>
      </c>
      <c r="AE115" s="170" t="s">
        <v>338</v>
      </c>
      <c r="AF115" s="171" t="s">
        <v>68</v>
      </c>
      <c r="AG115" s="202" t="s">
        <v>496</v>
      </c>
      <c r="AH115" s="172" t="s">
        <v>165</v>
      </c>
      <c r="AI115" s="34"/>
      <c r="AN115" s="25"/>
      <c r="AO115" s="25"/>
      <c r="AR115" s="25"/>
      <c r="AS115" s="25"/>
      <c r="AT115" s="25"/>
    </row>
    <row r="116" spans="1:46" ht="22.5" hidden="1">
      <c r="A116" s="31">
        <v>1</v>
      </c>
      <c r="B116" s="165" t="s">
        <v>480</v>
      </c>
      <c r="C116" s="166">
        <v>-0.2</v>
      </c>
      <c r="D116" s="166">
        <v>40</v>
      </c>
      <c r="E116" s="166">
        <v>-0.3</v>
      </c>
      <c r="F116" s="166">
        <v>42</v>
      </c>
      <c r="G116" s="167">
        <v>500</v>
      </c>
      <c r="H116" s="168">
        <v>2.5000000000000001E-3</v>
      </c>
      <c r="I116" s="166">
        <v>7</v>
      </c>
      <c r="J116" s="167">
        <v>12</v>
      </c>
      <c r="K116" s="166">
        <v>0.13</v>
      </c>
      <c r="L116" s="167">
        <v>132</v>
      </c>
      <c r="M116" s="166">
        <v>12</v>
      </c>
      <c r="N116" s="167">
        <v>106</v>
      </c>
      <c r="O116" s="166">
        <v>1.8</v>
      </c>
      <c r="P116" s="166">
        <v>1.7</v>
      </c>
      <c r="Q116" s="166">
        <v>5.5</v>
      </c>
      <c r="R116" s="166">
        <v>0.18</v>
      </c>
      <c r="S116" s="166">
        <v>1E-4</v>
      </c>
      <c r="T116" s="166">
        <v>0.2</v>
      </c>
      <c r="U116" s="167">
        <v>27</v>
      </c>
      <c r="V116" s="166">
        <v>0.3</v>
      </c>
      <c r="W116" s="166">
        <v>1</v>
      </c>
      <c r="X116" s="166">
        <v>-0.04</v>
      </c>
      <c r="Y116" s="166" t="s">
        <v>68</v>
      </c>
      <c r="Z116" s="166" t="s">
        <v>68</v>
      </c>
      <c r="AA116" s="166" t="s">
        <v>68</v>
      </c>
      <c r="AB116" s="170" t="s">
        <v>43</v>
      </c>
      <c r="AC116" s="170" t="s">
        <v>43</v>
      </c>
      <c r="AD116" s="170" t="s">
        <v>44</v>
      </c>
      <c r="AE116" s="170" t="s">
        <v>338</v>
      </c>
      <c r="AF116" s="171" t="s">
        <v>68</v>
      </c>
      <c r="AG116" s="201" t="s">
        <v>496</v>
      </c>
      <c r="AH116" s="172" t="s">
        <v>165</v>
      </c>
      <c r="AI116" s="34"/>
      <c r="AN116" s="25"/>
      <c r="AO116" s="25"/>
      <c r="AR116" s="25"/>
      <c r="AS116" s="25"/>
      <c r="AT116" s="25"/>
    </row>
    <row r="117" spans="1:46" ht="22.5" hidden="1">
      <c r="A117" s="31">
        <v>1</v>
      </c>
      <c r="B117" s="165" t="s">
        <v>215</v>
      </c>
      <c r="C117" s="166">
        <v>0</v>
      </c>
      <c r="D117" s="166">
        <v>26</v>
      </c>
      <c r="E117" s="166">
        <v>-0.3</v>
      </c>
      <c r="F117" s="166">
        <v>26</v>
      </c>
      <c r="G117" s="167">
        <v>1</v>
      </c>
      <c r="H117" s="168">
        <v>5.0000000000000001E-3</v>
      </c>
      <c r="I117" s="166">
        <v>83</v>
      </c>
      <c r="J117" s="167">
        <v>100</v>
      </c>
      <c r="K117" s="166">
        <v>0.16</v>
      </c>
      <c r="L117" s="167">
        <v>100</v>
      </c>
      <c r="M117" s="166">
        <v>12</v>
      </c>
      <c r="N117" s="167">
        <v>100</v>
      </c>
      <c r="O117" s="166">
        <v>3.3</v>
      </c>
      <c r="P117" s="166">
        <v>3</v>
      </c>
      <c r="Q117" s="166">
        <v>5.5</v>
      </c>
      <c r="R117" s="166">
        <v>1</v>
      </c>
      <c r="S117" s="166">
        <v>20</v>
      </c>
      <c r="T117" s="166">
        <v>15</v>
      </c>
      <c r="U117" s="167" t="s">
        <v>68</v>
      </c>
      <c r="V117" s="166" t="s">
        <v>68</v>
      </c>
      <c r="W117" s="166" t="s">
        <v>68</v>
      </c>
      <c r="X117" s="166" t="s">
        <v>68</v>
      </c>
      <c r="Y117" s="166">
        <v>12</v>
      </c>
      <c r="Z117" s="166">
        <v>93</v>
      </c>
      <c r="AA117" s="166" t="s">
        <v>85</v>
      </c>
      <c r="AB117" s="170" t="s">
        <v>44</v>
      </c>
      <c r="AC117" s="170" t="s">
        <v>43</v>
      </c>
      <c r="AD117" s="170" t="s">
        <v>44</v>
      </c>
      <c r="AE117" s="166"/>
      <c r="AF117" s="170" t="s">
        <v>68</v>
      </c>
      <c r="AG117" s="202" t="s">
        <v>496</v>
      </c>
      <c r="AH117" s="173" t="s">
        <v>334</v>
      </c>
      <c r="AI117" s="34"/>
      <c r="AN117" s="25"/>
      <c r="AO117" s="25"/>
      <c r="AR117" s="25"/>
      <c r="AS117" s="25"/>
      <c r="AT117" s="25"/>
    </row>
    <row r="118" spans="1:46" ht="22.5" hidden="1">
      <c r="A118" s="31">
        <v>1</v>
      </c>
      <c r="B118" s="165" t="s">
        <v>233</v>
      </c>
      <c r="C118" s="166">
        <v>0</v>
      </c>
      <c r="D118" s="166">
        <v>26</v>
      </c>
      <c r="E118" s="166">
        <v>-0.3</v>
      </c>
      <c r="F118" s="166">
        <v>26</v>
      </c>
      <c r="G118" s="175">
        <v>0.5</v>
      </c>
      <c r="H118" s="168">
        <v>5.0000000000000001E-3</v>
      </c>
      <c r="I118" s="166">
        <v>83</v>
      </c>
      <c r="J118" s="167">
        <v>125</v>
      </c>
      <c r="K118" s="166">
        <v>0.16</v>
      </c>
      <c r="L118" s="167">
        <v>100</v>
      </c>
      <c r="M118" s="166">
        <v>12</v>
      </c>
      <c r="N118" s="167">
        <v>100</v>
      </c>
      <c r="O118" s="166">
        <v>3.3</v>
      </c>
      <c r="P118" s="166">
        <v>3</v>
      </c>
      <c r="Q118" s="166">
        <v>5.5</v>
      </c>
      <c r="R118" s="166">
        <v>1</v>
      </c>
      <c r="S118" s="166">
        <v>20</v>
      </c>
      <c r="T118" s="166">
        <v>15</v>
      </c>
      <c r="U118" s="167" t="s">
        <v>68</v>
      </c>
      <c r="V118" s="166" t="s">
        <v>68</v>
      </c>
      <c r="W118" s="166" t="s">
        <v>68</v>
      </c>
      <c r="X118" s="166" t="s">
        <v>68</v>
      </c>
      <c r="Y118" s="166">
        <v>12</v>
      </c>
      <c r="Z118" s="166">
        <v>93</v>
      </c>
      <c r="AA118" s="166" t="s">
        <v>85</v>
      </c>
      <c r="AB118" s="170" t="s">
        <v>44</v>
      </c>
      <c r="AC118" s="170" t="s">
        <v>43</v>
      </c>
      <c r="AD118" s="170" t="s">
        <v>44</v>
      </c>
      <c r="AE118" s="166"/>
      <c r="AF118" s="170" t="s">
        <v>68</v>
      </c>
      <c r="AG118" s="202" t="s">
        <v>496</v>
      </c>
      <c r="AH118" s="173" t="s">
        <v>334</v>
      </c>
      <c r="AI118" s="34"/>
      <c r="AN118" s="25"/>
      <c r="AO118" s="25"/>
      <c r="AR118" s="25"/>
      <c r="AS118" s="25"/>
      <c r="AT118" s="25"/>
    </row>
    <row r="119" spans="1:46" ht="22.5" hidden="1">
      <c r="A119" s="31">
        <v>1</v>
      </c>
      <c r="B119" s="165" t="s">
        <v>227</v>
      </c>
      <c r="C119" s="166">
        <v>0</v>
      </c>
      <c r="D119" s="166">
        <v>26</v>
      </c>
      <c r="E119" s="166">
        <v>-0.3</v>
      </c>
      <c r="F119" s="166">
        <v>26</v>
      </c>
      <c r="G119" s="169">
        <v>0.25</v>
      </c>
      <c r="H119" s="168">
        <v>5.0000000000000001E-3</v>
      </c>
      <c r="I119" s="166">
        <v>83</v>
      </c>
      <c r="J119" s="167">
        <v>150</v>
      </c>
      <c r="K119" s="166">
        <v>0.16</v>
      </c>
      <c r="L119" s="167">
        <v>100</v>
      </c>
      <c r="M119" s="166">
        <v>12</v>
      </c>
      <c r="N119" s="167">
        <v>100</v>
      </c>
      <c r="O119" s="166">
        <v>3.3</v>
      </c>
      <c r="P119" s="166">
        <v>3</v>
      </c>
      <c r="Q119" s="166">
        <v>5.5</v>
      </c>
      <c r="R119" s="166">
        <v>1</v>
      </c>
      <c r="S119" s="166">
        <v>20</v>
      </c>
      <c r="T119" s="166">
        <v>15</v>
      </c>
      <c r="U119" s="167" t="s">
        <v>68</v>
      </c>
      <c r="V119" s="166" t="s">
        <v>68</v>
      </c>
      <c r="W119" s="166" t="s">
        <v>68</v>
      </c>
      <c r="X119" s="166" t="s">
        <v>68</v>
      </c>
      <c r="Y119" s="166">
        <v>12</v>
      </c>
      <c r="Z119" s="166">
        <v>93</v>
      </c>
      <c r="AA119" s="166" t="s">
        <v>85</v>
      </c>
      <c r="AB119" s="170" t="s">
        <v>44</v>
      </c>
      <c r="AC119" s="170" t="s">
        <v>43</v>
      </c>
      <c r="AD119" s="170" t="s">
        <v>44</v>
      </c>
      <c r="AE119" s="166"/>
      <c r="AF119" s="170" t="s">
        <v>68</v>
      </c>
      <c r="AG119" s="202" t="s">
        <v>496</v>
      </c>
      <c r="AH119" s="173" t="s">
        <v>334</v>
      </c>
      <c r="AI119" s="34"/>
      <c r="AN119" s="25"/>
      <c r="AO119" s="25"/>
      <c r="AR119" s="25"/>
      <c r="AS119" s="25"/>
      <c r="AT119" s="25"/>
    </row>
    <row r="120" spans="1:46" ht="22.5" hidden="1">
      <c r="A120" s="31">
        <v>1</v>
      </c>
      <c r="B120" s="165" t="s">
        <v>221</v>
      </c>
      <c r="C120" s="166">
        <v>0</v>
      </c>
      <c r="D120" s="166">
        <v>26</v>
      </c>
      <c r="E120" s="166">
        <v>-0.3</v>
      </c>
      <c r="F120" s="166">
        <v>26</v>
      </c>
      <c r="G120" s="176">
        <v>0.125</v>
      </c>
      <c r="H120" s="168">
        <v>5.0000000000000001E-3</v>
      </c>
      <c r="I120" s="166">
        <v>83</v>
      </c>
      <c r="J120" s="167">
        <v>200</v>
      </c>
      <c r="K120" s="166">
        <v>0.16</v>
      </c>
      <c r="L120" s="167">
        <v>100</v>
      </c>
      <c r="M120" s="166">
        <v>12</v>
      </c>
      <c r="N120" s="167">
        <v>100</v>
      </c>
      <c r="O120" s="166">
        <v>3.3</v>
      </c>
      <c r="P120" s="166">
        <v>3</v>
      </c>
      <c r="Q120" s="166">
        <v>5.5</v>
      </c>
      <c r="R120" s="166">
        <v>1</v>
      </c>
      <c r="S120" s="166">
        <v>20</v>
      </c>
      <c r="T120" s="166">
        <v>15</v>
      </c>
      <c r="U120" s="167" t="s">
        <v>68</v>
      </c>
      <c r="V120" s="166" t="s">
        <v>68</v>
      </c>
      <c r="W120" s="166" t="s">
        <v>68</v>
      </c>
      <c r="X120" s="166" t="s">
        <v>68</v>
      </c>
      <c r="Y120" s="166">
        <v>12</v>
      </c>
      <c r="Z120" s="166">
        <v>93</v>
      </c>
      <c r="AA120" s="166" t="s">
        <v>85</v>
      </c>
      <c r="AB120" s="170" t="s">
        <v>44</v>
      </c>
      <c r="AC120" s="170" t="s">
        <v>43</v>
      </c>
      <c r="AD120" s="170" t="s">
        <v>44</v>
      </c>
      <c r="AE120" s="166"/>
      <c r="AF120" s="170" t="s">
        <v>68</v>
      </c>
      <c r="AG120" s="202" t="s">
        <v>496</v>
      </c>
      <c r="AH120" s="173" t="s">
        <v>334</v>
      </c>
      <c r="AI120" s="34"/>
      <c r="AN120" s="25"/>
      <c r="AO120" s="25"/>
      <c r="AR120" s="25"/>
      <c r="AS120" s="25"/>
      <c r="AT120" s="25"/>
    </row>
    <row r="121" spans="1:46" ht="22.5" hidden="1">
      <c r="A121" s="31">
        <v>1</v>
      </c>
      <c r="B121" s="165" t="s">
        <v>216</v>
      </c>
      <c r="C121" s="166">
        <v>0</v>
      </c>
      <c r="D121" s="166">
        <v>26</v>
      </c>
      <c r="E121" s="166">
        <v>-0.3</v>
      </c>
      <c r="F121" s="166">
        <v>26</v>
      </c>
      <c r="G121" s="167">
        <v>1</v>
      </c>
      <c r="H121" s="168">
        <v>3.0000000000000001E-3</v>
      </c>
      <c r="I121" s="166">
        <v>33</v>
      </c>
      <c r="J121" s="167">
        <v>50</v>
      </c>
      <c r="K121" s="166">
        <v>0.16</v>
      </c>
      <c r="L121" s="167">
        <v>100</v>
      </c>
      <c r="M121" s="166">
        <v>12</v>
      </c>
      <c r="N121" s="167">
        <v>100</v>
      </c>
      <c r="O121" s="166">
        <v>3.3</v>
      </c>
      <c r="P121" s="166">
        <v>3</v>
      </c>
      <c r="Q121" s="166">
        <v>5.5</v>
      </c>
      <c r="R121" s="166">
        <v>1</v>
      </c>
      <c r="S121" s="166">
        <v>20</v>
      </c>
      <c r="T121" s="166">
        <v>15</v>
      </c>
      <c r="U121" s="167" t="s">
        <v>68</v>
      </c>
      <c r="V121" s="166" t="s">
        <v>68</v>
      </c>
      <c r="W121" s="166" t="s">
        <v>68</v>
      </c>
      <c r="X121" s="166" t="s">
        <v>68</v>
      </c>
      <c r="Y121" s="166">
        <v>12</v>
      </c>
      <c r="Z121" s="166">
        <v>93</v>
      </c>
      <c r="AA121" s="166" t="s">
        <v>85</v>
      </c>
      <c r="AB121" s="170" t="s">
        <v>44</v>
      </c>
      <c r="AC121" s="170" t="s">
        <v>43</v>
      </c>
      <c r="AD121" s="170" t="s">
        <v>44</v>
      </c>
      <c r="AE121" s="166"/>
      <c r="AF121" s="170" t="s">
        <v>68</v>
      </c>
      <c r="AG121" s="202" t="s">
        <v>496</v>
      </c>
      <c r="AH121" s="173" t="s">
        <v>334</v>
      </c>
      <c r="AI121" s="34"/>
      <c r="AN121" s="25"/>
      <c r="AO121" s="25"/>
      <c r="AR121" s="25"/>
      <c r="AS121" s="25"/>
      <c r="AT121" s="25"/>
    </row>
    <row r="122" spans="1:46" ht="22.5" hidden="1">
      <c r="A122" s="31">
        <v>1</v>
      </c>
      <c r="B122" s="165" t="s">
        <v>234</v>
      </c>
      <c r="C122" s="166">
        <v>0</v>
      </c>
      <c r="D122" s="166">
        <v>26</v>
      </c>
      <c r="E122" s="166">
        <v>-0.3</v>
      </c>
      <c r="F122" s="166">
        <v>26</v>
      </c>
      <c r="G122" s="175">
        <v>0.5</v>
      </c>
      <c r="H122" s="168">
        <v>3.0000000000000001E-3</v>
      </c>
      <c r="I122" s="166">
        <v>33</v>
      </c>
      <c r="J122" s="167">
        <v>75</v>
      </c>
      <c r="K122" s="166">
        <v>0.16</v>
      </c>
      <c r="L122" s="167">
        <v>100</v>
      </c>
      <c r="M122" s="166">
        <v>12</v>
      </c>
      <c r="N122" s="167">
        <v>100</v>
      </c>
      <c r="O122" s="166">
        <v>3.3</v>
      </c>
      <c r="P122" s="166">
        <v>3</v>
      </c>
      <c r="Q122" s="166">
        <v>5.5</v>
      </c>
      <c r="R122" s="166">
        <v>1</v>
      </c>
      <c r="S122" s="166">
        <v>20</v>
      </c>
      <c r="T122" s="166">
        <v>15</v>
      </c>
      <c r="U122" s="167" t="s">
        <v>68</v>
      </c>
      <c r="V122" s="166" t="s">
        <v>68</v>
      </c>
      <c r="W122" s="166" t="s">
        <v>68</v>
      </c>
      <c r="X122" s="166" t="s">
        <v>68</v>
      </c>
      <c r="Y122" s="166">
        <v>12</v>
      </c>
      <c r="Z122" s="166">
        <v>93</v>
      </c>
      <c r="AA122" s="166" t="s">
        <v>85</v>
      </c>
      <c r="AB122" s="170" t="s">
        <v>44</v>
      </c>
      <c r="AC122" s="170" t="s">
        <v>43</v>
      </c>
      <c r="AD122" s="170" t="s">
        <v>44</v>
      </c>
      <c r="AE122" s="166"/>
      <c r="AF122" s="170" t="s">
        <v>68</v>
      </c>
      <c r="AG122" s="202" t="s">
        <v>496</v>
      </c>
      <c r="AH122" s="173" t="s">
        <v>334</v>
      </c>
      <c r="AI122" s="34"/>
      <c r="AN122" s="25"/>
      <c r="AO122" s="25"/>
      <c r="AR122" s="25"/>
      <c r="AS122" s="25"/>
      <c r="AT122" s="25"/>
    </row>
    <row r="123" spans="1:46" ht="22.5" hidden="1">
      <c r="A123" s="31">
        <v>1</v>
      </c>
      <c r="B123" s="165" t="s">
        <v>228</v>
      </c>
      <c r="C123" s="166">
        <v>0</v>
      </c>
      <c r="D123" s="166">
        <v>26</v>
      </c>
      <c r="E123" s="166">
        <v>-0.3</v>
      </c>
      <c r="F123" s="166">
        <v>26</v>
      </c>
      <c r="G123" s="169">
        <v>0.25</v>
      </c>
      <c r="H123" s="168">
        <v>3.0000000000000001E-3</v>
      </c>
      <c r="I123" s="166">
        <v>33</v>
      </c>
      <c r="J123" s="167">
        <v>75</v>
      </c>
      <c r="K123" s="166">
        <v>0.16</v>
      </c>
      <c r="L123" s="167">
        <v>100</v>
      </c>
      <c r="M123" s="166">
        <v>12</v>
      </c>
      <c r="N123" s="167">
        <v>100</v>
      </c>
      <c r="O123" s="166">
        <v>3.3</v>
      </c>
      <c r="P123" s="166">
        <v>3</v>
      </c>
      <c r="Q123" s="166">
        <v>5.5</v>
      </c>
      <c r="R123" s="166">
        <v>1</v>
      </c>
      <c r="S123" s="166">
        <v>20</v>
      </c>
      <c r="T123" s="166">
        <v>15</v>
      </c>
      <c r="U123" s="167" t="s">
        <v>68</v>
      </c>
      <c r="V123" s="166" t="s">
        <v>68</v>
      </c>
      <c r="W123" s="166" t="s">
        <v>68</v>
      </c>
      <c r="X123" s="166" t="s">
        <v>68</v>
      </c>
      <c r="Y123" s="166">
        <v>12</v>
      </c>
      <c r="Z123" s="166">
        <v>93</v>
      </c>
      <c r="AA123" s="166" t="s">
        <v>85</v>
      </c>
      <c r="AB123" s="170" t="s">
        <v>44</v>
      </c>
      <c r="AC123" s="170" t="s">
        <v>43</v>
      </c>
      <c r="AD123" s="170" t="s">
        <v>44</v>
      </c>
      <c r="AE123" s="166"/>
      <c r="AF123" s="170" t="s">
        <v>68</v>
      </c>
      <c r="AG123" s="202" t="s">
        <v>496</v>
      </c>
      <c r="AH123" s="173" t="s">
        <v>334</v>
      </c>
      <c r="AI123" s="34"/>
      <c r="AN123" s="25"/>
      <c r="AO123" s="25"/>
      <c r="AR123" s="25"/>
      <c r="AS123" s="25"/>
      <c r="AT123" s="25"/>
    </row>
    <row r="124" spans="1:46" ht="22.5" hidden="1">
      <c r="A124" s="31">
        <v>1</v>
      </c>
      <c r="B124" s="165" t="s">
        <v>222</v>
      </c>
      <c r="C124" s="166">
        <v>0</v>
      </c>
      <c r="D124" s="166">
        <v>26</v>
      </c>
      <c r="E124" s="166">
        <v>-0.3</v>
      </c>
      <c r="F124" s="166">
        <v>26</v>
      </c>
      <c r="G124" s="176">
        <v>0.125</v>
      </c>
      <c r="H124" s="168">
        <v>3.0000000000000001E-3</v>
      </c>
      <c r="I124" s="166">
        <v>33</v>
      </c>
      <c r="J124" s="167">
        <v>100</v>
      </c>
      <c r="K124" s="166">
        <v>0.16</v>
      </c>
      <c r="L124" s="167">
        <v>100</v>
      </c>
      <c r="M124" s="166">
        <v>12</v>
      </c>
      <c r="N124" s="167">
        <v>100</v>
      </c>
      <c r="O124" s="166">
        <v>3.3</v>
      </c>
      <c r="P124" s="166">
        <v>3</v>
      </c>
      <c r="Q124" s="166">
        <v>5.5</v>
      </c>
      <c r="R124" s="166">
        <v>1</v>
      </c>
      <c r="S124" s="166">
        <v>20</v>
      </c>
      <c r="T124" s="166">
        <v>15</v>
      </c>
      <c r="U124" s="167" t="s">
        <v>68</v>
      </c>
      <c r="V124" s="166" t="s">
        <v>68</v>
      </c>
      <c r="W124" s="166" t="s">
        <v>68</v>
      </c>
      <c r="X124" s="166" t="s">
        <v>68</v>
      </c>
      <c r="Y124" s="166">
        <v>12</v>
      </c>
      <c r="Z124" s="166">
        <v>93</v>
      </c>
      <c r="AA124" s="166" t="s">
        <v>85</v>
      </c>
      <c r="AB124" s="170" t="s">
        <v>44</v>
      </c>
      <c r="AC124" s="170" t="s">
        <v>43</v>
      </c>
      <c r="AD124" s="170" t="s">
        <v>44</v>
      </c>
      <c r="AE124" s="166"/>
      <c r="AF124" s="170" t="s">
        <v>68</v>
      </c>
      <c r="AG124" s="202" t="s">
        <v>496</v>
      </c>
      <c r="AH124" s="173" t="s">
        <v>334</v>
      </c>
      <c r="AI124" s="34"/>
      <c r="AN124" s="25"/>
      <c r="AO124" s="25"/>
      <c r="AR124" s="25"/>
      <c r="AS124" s="25"/>
      <c r="AT124" s="25"/>
    </row>
    <row r="125" spans="1:46" ht="11.25" hidden="1">
      <c r="A125" s="31">
        <v>1</v>
      </c>
      <c r="B125" s="165" t="s">
        <v>217</v>
      </c>
      <c r="C125" s="166">
        <v>0</v>
      </c>
      <c r="D125" s="166">
        <v>26</v>
      </c>
      <c r="E125" s="166">
        <v>-0.3</v>
      </c>
      <c r="F125" s="166">
        <v>26</v>
      </c>
      <c r="G125" s="167">
        <v>1</v>
      </c>
      <c r="H125" s="168">
        <v>5.0000000000000001E-3</v>
      </c>
      <c r="I125" s="166">
        <v>83</v>
      </c>
      <c r="J125" s="167">
        <v>100</v>
      </c>
      <c r="K125" s="166">
        <v>0.16</v>
      </c>
      <c r="L125" s="167">
        <v>100</v>
      </c>
      <c r="M125" s="166">
        <v>12</v>
      </c>
      <c r="N125" s="167">
        <v>100</v>
      </c>
      <c r="O125" s="166">
        <v>3.3</v>
      </c>
      <c r="P125" s="166">
        <v>3</v>
      </c>
      <c r="Q125" s="166">
        <v>5.5</v>
      </c>
      <c r="R125" s="166">
        <v>1</v>
      </c>
      <c r="S125" s="166">
        <v>20</v>
      </c>
      <c r="T125" s="166">
        <v>15</v>
      </c>
      <c r="U125" s="167" t="s">
        <v>68</v>
      </c>
      <c r="V125" s="166" t="s">
        <v>68</v>
      </c>
      <c r="W125" s="166" t="s">
        <v>68</v>
      </c>
      <c r="X125" s="166" t="s">
        <v>68</v>
      </c>
      <c r="Y125" s="166">
        <v>12</v>
      </c>
      <c r="Z125" s="166">
        <v>93</v>
      </c>
      <c r="AA125" s="166" t="s">
        <v>85</v>
      </c>
      <c r="AB125" s="170" t="s">
        <v>43</v>
      </c>
      <c r="AC125" s="170" t="s">
        <v>43</v>
      </c>
      <c r="AD125" s="170" t="s">
        <v>44</v>
      </c>
      <c r="AE125" s="166"/>
      <c r="AF125" s="166" t="s">
        <v>327</v>
      </c>
      <c r="AG125" s="202" t="s">
        <v>496</v>
      </c>
      <c r="AH125" s="172" t="s">
        <v>158</v>
      </c>
      <c r="AI125" s="34"/>
      <c r="AN125" s="25"/>
      <c r="AO125" s="25"/>
      <c r="AR125" s="25"/>
      <c r="AS125" s="25"/>
      <c r="AT125" s="25"/>
    </row>
    <row r="126" spans="1:46" ht="11.25" hidden="1">
      <c r="A126" s="31">
        <v>1</v>
      </c>
      <c r="B126" s="165" t="s">
        <v>235</v>
      </c>
      <c r="C126" s="166">
        <v>0</v>
      </c>
      <c r="D126" s="166">
        <v>26</v>
      </c>
      <c r="E126" s="166">
        <v>-0.3</v>
      </c>
      <c r="F126" s="166">
        <v>26</v>
      </c>
      <c r="G126" s="175">
        <v>0.5</v>
      </c>
      <c r="H126" s="168">
        <v>5.0000000000000001E-3</v>
      </c>
      <c r="I126" s="166">
        <v>83</v>
      </c>
      <c r="J126" s="167">
        <v>125</v>
      </c>
      <c r="K126" s="166">
        <v>0.16</v>
      </c>
      <c r="L126" s="167">
        <v>100</v>
      </c>
      <c r="M126" s="166">
        <v>12</v>
      </c>
      <c r="N126" s="167">
        <v>100</v>
      </c>
      <c r="O126" s="166">
        <v>3.3</v>
      </c>
      <c r="P126" s="166">
        <v>3</v>
      </c>
      <c r="Q126" s="166">
        <v>5.5</v>
      </c>
      <c r="R126" s="166">
        <v>1</v>
      </c>
      <c r="S126" s="166">
        <v>20</v>
      </c>
      <c r="T126" s="166">
        <v>15</v>
      </c>
      <c r="U126" s="167" t="s">
        <v>68</v>
      </c>
      <c r="V126" s="166" t="s">
        <v>68</v>
      </c>
      <c r="W126" s="166" t="s">
        <v>68</v>
      </c>
      <c r="X126" s="166" t="s">
        <v>68</v>
      </c>
      <c r="Y126" s="166">
        <v>12</v>
      </c>
      <c r="Z126" s="166">
        <v>93</v>
      </c>
      <c r="AA126" s="166" t="s">
        <v>85</v>
      </c>
      <c r="AB126" s="170" t="s">
        <v>43</v>
      </c>
      <c r="AC126" s="170" t="s">
        <v>43</v>
      </c>
      <c r="AD126" s="170" t="s">
        <v>44</v>
      </c>
      <c r="AE126" s="166"/>
      <c r="AF126" s="166" t="s">
        <v>327</v>
      </c>
      <c r="AG126" s="202" t="s">
        <v>496</v>
      </c>
      <c r="AH126" s="172" t="s">
        <v>158</v>
      </c>
      <c r="AI126" s="34"/>
      <c r="AN126" s="25"/>
      <c r="AO126" s="25"/>
      <c r="AR126" s="25"/>
      <c r="AS126" s="25"/>
      <c r="AT126" s="25"/>
    </row>
    <row r="127" spans="1:46" ht="11.25" hidden="1">
      <c r="A127" s="31">
        <v>1</v>
      </c>
      <c r="B127" s="165" t="s">
        <v>229</v>
      </c>
      <c r="C127" s="166">
        <v>0</v>
      </c>
      <c r="D127" s="166">
        <v>26</v>
      </c>
      <c r="E127" s="166">
        <v>-0.3</v>
      </c>
      <c r="F127" s="166">
        <v>26</v>
      </c>
      <c r="G127" s="169">
        <v>0.25</v>
      </c>
      <c r="H127" s="168">
        <v>5.0000000000000001E-3</v>
      </c>
      <c r="I127" s="166">
        <v>83</v>
      </c>
      <c r="J127" s="167">
        <v>150</v>
      </c>
      <c r="K127" s="166">
        <v>0.16</v>
      </c>
      <c r="L127" s="167">
        <v>100</v>
      </c>
      <c r="M127" s="166">
        <v>12</v>
      </c>
      <c r="N127" s="167">
        <v>100</v>
      </c>
      <c r="O127" s="166">
        <v>3.3</v>
      </c>
      <c r="P127" s="166">
        <v>3</v>
      </c>
      <c r="Q127" s="166">
        <v>5.5</v>
      </c>
      <c r="R127" s="166">
        <v>1</v>
      </c>
      <c r="S127" s="166">
        <v>20</v>
      </c>
      <c r="T127" s="166">
        <v>15</v>
      </c>
      <c r="U127" s="167" t="s">
        <v>68</v>
      </c>
      <c r="V127" s="166" t="s">
        <v>68</v>
      </c>
      <c r="W127" s="166" t="s">
        <v>68</v>
      </c>
      <c r="X127" s="166" t="s">
        <v>68</v>
      </c>
      <c r="Y127" s="166">
        <v>12</v>
      </c>
      <c r="Z127" s="166">
        <v>93</v>
      </c>
      <c r="AA127" s="166" t="s">
        <v>85</v>
      </c>
      <c r="AB127" s="170" t="s">
        <v>43</v>
      </c>
      <c r="AC127" s="170" t="s">
        <v>43</v>
      </c>
      <c r="AD127" s="170" t="s">
        <v>44</v>
      </c>
      <c r="AE127" s="166"/>
      <c r="AF127" s="166" t="s">
        <v>327</v>
      </c>
      <c r="AG127" s="202" t="s">
        <v>496</v>
      </c>
      <c r="AH127" s="172" t="s">
        <v>158</v>
      </c>
      <c r="AI127" s="34"/>
      <c r="AN127" s="25"/>
      <c r="AO127" s="25"/>
      <c r="AR127" s="25"/>
      <c r="AS127" s="25"/>
      <c r="AT127" s="25"/>
    </row>
    <row r="128" spans="1:46" ht="11.25" hidden="1">
      <c r="A128" s="31">
        <v>1</v>
      </c>
      <c r="B128" s="165" t="s">
        <v>223</v>
      </c>
      <c r="C128" s="166">
        <v>0</v>
      </c>
      <c r="D128" s="166">
        <v>26</v>
      </c>
      <c r="E128" s="166">
        <v>-0.3</v>
      </c>
      <c r="F128" s="166">
        <v>26</v>
      </c>
      <c r="G128" s="176">
        <v>0.125</v>
      </c>
      <c r="H128" s="168">
        <v>5.0000000000000001E-3</v>
      </c>
      <c r="I128" s="166">
        <v>83</v>
      </c>
      <c r="J128" s="167">
        <v>200</v>
      </c>
      <c r="K128" s="166">
        <v>0.16</v>
      </c>
      <c r="L128" s="167">
        <v>100</v>
      </c>
      <c r="M128" s="166">
        <v>12</v>
      </c>
      <c r="N128" s="167">
        <v>100</v>
      </c>
      <c r="O128" s="166">
        <v>3.3</v>
      </c>
      <c r="P128" s="166">
        <v>3</v>
      </c>
      <c r="Q128" s="166">
        <v>5.5</v>
      </c>
      <c r="R128" s="166">
        <v>1</v>
      </c>
      <c r="S128" s="166">
        <v>20</v>
      </c>
      <c r="T128" s="166">
        <v>15</v>
      </c>
      <c r="U128" s="167" t="s">
        <v>68</v>
      </c>
      <c r="V128" s="166" t="s">
        <v>68</v>
      </c>
      <c r="W128" s="166" t="s">
        <v>68</v>
      </c>
      <c r="X128" s="166" t="s">
        <v>68</v>
      </c>
      <c r="Y128" s="166">
        <v>12</v>
      </c>
      <c r="Z128" s="166">
        <v>93</v>
      </c>
      <c r="AA128" s="166" t="s">
        <v>85</v>
      </c>
      <c r="AB128" s="170" t="s">
        <v>43</v>
      </c>
      <c r="AC128" s="170" t="s">
        <v>43</v>
      </c>
      <c r="AD128" s="170" t="s">
        <v>44</v>
      </c>
      <c r="AE128" s="166"/>
      <c r="AF128" s="166" t="s">
        <v>327</v>
      </c>
      <c r="AG128" s="202" t="s">
        <v>496</v>
      </c>
      <c r="AH128" s="172" t="s">
        <v>158</v>
      </c>
      <c r="AI128" s="34"/>
      <c r="AN128" s="25"/>
      <c r="AO128" s="25"/>
      <c r="AR128" s="25"/>
      <c r="AS128" s="25"/>
      <c r="AT128" s="25"/>
    </row>
    <row r="129" spans="1:46" ht="11.25" hidden="1">
      <c r="A129" s="31">
        <v>1</v>
      </c>
      <c r="B129" s="165" t="s">
        <v>218</v>
      </c>
      <c r="C129" s="166">
        <v>0</v>
      </c>
      <c r="D129" s="166">
        <v>26</v>
      </c>
      <c r="E129" s="166">
        <v>-0.3</v>
      </c>
      <c r="F129" s="166">
        <v>26</v>
      </c>
      <c r="G129" s="167">
        <v>1</v>
      </c>
      <c r="H129" s="168">
        <v>3.0000000000000001E-3</v>
      </c>
      <c r="I129" s="166">
        <v>33</v>
      </c>
      <c r="J129" s="167">
        <v>50</v>
      </c>
      <c r="K129" s="166">
        <v>0.16</v>
      </c>
      <c r="L129" s="167">
        <v>100</v>
      </c>
      <c r="M129" s="166">
        <v>12</v>
      </c>
      <c r="N129" s="167">
        <v>100</v>
      </c>
      <c r="O129" s="166">
        <v>3.3</v>
      </c>
      <c r="P129" s="166">
        <v>3</v>
      </c>
      <c r="Q129" s="166">
        <v>5.5</v>
      </c>
      <c r="R129" s="166">
        <v>1</v>
      </c>
      <c r="S129" s="166">
        <v>20</v>
      </c>
      <c r="T129" s="166">
        <v>15</v>
      </c>
      <c r="U129" s="167" t="s">
        <v>68</v>
      </c>
      <c r="V129" s="166" t="s">
        <v>68</v>
      </c>
      <c r="W129" s="166" t="s">
        <v>68</v>
      </c>
      <c r="X129" s="166" t="s">
        <v>68</v>
      </c>
      <c r="Y129" s="166">
        <v>12</v>
      </c>
      <c r="Z129" s="166">
        <v>93</v>
      </c>
      <c r="AA129" s="166" t="s">
        <v>85</v>
      </c>
      <c r="AB129" s="170" t="s">
        <v>43</v>
      </c>
      <c r="AC129" s="170" t="s">
        <v>43</v>
      </c>
      <c r="AD129" s="170" t="s">
        <v>44</v>
      </c>
      <c r="AE129" s="166"/>
      <c r="AF129" s="171" t="s">
        <v>327</v>
      </c>
      <c r="AG129" s="202" t="s">
        <v>496</v>
      </c>
      <c r="AH129" s="172" t="s">
        <v>158</v>
      </c>
      <c r="AI129" s="34"/>
      <c r="AN129" s="25"/>
      <c r="AO129" s="25"/>
      <c r="AR129" s="25"/>
      <c r="AS129" s="25"/>
      <c r="AT129" s="25"/>
    </row>
    <row r="130" spans="1:46" ht="11.25" hidden="1">
      <c r="A130" s="31">
        <v>1</v>
      </c>
      <c r="B130" s="165" t="s">
        <v>236</v>
      </c>
      <c r="C130" s="166">
        <v>0</v>
      </c>
      <c r="D130" s="166">
        <v>26</v>
      </c>
      <c r="E130" s="166">
        <v>-0.3</v>
      </c>
      <c r="F130" s="166">
        <v>26</v>
      </c>
      <c r="G130" s="175">
        <v>0.5</v>
      </c>
      <c r="H130" s="168">
        <v>3.0000000000000001E-3</v>
      </c>
      <c r="I130" s="166">
        <v>33</v>
      </c>
      <c r="J130" s="167">
        <v>75</v>
      </c>
      <c r="K130" s="166">
        <v>0.16</v>
      </c>
      <c r="L130" s="167">
        <v>100</v>
      </c>
      <c r="M130" s="166">
        <v>12</v>
      </c>
      <c r="N130" s="167">
        <v>100</v>
      </c>
      <c r="O130" s="166">
        <v>3.3</v>
      </c>
      <c r="P130" s="166">
        <v>3</v>
      </c>
      <c r="Q130" s="166">
        <v>5.5</v>
      </c>
      <c r="R130" s="166">
        <v>1</v>
      </c>
      <c r="S130" s="166">
        <v>20</v>
      </c>
      <c r="T130" s="166">
        <v>15</v>
      </c>
      <c r="U130" s="167" t="s">
        <v>68</v>
      </c>
      <c r="V130" s="166" t="s">
        <v>68</v>
      </c>
      <c r="W130" s="166" t="s">
        <v>68</v>
      </c>
      <c r="X130" s="166" t="s">
        <v>68</v>
      </c>
      <c r="Y130" s="166">
        <v>12</v>
      </c>
      <c r="Z130" s="166">
        <v>93</v>
      </c>
      <c r="AA130" s="166" t="s">
        <v>85</v>
      </c>
      <c r="AB130" s="170" t="s">
        <v>43</v>
      </c>
      <c r="AC130" s="170" t="s">
        <v>43</v>
      </c>
      <c r="AD130" s="170" t="s">
        <v>44</v>
      </c>
      <c r="AE130" s="166"/>
      <c r="AF130" s="171" t="s">
        <v>327</v>
      </c>
      <c r="AG130" s="202" t="s">
        <v>496</v>
      </c>
      <c r="AH130" s="172" t="s">
        <v>158</v>
      </c>
      <c r="AI130" s="34"/>
      <c r="AN130" s="25"/>
      <c r="AO130" s="25"/>
      <c r="AR130" s="25"/>
      <c r="AS130" s="25"/>
      <c r="AT130" s="25"/>
    </row>
    <row r="131" spans="1:46" ht="11.25" hidden="1">
      <c r="A131" s="31">
        <v>1</v>
      </c>
      <c r="B131" s="165" t="s">
        <v>230</v>
      </c>
      <c r="C131" s="166">
        <v>0</v>
      </c>
      <c r="D131" s="166">
        <v>26</v>
      </c>
      <c r="E131" s="166">
        <v>-0.3</v>
      </c>
      <c r="F131" s="166">
        <v>26</v>
      </c>
      <c r="G131" s="169">
        <v>0.25</v>
      </c>
      <c r="H131" s="168">
        <v>3.0000000000000001E-3</v>
      </c>
      <c r="I131" s="166">
        <v>33</v>
      </c>
      <c r="J131" s="167">
        <v>75</v>
      </c>
      <c r="K131" s="166">
        <v>0.16</v>
      </c>
      <c r="L131" s="167">
        <v>100</v>
      </c>
      <c r="M131" s="166">
        <v>12</v>
      </c>
      <c r="N131" s="167">
        <v>100</v>
      </c>
      <c r="O131" s="166">
        <v>3.3</v>
      </c>
      <c r="P131" s="166">
        <v>3</v>
      </c>
      <c r="Q131" s="166">
        <v>5.5</v>
      </c>
      <c r="R131" s="166">
        <v>1</v>
      </c>
      <c r="S131" s="166">
        <v>20</v>
      </c>
      <c r="T131" s="166">
        <v>15</v>
      </c>
      <c r="U131" s="167" t="s">
        <v>68</v>
      </c>
      <c r="V131" s="166" t="s">
        <v>68</v>
      </c>
      <c r="W131" s="166" t="s">
        <v>68</v>
      </c>
      <c r="X131" s="166" t="s">
        <v>68</v>
      </c>
      <c r="Y131" s="166">
        <v>12</v>
      </c>
      <c r="Z131" s="166">
        <v>93</v>
      </c>
      <c r="AA131" s="166" t="s">
        <v>85</v>
      </c>
      <c r="AB131" s="170" t="s">
        <v>43</v>
      </c>
      <c r="AC131" s="170" t="s">
        <v>43</v>
      </c>
      <c r="AD131" s="170" t="s">
        <v>44</v>
      </c>
      <c r="AE131" s="166"/>
      <c r="AF131" s="171" t="s">
        <v>327</v>
      </c>
      <c r="AG131" s="202" t="s">
        <v>496</v>
      </c>
      <c r="AH131" s="172" t="s">
        <v>158</v>
      </c>
      <c r="AI131" s="34"/>
      <c r="AN131" s="25"/>
      <c r="AO131" s="25"/>
      <c r="AR131" s="25"/>
      <c r="AS131" s="25"/>
      <c r="AT131" s="25"/>
    </row>
    <row r="132" spans="1:46" ht="11.25" hidden="1">
      <c r="A132" s="31">
        <v>1</v>
      </c>
      <c r="B132" s="165" t="s">
        <v>224</v>
      </c>
      <c r="C132" s="166">
        <v>0</v>
      </c>
      <c r="D132" s="166">
        <v>26</v>
      </c>
      <c r="E132" s="166">
        <v>-0.3</v>
      </c>
      <c r="F132" s="166">
        <v>26</v>
      </c>
      <c r="G132" s="176">
        <v>0.125</v>
      </c>
      <c r="H132" s="168">
        <v>3.0000000000000001E-3</v>
      </c>
      <c r="I132" s="166">
        <v>33</v>
      </c>
      <c r="J132" s="167">
        <v>100</v>
      </c>
      <c r="K132" s="166">
        <v>0.16</v>
      </c>
      <c r="L132" s="167">
        <v>100</v>
      </c>
      <c r="M132" s="166">
        <v>12</v>
      </c>
      <c r="N132" s="167">
        <v>100</v>
      </c>
      <c r="O132" s="166">
        <v>3.3</v>
      </c>
      <c r="P132" s="166">
        <v>3</v>
      </c>
      <c r="Q132" s="166">
        <v>5.5</v>
      </c>
      <c r="R132" s="166">
        <v>1</v>
      </c>
      <c r="S132" s="166">
        <v>20</v>
      </c>
      <c r="T132" s="166">
        <v>15</v>
      </c>
      <c r="U132" s="167" t="s">
        <v>68</v>
      </c>
      <c r="V132" s="166" t="s">
        <v>68</v>
      </c>
      <c r="W132" s="166" t="s">
        <v>68</v>
      </c>
      <c r="X132" s="166" t="s">
        <v>68</v>
      </c>
      <c r="Y132" s="166">
        <v>12</v>
      </c>
      <c r="Z132" s="166">
        <v>93</v>
      </c>
      <c r="AA132" s="166" t="s">
        <v>85</v>
      </c>
      <c r="AB132" s="170" t="s">
        <v>43</v>
      </c>
      <c r="AC132" s="170" t="s">
        <v>43</v>
      </c>
      <c r="AD132" s="170" t="s">
        <v>44</v>
      </c>
      <c r="AE132" s="166"/>
      <c r="AF132" s="171" t="s">
        <v>327</v>
      </c>
      <c r="AG132" s="202" t="s">
        <v>496</v>
      </c>
      <c r="AH132" s="172" t="s">
        <v>158</v>
      </c>
      <c r="AI132" s="34"/>
      <c r="AN132" s="25"/>
      <c r="AO132" s="25"/>
      <c r="AR132" s="25"/>
      <c r="AS132" s="25"/>
      <c r="AT132" s="25"/>
    </row>
    <row r="133" spans="1:46" ht="33.75" hidden="1">
      <c r="A133" s="31">
        <v>1</v>
      </c>
      <c r="B133" s="165" t="s">
        <v>53</v>
      </c>
      <c r="C133" s="166">
        <v>0</v>
      </c>
      <c r="D133" s="166">
        <v>26</v>
      </c>
      <c r="E133" s="166">
        <v>-0.3</v>
      </c>
      <c r="F133" s="166">
        <v>26</v>
      </c>
      <c r="G133" s="167">
        <v>128</v>
      </c>
      <c r="H133" s="168">
        <v>5.0000000000000001E-3</v>
      </c>
      <c r="I133" s="166">
        <v>75</v>
      </c>
      <c r="J133" s="167">
        <v>150</v>
      </c>
      <c r="K133" s="166">
        <v>0.3</v>
      </c>
      <c r="L133" s="167">
        <v>100</v>
      </c>
      <c r="M133" s="166">
        <v>12</v>
      </c>
      <c r="N133" s="167">
        <v>92.041200000000003</v>
      </c>
      <c r="O133" s="166">
        <v>3.3</v>
      </c>
      <c r="P133" s="166">
        <v>2.7</v>
      </c>
      <c r="Q133" s="166">
        <v>5.5</v>
      </c>
      <c r="R133" s="166">
        <v>0.25</v>
      </c>
      <c r="S133" s="166">
        <v>18</v>
      </c>
      <c r="T133" s="166">
        <v>1</v>
      </c>
      <c r="U133" s="167">
        <v>20</v>
      </c>
      <c r="V133" s="166">
        <v>0.25</v>
      </c>
      <c r="W133" s="166">
        <v>10</v>
      </c>
      <c r="X133" s="166">
        <v>-3.5000000000000003E-2</v>
      </c>
      <c r="Y133" s="166" t="s">
        <v>68</v>
      </c>
      <c r="Z133" s="166" t="s">
        <v>68</v>
      </c>
      <c r="AA133" s="166" t="s">
        <v>68</v>
      </c>
      <c r="AB133" s="170" t="s">
        <v>44</v>
      </c>
      <c r="AC133" s="170" t="s">
        <v>44</v>
      </c>
      <c r="AD133" s="170" t="s">
        <v>44</v>
      </c>
      <c r="AE133" s="170" t="s">
        <v>524</v>
      </c>
      <c r="AF133" s="170" t="s">
        <v>68</v>
      </c>
      <c r="AG133" s="201" t="s">
        <v>498</v>
      </c>
      <c r="AH133" s="172" t="s">
        <v>161</v>
      </c>
      <c r="AI133" s="34"/>
      <c r="AN133" s="25"/>
      <c r="AO133" s="25"/>
      <c r="AR133" s="25"/>
      <c r="AS133" s="25"/>
      <c r="AT133" s="25"/>
    </row>
    <row r="134" spans="1:46" ht="33.75" hidden="1">
      <c r="A134" s="31">
        <v>1</v>
      </c>
      <c r="B134" s="165" t="s">
        <v>52</v>
      </c>
      <c r="C134" s="166">
        <v>0</v>
      </c>
      <c r="D134" s="166">
        <v>26</v>
      </c>
      <c r="E134" s="166">
        <v>-0.3</v>
      </c>
      <c r="F134" s="166">
        <v>26</v>
      </c>
      <c r="G134" s="167">
        <v>20</v>
      </c>
      <c r="H134" s="168">
        <v>2.5000000000000001E-3</v>
      </c>
      <c r="I134" s="166">
        <v>50</v>
      </c>
      <c r="J134" s="167">
        <v>300</v>
      </c>
      <c r="K134" s="166">
        <v>1</v>
      </c>
      <c r="L134" s="167">
        <v>92</v>
      </c>
      <c r="M134" s="166">
        <v>12</v>
      </c>
      <c r="N134" s="167">
        <v>86.020600000000002</v>
      </c>
      <c r="O134" s="166">
        <v>3.3</v>
      </c>
      <c r="P134" s="166">
        <v>2.7</v>
      </c>
      <c r="Q134" s="166">
        <v>5.5</v>
      </c>
      <c r="R134" s="166">
        <v>0.25</v>
      </c>
      <c r="S134" s="166">
        <v>18</v>
      </c>
      <c r="T134" s="166">
        <v>1</v>
      </c>
      <c r="U134" s="167">
        <v>25</v>
      </c>
      <c r="V134" s="166">
        <v>0.25</v>
      </c>
      <c r="W134" s="166">
        <v>10</v>
      </c>
      <c r="X134" s="166">
        <v>-3.5000000000000003E-2</v>
      </c>
      <c r="Y134" s="166" t="s">
        <v>68</v>
      </c>
      <c r="Z134" s="166" t="s">
        <v>68</v>
      </c>
      <c r="AA134" s="166" t="s">
        <v>68</v>
      </c>
      <c r="AB134" s="170" t="s">
        <v>44</v>
      </c>
      <c r="AC134" s="170" t="s">
        <v>44</v>
      </c>
      <c r="AD134" s="170" t="s">
        <v>44</v>
      </c>
      <c r="AE134" s="170" t="s">
        <v>524</v>
      </c>
      <c r="AF134" s="170" t="s">
        <v>68</v>
      </c>
      <c r="AG134" s="201" t="s">
        <v>498</v>
      </c>
      <c r="AH134" s="172" t="s">
        <v>161</v>
      </c>
      <c r="AI134" s="34"/>
      <c r="AN134" s="25"/>
      <c r="AO134" s="25"/>
      <c r="AR134" s="25"/>
      <c r="AS134" s="25"/>
      <c r="AT134" s="25"/>
    </row>
    <row r="135" spans="1:46" ht="33.75" hidden="1">
      <c r="A135" s="31">
        <v>1</v>
      </c>
      <c r="B135" s="165" t="s">
        <v>54</v>
      </c>
      <c r="C135" s="166">
        <v>0</v>
      </c>
      <c r="D135" s="166">
        <v>26</v>
      </c>
      <c r="E135" s="166">
        <v>-0.3</v>
      </c>
      <c r="F135" s="166">
        <v>26</v>
      </c>
      <c r="G135" s="167">
        <v>300</v>
      </c>
      <c r="H135" s="168">
        <v>0.01</v>
      </c>
      <c r="I135" s="166">
        <v>125</v>
      </c>
      <c r="J135" s="167">
        <v>100</v>
      </c>
      <c r="K135" s="166">
        <v>0.3</v>
      </c>
      <c r="L135" s="167">
        <v>100</v>
      </c>
      <c r="M135" s="166">
        <v>12</v>
      </c>
      <c r="N135" s="167">
        <v>96.478170000000006</v>
      </c>
      <c r="O135" s="166">
        <v>3.3</v>
      </c>
      <c r="P135" s="166">
        <v>2.7</v>
      </c>
      <c r="Q135" s="166">
        <v>5.5</v>
      </c>
      <c r="R135" s="166">
        <v>0.25</v>
      </c>
      <c r="S135" s="166">
        <v>18</v>
      </c>
      <c r="T135" s="166">
        <v>1</v>
      </c>
      <c r="U135" s="167">
        <v>10</v>
      </c>
      <c r="V135" s="166">
        <v>0.25</v>
      </c>
      <c r="W135" s="166">
        <v>10</v>
      </c>
      <c r="X135" s="166">
        <v>-3.5000000000000003E-2</v>
      </c>
      <c r="Y135" s="166" t="s">
        <v>68</v>
      </c>
      <c r="Z135" s="166" t="s">
        <v>68</v>
      </c>
      <c r="AA135" s="166" t="s">
        <v>68</v>
      </c>
      <c r="AB135" s="170" t="s">
        <v>44</v>
      </c>
      <c r="AC135" s="170" t="s">
        <v>44</v>
      </c>
      <c r="AD135" s="170" t="s">
        <v>44</v>
      </c>
      <c r="AE135" s="170" t="s">
        <v>524</v>
      </c>
      <c r="AF135" s="170" t="s">
        <v>68</v>
      </c>
      <c r="AG135" s="201" t="s">
        <v>498</v>
      </c>
      <c r="AH135" s="172" t="s">
        <v>161</v>
      </c>
      <c r="AI135" s="34"/>
      <c r="AN135" s="25"/>
      <c r="AO135" s="25"/>
      <c r="AR135" s="25"/>
      <c r="AS135" s="25"/>
      <c r="AT135" s="25"/>
    </row>
    <row r="136" spans="1:46" ht="11.25" hidden="1">
      <c r="A136" s="31">
        <v>1</v>
      </c>
      <c r="B136" s="165" t="s">
        <v>55</v>
      </c>
      <c r="C136" s="166">
        <v>0</v>
      </c>
      <c r="D136" s="166">
        <v>36</v>
      </c>
      <c r="E136" s="177">
        <v>-0.3</v>
      </c>
      <c r="F136" s="170">
        <v>40</v>
      </c>
      <c r="G136" s="167">
        <v>100</v>
      </c>
      <c r="H136" s="168">
        <v>1E-3</v>
      </c>
      <c r="I136" s="166">
        <v>10</v>
      </c>
      <c r="J136" s="167">
        <v>150</v>
      </c>
      <c r="K136" s="166">
        <v>0.5</v>
      </c>
      <c r="L136" s="167">
        <v>95</v>
      </c>
      <c r="M136" s="166">
        <v>12</v>
      </c>
      <c r="N136" s="167">
        <v>120</v>
      </c>
      <c r="O136" s="166">
        <v>5</v>
      </c>
      <c r="P136" s="166">
        <v>2.7</v>
      </c>
      <c r="Q136" s="166">
        <v>36</v>
      </c>
      <c r="R136" s="166">
        <v>0.375</v>
      </c>
      <c r="S136" s="166">
        <v>72</v>
      </c>
      <c r="T136" s="166" t="s">
        <v>68</v>
      </c>
      <c r="U136" s="167">
        <v>125</v>
      </c>
      <c r="V136" s="166">
        <v>0.4</v>
      </c>
      <c r="W136" s="166">
        <v>30</v>
      </c>
      <c r="X136" s="166">
        <v>-0.2</v>
      </c>
      <c r="Y136" s="166" t="s">
        <v>68</v>
      </c>
      <c r="Z136" s="166" t="s">
        <v>68</v>
      </c>
      <c r="AA136" s="166" t="s">
        <v>68</v>
      </c>
      <c r="AB136" s="170" t="s">
        <v>43</v>
      </c>
      <c r="AC136" s="170" t="s">
        <v>43</v>
      </c>
      <c r="AD136" s="170" t="s">
        <v>44</v>
      </c>
      <c r="AE136" s="166" t="s">
        <v>523</v>
      </c>
      <c r="AF136" s="171" t="s">
        <v>327</v>
      </c>
      <c r="AG136" s="202" t="s">
        <v>496</v>
      </c>
      <c r="AH136" s="172" t="s">
        <v>160</v>
      </c>
      <c r="AI136" s="34"/>
      <c r="AN136" s="25"/>
      <c r="AO136" s="25"/>
      <c r="AR136" s="25"/>
      <c r="AS136" s="25"/>
      <c r="AT136" s="25"/>
    </row>
    <row r="137" spans="1:46" ht="11.25" hidden="1">
      <c r="A137" s="31">
        <v>1</v>
      </c>
      <c r="B137" s="165" t="s">
        <v>56</v>
      </c>
      <c r="C137" s="166">
        <v>0</v>
      </c>
      <c r="D137" s="166">
        <v>36</v>
      </c>
      <c r="E137" s="177">
        <v>-0.3</v>
      </c>
      <c r="F137" s="170">
        <v>40</v>
      </c>
      <c r="G137" s="167">
        <v>200</v>
      </c>
      <c r="H137" s="168">
        <v>1.5E-3</v>
      </c>
      <c r="I137" s="166">
        <v>15</v>
      </c>
      <c r="J137" s="167">
        <v>150</v>
      </c>
      <c r="K137" s="166">
        <v>0.5</v>
      </c>
      <c r="L137" s="167">
        <v>95</v>
      </c>
      <c r="M137" s="166">
        <v>12</v>
      </c>
      <c r="N137" s="167">
        <v>120</v>
      </c>
      <c r="O137" s="166">
        <v>5</v>
      </c>
      <c r="P137" s="166">
        <v>2.7</v>
      </c>
      <c r="Q137" s="166">
        <v>36</v>
      </c>
      <c r="R137" s="166">
        <v>0.375</v>
      </c>
      <c r="S137" s="166">
        <v>72</v>
      </c>
      <c r="T137" s="166" t="s">
        <v>68</v>
      </c>
      <c r="U137" s="167">
        <v>70</v>
      </c>
      <c r="V137" s="166">
        <v>0.4</v>
      </c>
      <c r="W137" s="166">
        <v>60</v>
      </c>
      <c r="X137" s="166">
        <v>-0.2</v>
      </c>
      <c r="Y137" s="166" t="s">
        <v>68</v>
      </c>
      <c r="Z137" s="166" t="s">
        <v>68</v>
      </c>
      <c r="AA137" s="166" t="s">
        <v>68</v>
      </c>
      <c r="AB137" s="170" t="s">
        <v>43</v>
      </c>
      <c r="AC137" s="170" t="s">
        <v>43</v>
      </c>
      <c r="AD137" s="170" t="s">
        <v>44</v>
      </c>
      <c r="AE137" s="166" t="s">
        <v>523</v>
      </c>
      <c r="AF137" s="171" t="s">
        <v>327</v>
      </c>
      <c r="AG137" s="202" t="s">
        <v>496</v>
      </c>
      <c r="AH137" s="172" t="s">
        <v>160</v>
      </c>
      <c r="AI137" s="34"/>
      <c r="AN137" s="25"/>
      <c r="AO137" s="25"/>
      <c r="AR137" s="25"/>
      <c r="AS137" s="25"/>
      <c r="AT137" s="25"/>
    </row>
    <row r="138" spans="1:46" ht="11.25" hidden="1">
      <c r="A138" s="31">
        <v>1</v>
      </c>
      <c r="B138" s="165" t="s">
        <v>58</v>
      </c>
      <c r="C138" s="166">
        <v>0</v>
      </c>
      <c r="D138" s="166">
        <v>36</v>
      </c>
      <c r="E138" s="177">
        <v>-0.3</v>
      </c>
      <c r="F138" s="170">
        <v>40</v>
      </c>
      <c r="G138" s="167">
        <v>25</v>
      </c>
      <c r="H138" s="168">
        <v>5.0000000000000001E-4</v>
      </c>
      <c r="I138" s="166">
        <v>10</v>
      </c>
      <c r="J138" s="167">
        <v>150</v>
      </c>
      <c r="K138" s="166">
        <v>0.5</v>
      </c>
      <c r="L138" s="167">
        <v>95</v>
      </c>
      <c r="M138" s="166">
        <v>12</v>
      </c>
      <c r="N138" s="167">
        <v>120</v>
      </c>
      <c r="O138" s="166">
        <v>5</v>
      </c>
      <c r="P138" s="166">
        <v>2.7</v>
      </c>
      <c r="Q138" s="166">
        <v>36</v>
      </c>
      <c r="R138" s="166">
        <v>0.375</v>
      </c>
      <c r="S138" s="166">
        <v>72</v>
      </c>
      <c r="T138" s="166" t="s">
        <v>68</v>
      </c>
      <c r="U138" s="167">
        <v>250</v>
      </c>
      <c r="V138" s="166">
        <v>0.4</v>
      </c>
      <c r="W138" s="166">
        <v>7</v>
      </c>
      <c r="X138" s="166">
        <v>-0.2</v>
      </c>
      <c r="Y138" s="166" t="s">
        <v>68</v>
      </c>
      <c r="Z138" s="166" t="s">
        <v>68</v>
      </c>
      <c r="AA138" s="166" t="s">
        <v>68</v>
      </c>
      <c r="AB138" s="170" t="s">
        <v>43</v>
      </c>
      <c r="AC138" s="170" t="s">
        <v>43</v>
      </c>
      <c r="AD138" s="170" t="s">
        <v>44</v>
      </c>
      <c r="AE138" s="166" t="s">
        <v>523</v>
      </c>
      <c r="AF138" s="171" t="s">
        <v>327</v>
      </c>
      <c r="AG138" s="202" t="s">
        <v>496</v>
      </c>
      <c r="AH138" s="172" t="s">
        <v>160</v>
      </c>
      <c r="AI138" s="34"/>
      <c r="AN138" s="25"/>
      <c r="AO138" s="25"/>
      <c r="AR138" s="25"/>
      <c r="AS138" s="25"/>
      <c r="AT138" s="25"/>
    </row>
    <row r="139" spans="1:46" ht="11.25" hidden="1">
      <c r="A139" s="31">
        <v>1</v>
      </c>
      <c r="B139" s="165" t="s">
        <v>57</v>
      </c>
      <c r="C139" s="166">
        <v>0</v>
      </c>
      <c r="D139" s="166">
        <v>36</v>
      </c>
      <c r="E139" s="177">
        <v>-0.3</v>
      </c>
      <c r="F139" s="170">
        <v>40</v>
      </c>
      <c r="G139" s="167">
        <v>50</v>
      </c>
      <c r="H139" s="168">
        <v>5.0000000000000001E-4</v>
      </c>
      <c r="I139" s="166">
        <v>10</v>
      </c>
      <c r="J139" s="167">
        <v>150</v>
      </c>
      <c r="K139" s="166">
        <v>0.5</v>
      </c>
      <c r="L139" s="167">
        <v>95</v>
      </c>
      <c r="M139" s="166">
        <v>12</v>
      </c>
      <c r="N139" s="167">
        <v>120</v>
      </c>
      <c r="O139" s="166">
        <v>5</v>
      </c>
      <c r="P139" s="166">
        <v>2.7</v>
      </c>
      <c r="Q139" s="166">
        <v>36</v>
      </c>
      <c r="R139" s="166">
        <v>0.375</v>
      </c>
      <c r="S139" s="166">
        <v>72</v>
      </c>
      <c r="T139" s="166" t="s">
        <v>68</v>
      </c>
      <c r="U139" s="167">
        <v>200</v>
      </c>
      <c r="V139" s="166">
        <v>0.4</v>
      </c>
      <c r="W139" s="166">
        <v>15</v>
      </c>
      <c r="X139" s="166">
        <v>-0.2</v>
      </c>
      <c r="Y139" s="166" t="s">
        <v>68</v>
      </c>
      <c r="Z139" s="166" t="s">
        <v>68</v>
      </c>
      <c r="AA139" s="166" t="s">
        <v>68</v>
      </c>
      <c r="AB139" s="170" t="s">
        <v>43</v>
      </c>
      <c r="AC139" s="170" t="s">
        <v>43</v>
      </c>
      <c r="AD139" s="170" t="s">
        <v>44</v>
      </c>
      <c r="AE139" s="166" t="s">
        <v>523</v>
      </c>
      <c r="AF139" s="171" t="s">
        <v>327</v>
      </c>
      <c r="AG139" s="202" t="s">
        <v>496</v>
      </c>
      <c r="AH139" s="172" t="s">
        <v>160</v>
      </c>
      <c r="AI139" s="34"/>
      <c r="AN139" s="25"/>
      <c r="AO139" s="25"/>
      <c r="AR139" s="25"/>
      <c r="AS139" s="25"/>
      <c r="AT139" s="25"/>
    </row>
    <row r="140" spans="1:46" ht="11.25" hidden="1">
      <c r="A140" s="31">
        <v>1</v>
      </c>
      <c r="B140" s="165" t="s">
        <v>77</v>
      </c>
      <c r="C140" s="166">
        <v>0</v>
      </c>
      <c r="D140" s="166">
        <v>36</v>
      </c>
      <c r="E140" s="177">
        <v>-0.3</v>
      </c>
      <c r="F140" s="170">
        <v>40</v>
      </c>
      <c r="G140" s="167">
        <v>1</v>
      </c>
      <c r="H140" s="168">
        <v>1E-3</v>
      </c>
      <c r="I140" s="166">
        <v>50</v>
      </c>
      <c r="J140" s="166">
        <v>10</v>
      </c>
      <c r="K140" s="166">
        <v>0.1</v>
      </c>
      <c r="L140" s="167">
        <v>126</v>
      </c>
      <c r="M140" s="166">
        <v>12</v>
      </c>
      <c r="N140" s="167">
        <v>92</v>
      </c>
      <c r="O140" s="166">
        <v>3.3</v>
      </c>
      <c r="P140" s="166">
        <v>2.7</v>
      </c>
      <c r="Q140" s="166">
        <v>5.5</v>
      </c>
      <c r="R140" s="166">
        <v>0.42</v>
      </c>
      <c r="S140" s="166">
        <v>10</v>
      </c>
      <c r="T140" s="166">
        <v>2</v>
      </c>
      <c r="U140" s="167" t="s">
        <v>68</v>
      </c>
      <c r="V140" s="166" t="s">
        <v>68</v>
      </c>
      <c r="W140" s="166" t="s">
        <v>68</v>
      </c>
      <c r="X140" s="166" t="s">
        <v>68</v>
      </c>
      <c r="Y140" s="166">
        <v>16</v>
      </c>
      <c r="Z140" s="166">
        <v>154</v>
      </c>
      <c r="AA140" s="166" t="s">
        <v>85</v>
      </c>
      <c r="AB140" s="170" t="s">
        <v>43</v>
      </c>
      <c r="AC140" s="170" t="s">
        <v>43</v>
      </c>
      <c r="AD140" s="170" t="s">
        <v>100</v>
      </c>
      <c r="AE140" s="166"/>
      <c r="AF140" s="171" t="s">
        <v>327</v>
      </c>
      <c r="AG140" s="202" t="s">
        <v>496</v>
      </c>
      <c r="AH140" s="172" t="s">
        <v>158</v>
      </c>
      <c r="AI140" s="34"/>
      <c r="AN140" s="25"/>
      <c r="AO140" s="25"/>
      <c r="AR140" s="25"/>
      <c r="AS140" s="25"/>
      <c r="AT140" s="25"/>
    </row>
    <row r="141" spans="1:46" ht="33.75" hidden="1">
      <c r="A141" s="31">
        <v>1</v>
      </c>
      <c r="B141" s="165" t="s">
        <v>468</v>
      </c>
      <c r="C141" s="178">
        <v>-0.3</v>
      </c>
      <c r="D141" s="170">
        <v>85</v>
      </c>
      <c r="E141" s="178">
        <v>-0.3</v>
      </c>
      <c r="F141" s="170">
        <v>85</v>
      </c>
      <c r="G141" s="179">
        <v>1</v>
      </c>
      <c r="H141" s="180">
        <v>5.0000000000000001E-4</v>
      </c>
      <c r="I141" s="177">
        <v>20</v>
      </c>
      <c r="J141" s="170">
        <v>1</v>
      </c>
      <c r="K141" s="170">
        <v>0.01</v>
      </c>
      <c r="L141" s="179">
        <v>154</v>
      </c>
      <c r="M141" s="166">
        <v>24</v>
      </c>
      <c r="N141" s="179">
        <v>126</v>
      </c>
      <c r="O141" s="166">
        <v>3.3</v>
      </c>
      <c r="P141" s="170">
        <v>2.7</v>
      </c>
      <c r="Q141" s="170">
        <v>5.5</v>
      </c>
      <c r="R141" s="170">
        <v>1.1000000000000001</v>
      </c>
      <c r="S141" s="170">
        <v>2.5000000000000001E-3</v>
      </c>
      <c r="T141" s="170">
        <v>5</v>
      </c>
      <c r="U141" s="179" t="s">
        <v>68</v>
      </c>
      <c r="V141" s="170" t="s">
        <v>68</v>
      </c>
      <c r="W141" s="170" t="s">
        <v>68</v>
      </c>
      <c r="X141" s="170" t="s">
        <v>68</v>
      </c>
      <c r="Y141" s="170">
        <v>20</v>
      </c>
      <c r="Z141" s="170">
        <v>50</v>
      </c>
      <c r="AA141" s="170" t="s">
        <v>85</v>
      </c>
      <c r="AB141" s="170" t="s">
        <v>43</v>
      </c>
      <c r="AC141" s="166" t="s">
        <v>43</v>
      </c>
      <c r="AD141" s="170" t="s">
        <v>100</v>
      </c>
      <c r="AE141" s="170" t="s">
        <v>339</v>
      </c>
      <c r="AF141" s="171" t="s">
        <v>327</v>
      </c>
      <c r="AG141" s="204" t="s">
        <v>496</v>
      </c>
      <c r="AH141" s="172" t="s">
        <v>158</v>
      </c>
      <c r="AI141" s="34"/>
      <c r="AN141" s="25"/>
      <c r="AO141" s="25"/>
      <c r="AR141" s="25"/>
      <c r="AS141" s="25"/>
      <c r="AT141" s="25"/>
    </row>
    <row r="142" spans="1:46" ht="22.5" hidden="1">
      <c r="A142" s="31">
        <v>1</v>
      </c>
      <c r="B142" s="165" t="s">
        <v>469</v>
      </c>
      <c r="C142" s="178">
        <v>-0.3</v>
      </c>
      <c r="D142" s="170">
        <v>85</v>
      </c>
      <c r="E142" s="178">
        <v>-0.3</v>
      </c>
      <c r="F142" s="170">
        <v>85</v>
      </c>
      <c r="G142" s="179">
        <v>1</v>
      </c>
      <c r="H142" s="180">
        <v>5.0000000000000001E-4</v>
      </c>
      <c r="I142" s="177">
        <v>20</v>
      </c>
      <c r="J142" s="170">
        <v>1</v>
      </c>
      <c r="K142" s="170">
        <v>0.01</v>
      </c>
      <c r="L142" s="179">
        <v>154</v>
      </c>
      <c r="M142" s="166">
        <v>24</v>
      </c>
      <c r="N142" s="179">
        <v>126</v>
      </c>
      <c r="O142" s="166">
        <v>3.3</v>
      </c>
      <c r="P142" s="170">
        <v>2.7</v>
      </c>
      <c r="Q142" s="170">
        <v>5.5</v>
      </c>
      <c r="R142" s="170">
        <v>1.1000000000000001</v>
      </c>
      <c r="S142" s="170">
        <v>2.5000000000000001E-3</v>
      </c>
      <c r="T142" s="170">
        <v>5</v>
      </c>
      <c r="U142" s="179" t="s">
        <v>68</v>
      </c>
      <c r="V142" s="170" t="s">
        <v>68</v>
      </c>
      <c r="W142" s="170" t="s">
        <v>68</v>
      </c>
      <c r="X142" s="170" t="s">
        <v>68</v>
      </c>
      <c r="Y142" s="170">
        <v>20</v>
      </c>
      <c r="Z142" s="170">
        <v>50</v>
      </c>
      <c r="AA142" s="170" t="s">
        <v>83</v>
      </c>
      <c r="AB142" s="170" t="s">
        <v>43</v>
      </c>
      <c r="AC142" s="166" t="s">
        <v>43</v>
      </c>
      <c r="AD142" s="170" t="s">
        <v>100</v>
      </c>
      <c r="AE142" s="170" t="s">
        <v>391</v>
      </c>
      <c r="AF142" s="171" t="s">
        <v>327</v>
      </c>
      <c r="AG142" s="204" t="s">
        <v>496</v>
      </c>
      <c r="AH142" s="172" t="s">
        <v>158</v>
      </c>
      <c r="AI142" s="34"/>
      <c r="AN142" s="25"/>
      <c r="AO142" s="25"/>
      <c r="AR142" s="25"/>
      <c r="AS142" s="25"/>
      <c r="AT142" s="25"/>
    </row>
    <row r="143" spans="1:46" ht="11.25" hidden="1">
      <c r="A143" s="31">
        <v>1</v>
      </c>
      <c r="B143" s="165" t="s">
        <v>397</v>
      </c>
      <c r="C143" s="182">
        <v>2.7</v>
      </c>
      <c r="D143" s="166">
        <v>120</v>
      </c>
      <c r="E143" s="183">
        <v>-20</v>
      </c>
      <c r="F143" s="157">
        <v>122</v>
      </c>
      <c r="G143" s="167">
        <v>20</v>
      </c>
      <c r="H143" s="168">
        <v>1E-3</v>
      </c>
      <c r="I143" s="166">
        <v>5</v>
      </c>
      <c r="J143" s="157">
        <v>25</v>
      </c>
      <c r="K143" s="157">
        <v>0.2</v>
      </c>
      <c r="L143" s="184">
        <v>140</v>
      </c>
      <c r="M143" s="167">
        <v>48</v>
      </c>
      <c r="N143" s="184">
        <v>126</v>
      </c>
      <c r="O143" s="167">
        <v>5</v>
      </c>
      <c r="P143" s="166">
        <v>2.7</v>
      </c>
      <c r="Q143" s="166">
        <v>20</v>
      </c>
      <c r="R143" s="166">
        <v>1.2</v>
      </c>
      <c r="S143" s="166">
        <v>20</v>
      </c>
      <c r="T143" s="166" t="s">
        <v>68</v>
      </c>
      <c r="U143" s="167">
        <v>1100</v>
      </c>
      <c r="V143" s="158">
        <v>2</v>
      </c>
      <c r="W143" s="158">
        <v>25</v>
      </c>
      <c r="X143" s="166">
        <v>-0.2</v>
      </c>
      <c r="Y143" s="157" t="s">
        <v>68</v>
      </c>
      <c r="Z143" s="157" t="s">
        <v>68</v>
      </c>
      <c r="AA143" s="166" t="s">
        <v>68</v>
      </c>
      <c r="AB143" s="157" t="s">
        <v>44</v>
      </c>
      <c r="AC143" s="157" t="s">
        <v>44</v>
      </c>
      <c r="AD143" s="157" t="s">
        <v>44</v>
      </c>
      <c r="AE143" s="166" t="s">
        <v>402</v>
      </c>
      <c r="AF143" s="170" t="s">
        <v>68</v>
      </c>
      <c r="AG143" s="205" t="s">
        <v>496</v>
      </c>
      <c r="AH143" s="172" t="s">
        <v>160</v>
      </c>
      <c r="AI143" s="34"/>
      <c r="AN143" s="25"/>
      <c r="AO143" s="25"/>
      <c r="AR143" s="25"/>
      <c r="AS143" s="25"/>
      <c r="AT143" s="25"/>
    </row>
    <row r="144" spans="1:46" ht="11.25" hidden="1">
      <c r="A144" s="31">
        <v>1</v>
      </c>
      <c r="B144" s="165" t="s">
        <v>398</v>
      </c>
      <c r="C144" s="182">
        <v>2.7</v>
      </c>
      <c r="D144" s="166">
        <v>120</v>
      </c>
      <c r="E144" s="183">
        <v>-20</v>
      </c>
      <c r="F144" s="157">
        <v>122</v>
      </c>
      <c r="G144" s="167">
        <v>50</v>
      </c>
      <c r="H144" s="168">
        <v>1E-3</v>
      </c>
      <c r="I144" s="166">
        <v>5</v>
      </c>
      <c r="J144" s="157">
        <v>20</v>
      </c>
      <c r="K144" s="157">
        <v>0.2</v>
      </c>
      <c r="L144" s="184">
        <v>140</v>
      </c>
      <c r="M144" s="167">
        <v>48</v>
      </c>
      <c r="N144" s="184">
        <v>126</v>
      </c>
      <c r="O144" s="167">
        <v>5</v>
      </c>
      <c r="P144" s="166">
        <v>2.7</v>
      </c>
      <c r="Q144" s="166">
        <v>20</v>
      </c>
      <c r="R144" s="166">
        <v>1.2</v>
      </c>
      <c r="S144" s="166">
        <v>20</v>
      </c>
      <c r="T144" s="166" t="s">
        <v>68</v>
      </c>
      <c r="U144" s="167">
        <v>1100</v>
      </c>
      <c r="V144" s="158">
        <v>2</v>
      </c>
      <c r="W144" s="158">
        <v>25</v>
      </c>
      <c r="X144" s="166">
        <v>-0.2</v>
      </c>
      <c r="Y144" s="157" t="s">
        <v>68</v>
      </c>
      <c r="Z144" s="157" t="s">
        <v>68</v>
      </c>
      <c r="AA144" s="166" t="s">
        <v>68</v>
      </c>
      <c r="AB144" s="157" t="s">
        <v>44</v>
      </c>
      <c r="AC144" s="157" t="s">
        <v>44</v>
      </c>
      <c r="AD144" s="157" t="s">
        <v>44</v>
      </c>
      <c r="AE144" s="166" t="s">
        <v>402</v>
      </c>
      <c r="AF144" s="170" t="s">
        <v>68</v>
      </c>
      <c r="AG144" s="205" t="s">
        <v>496</v>
      </c>
      <c r="AH144" s="172" t="s">
        <v>160</v>
      </c>
      <c r="AI144" s="34"/>
      <c r="AN144" s="25"/>
      <c r="AO144" s="25"/>
      <c r="AR144" s="25"/>
      <c r="AS144" s="25"/>
      <c r="AT144" s="25"/>
    </row>
    <row r="145" spans="1:46" ht="11.25" hidden="1">
      <c r="A145" s="31">
        <v>1</v>
      </c>
      <c r="B145" s="165" t="s">
        <v>399</v>
      </c>
      <c r="C145" s="182">
        <v>2.7</v>
      </c>
      <c r="D145" s="166">
        <v>120</v>
      </c>
      <c r="E145" s="183">
        <v>-20</v>
      </c>
      <c r="F145" s="157">
        <v>122</v>
      </c>
      <c r="G145" s="167">
        <v>100</v>
      </c>
      <c r="H145" s="168">
        <v>1E-3</v>
      </c>
      <c r="I145" s="166">
        <v>5</v>
      </c>
      <c r="J145" s="157">
        <v>15</v>
      </c>
      <c r="K145" s="157">
        <v>0.2</v>
      </c>
      <c r="L145" s="184">
        <v>140</v>
      </c>
      <c r="M145" s="167">
        <v>48</v>
      </c>
      <c r="N145" s="184">
        <v>126</v>
      </c>
      <c r="O145" s="167">
        <v>5</v>
      </c>
      <c r="P145" s="166">
        <v>2.7</v>
      </c>
      <c r="Q145" s="166">
        <v>20</v>
      </c>
      <c r="R145" s="166">
        <v>1.2</v>
      </c>
      <c r="S145" s="166">
        <v>20</v>
      </c>
      <c r="T145" s="166" t="s">
        <v>68</v>
      </c>
      <c r="U145" s="167">
        <v>900</v>
      </c>
      <c r="V145" s="158">
        <v>2</v>
      </c>
      <c r="W145" s="158">
        <v>25</v>
      </c>
      <c r="X145" s="166">
        <v>-0.2</v>
      </c>
      <c r="Y145" s="157" t="s">
        <v>68</v>
      </c>
      <c r="Z145" s="157" t="s">
        <v>68</v>
      </c>
      <c r="AA145" s="166" t="s">
        <v>68</v>
      </c>
      <c r="AB145" s="157" t="s">
        <v>44</v>
      </c>
      <c r="AC145" s="157" t="s">
        <v>44</v>
      </c>
      <c r="AD145" s="157" t="s">
        <v>44</v>
      </c>
      <c r="AE145" s="166" t="s">
        <v>402</v>
      </c>
      <c r="AF145" s="170" t="s">
        <v>68</v>
      </c>
      <c r="AG145" s="205" t="s">
        <v>496</v>
      </c>
      <c r="AH145" s="172" t="s">
        <v>160</v>
      </c>
      <c r="AI145" s="34"/>
      <c r="AN145" s="25"/>
      <c r="AO145" s="25"/>
      <c r="AR145" s="25"/>
      <c r="AS145" s="25"/>
      <c r="AT145" s="25"/>
    </row>
    <row r="146" spans="1:46" ht="11.25" hidden="1">
      <c r="A146" s="31">
        <v>1</v>
      </c>
      <c r="B146" s="165" t="s">
        <v>400</v>
      </c>
      <c r="C146" s="182">
        <v>2.7</v>
      </c>
      <c r="D146" s="166">
        <v>120</v>
      </c>
      <c r="E146" s="183">
        <v>-20</v>
      </c>
      <c r="F146" s="157">
        <v>122</v>
      </c>
      <c r="G146" s="167">
        <v>200</v>
      </c>
      <c r="H146" s="168">
        <v>1.5E-3</v>
      </c>
      <c r="I146" s="166">
        <v>5</v>
      </c>
      <c r="J146" s="157">
        <v>12</v>
      </c>
      <c r="K146" s="157">
        <v>0.2</v>
      </c>
      <c r="L146" s="184">
        <v>140</v>
      </c>
      <c r="M146" s="167">
        <v>48</v>
      </c>
      <c r="N146" s="184">
        <v>126</v>
      </c>
      <c r="O146" s="167">
        <v>5</v>
      </c>
      <c r="P146" s="166">
        <v>2.7</v>
      </c>
      <c r="Q146" s="166">
        <v>20</v>
      </c>
      <c r="R146" s="166">
        <v>1.2</v>
      </c>
      <c r="S146" s="166">
        <v>20</v>
      </c>
      <c r="T146" s="166" t="s">
        <v>68</v>
      </c>
      <c r="U146" s="167">
        <v>850</v>
      </c>
      <c r="V146" s="158">
        <v>2</v>
      </c>
      <c r="W146" s="158">
        <v>25</v>
      </c>
      <c r="X146" s="166">
        <v>-0.2</v>
      </c>
      <c r="Y146" s="157" t="s">
        <v>68</v>
      </c>
      <c r="Z146" s="157" t="s">
        <v>68</v>
      </c>
      <c r="AA146" s="166" t="s">
        <v>68</v>
      </c>
      <c r="AB146" s="157" t="s">
        <v>44</v>
      </c>
      <c r="AC146" s="157" t="s">
        <v>44</v>
      </c>
      <c r="AD146" s="157" t="s">
        <v>44</v>
      </c>
      <c r="AE146" s="166" t="s">
        <v>402</v>
      </c>
      <c r="AF146" s="170" t="s">
        <v>68</v>
      </c>
      <c r="AG146" s="205" t="s">
        <v>496</v>
      </c>
      <c r="AH146" s="172" t="s">
        <v>160</v>
      </c>
      <c r="AI146" s="34"/>
      <c r="AN146" s="25"/>
      <c r="AO146" s="25"/>
      <c r="AR146" s="25"/>
      <c r="AS146" s="25"/>
      <c r="AT146" s="25"/>
    </row>
    <row r="147" spans="1:46" ht="11.25" hidden="1">
      <c r="A147" s="31">
        <v>1</v>
      </c>
      <c r="B147" s="165" t="s">
        <v>401</v>
      </c>
      <c r="C147" s="182">
        <v>2.7</v>
      </c>
      <c r="D147" s="166">
        <v>120</v>
      </c>
      <c r="E147" s="183">
        <v>-20</v>
      </c>
      <c r="F147" s="157">
        <v>122</v>
      </c>
      <c r="G147" s="167">
        <v>500</v>
      </c>
      <c r="H147" s="168">
        <v>1.5E-3</v>
      </c>
      <c r="I147" s="166">
        <v>5</v>
      </c>
      <c r="J147" s="157">
        <v>12</v>
      </c>
      <c r="K147" s="157">
        <v>0.2</v>
      </c>
      <c r="L147" s="184">
        <v>140</v>
      </c>
      <c r="M147" s="167">
        <v>48</v>
      </c>
      <c r="N147" s="184">
        <v>126</v>
      </c>
      <c r="O147" s="167">
        <v>5</v>
      </c>
      <c r="P147" s="166">
        <v>2.7</v>
      </c>
      <c r="Q147" s="166">
        <v>20</v>
      </c>
      <c r="R147" s="166">
        <v>1.2</v>
      </c>
      <c r="S147" s="166">
        <v>20</v>
      </c>
      <c r="T147" s="166" t="s">
        <v>68</v>
      </c>
      <c r="U147" s="167">
        <v>800</v>
      </c>
      <c r="V147" s="158">
        <v>2</v>
      </c>
      <c r="W147" s="158">
        <v>25</v>
      </c>
      <c r="X147" s="166">
        <v>-0.2</v>
      </c>
      <c r="Y147" s="157" t="s">
        <v>68</v>
      </c>
      <c r="Z147" s="157" t="s">
        <v>68</v>
      </c>
      <c r="AA147" s="166" t="s">
        <v>68</v>
      </c>
      <c r="AB147" s="157" t="s">
        <v>44</v>
      </c>
      <c r="AC147" s="157" t="s">
        <v>44</v>
      </c>
      <c r="AD147" s="157" t="s">
        <v>44</v>
      </c>
      <c r="AE147" s="166" t="s">
        <v>402</v>
      </c>
      <c r="AF147" s="170" t="s">
        <v>68</v>
      </c>
      <c r="AG147" s="205" t="s">
        <v>496</v>
      </c>
      <c r="AH147" s="172" t="s">
        <v>160</v>
      </c>
      <c r="AI147" s="34"/>
      <c r="AN147" s="25"/>
      <c r="AO147" s="25"/>
      <c r="AR147" s="25"/>
      <c r="AS147" s="25"/>
      <c r="AT147" s="25"/>
    </row>
    <row r="148" spans="1:46" ht="22.5" hidden="1">
      <c r="A148" s="31">
        <v>1</v>
      </c>
      <c r="B148" s="165" t="s">
        <v>80</v>
      </c>
      <c r="C148" s="166">
        <v>0</v>
      </c>
      <c r="D148" s="166">
        <v>36</v>
      </c>
      <c r="E148" s="166">
        <v>-0.3</v>
      </c>
      <c r="F148" s="166">
        <v>40</v>
      </c>
      <c r="G148" s="167">
        <v>1</v>
      </c>
      <c r="H148" s="168">
        <v>3.0000000000000001E-3</v>
      </c>
      <c r="I148" s="166">
        <v>50</v>
      </c>
      <c r="J148" s="167">
        <v>25</v>
      </c>
      <c r="K148" s="166">
        <v>0.1</v>
      </c>
      <c r="L148" s="167">
        <v>120</v>
      </c>
      <c r="M148" s="166">
        <v>12</v>
      </c>
      <c r="N148" s="167">
        <v>92</v>
      </c>
      <c r="O148" s="166">
        <v>3.3</v>
      </c>
      <c r="P148" s="166">
        <v>2.7</v>
      </c>
      <c r="Q148" s="166">
        <v>5.5</v>
      </c>
      <c r="R148" s="166">
        <v>0.42</v>
      </c>
      <c r="S148" s="166">
        <v>10</v>
      </c>
      <c r="T148" s="166">
        <v>2</v>
      </c>
      <c r="U148" s="167" t="s">
        <v>68</v>
      </c>
      <c r="V148" s="166" t="s">
        <v>68</v>
      </c>
      <c r="W148" s="166" t="s">
        <v>68</v>
      </c>
      <c r="X148" s="166" t="s">
        <v>68</v>
      </c>
      <c r="Y148" s="166">
        <v>16</v>
      </c>
      <c r="Z148" s="166">
        <v>154</v>
      </c>
      <c r="AA148" s="166" t="s">
        <v>85</v>
      </c>
      <c r="AB148" s="170" t="s">
        <v>43</v>
      </c>
      <c r="AC148" s="170" t="s">
        <v>43</v>
      </c>
      <c r="AD148" s="170" t="s">
        <v>100</v>
      </c>
      <c r="AE148" s="166"/>
      <c r="AF148" s="170" t="s">
        <v>68</v>
      </c>
      <c r="AG148" s="202" t="s">
        <v>496</v>
      </c>
      <c r="AH148" s="173" t="s">
        <v>509</v>
      </c>
      <c r="AI148" s="34"/>
      <c r="AN148" s="25"/>
      <c r="AO148" s="25"/>
      <c r="AR148" s="25"/>
      <c r="AS148" s="25"/>
      <c r="AT148" s="25"/>
    </row>
    <row r="149" spans="1:46" ht="11.25" hidden="1">
      <c r="A149" s="31">
        <v>1</v>
      </c>
      <c r="B149" s="165" t="s">
        <v>81</v>
      </c>
      <c r="C149" s="166">
        <v>0</v>
      </c>
      <c r="D149" s="166">
        <v>28</v>
      </c>
      <c r="E149" s="166">
        <v>-0.3</v>
      </c>
      <c r="F149" s="166">
        <v>30</v>
      </c>
      <c r="G149" s="167">
        <v>1</v>
      </c>
      <c r="H149" s="168">
        <v>5.0000000000000001E-3</v>
      </c>
      <c r="I149" s="166">
        <v>50</v>
      </c>
      <c r="J149" s="167">
        <v>50</v>
      </c>
      <c r="K149" s="166">
        <v>0.5</v>
      </c>
      <c r="L149" s="167">
        <v>100</v>
      </c>
      <c r="M149" s="166">
        <v>12</v>
      </c>
      <c r="N149" s="167">
        <v>100</v>
      </c>
      <c r="O149" s="166">
        <v>3.3</v>
      </c>
      <c r="P149" s="166">
        <v>2.7</v>
      </c>
      <c r="Q149" s="166">
        <v>5.5</v>
      </c>
      <c r="R149" s="166">
        <v>0.42</v>
      </c>
      <c r="S149" s="166">
        <v>10</v>
      </c>
      <c r="T149" s="166">
        <v>7</v>
      </c>
      <c r="U149" s="167" t="s">
        <v>68</v>
      </c>
      <c r="V149" s="166" t="s">
        <v>68</v>
      </c>
      <c r="W149" s="166" t="s">
        <v>68</v>
      </c>
      <c r="X149" s="166" t="s">
        <v>68</v>
      </c>
      <c r="Y149" s="166">
        <v>16</v>
      </c>
      <c r="Z149" s="166">
        <v>154</v>
      </c>
      <c r="AA149" s="166" t="s">
        <v>85</v>
      </c>
      <c r="AB149" s="170" t="s">
        <v>43</v>
      </c>
      <c r="AC149" s="170" t="s">
        <v>43</v>
      </c>
      <c r="AD149" s="170" t="s">
        <v>100</v>
      </c>
      <c r="AE149" s="166"/>
      <c r="AF149" s="170" t="s">
        <v>68</v>
      </c>
      <c r="AG149" s="202" t="s">
        <v>496</v>
      </c>
      <c r="AH149" s="172" t="s">
        <v>165</v>
      </c>
      <c r="AI149" s="34"/>
      <c r="AN149" s="25"/>
      <c r="AO149" s="25"/>
      <c r="AR149" s="25"/>
      <c r="AS149" s="25"/>
      <c r="AT149" s="25"/>
    </row>
    <row r="150" spans="1:46" ht="22.5" hidden="1">
      <c r="A150" s="31">
        <v>1</v>
      </c>
      <c r="B150" s="165" t="s">
        <v>78</v>
      </c>
      <c r="C150" s="166">
        <v>0</v>
      </c>
      <c r="D150" s="166">
        <v>36</v>
      </c>
      <c r="E150" s="177">
        <v>-0.3</v>
      </c>
      <c r="F150" s="170">
        <v>40</v>
      </c>
      <c r="G150" s="167">
        <v>1</v>
      </c>
      <c r="H150" s="168">
        <v>1E-3</v>
      </c>
      <c r="I150" s="166">
        <v>25</v>
      </c>
      <c r="J150" s="166">
        <v>10</v>
      </c>
      <c r="K150" s="166">
        <v>0.1</v>
      </c>
      <c r="L150" s="167">
        <v>126</v>
      </c>
      <c r="M150" s="166">
        <v>12</v>
      </c>
      <c r="N150" s="167">
        <v>92</v>
      </c>
      <c r="O150" s="166">
        <v>3.3</v>
      </c>
      <c r="P150" s="166">
        <v>2.7</v>
      </c>
      <c r="Q150" s="166">
        <v>5.5</v>
      </c>
      <c r="R150" s="166">
        <v>0.4</v>
      </c>
      <c r="S150" s="166">
        <v>8</v>
      </c>
      <c r="T150" s="166">
        <v>5</v>
      </c>
      <c r="U150" s="167" t="s">
        <v>68</v>
      </c>
      <c r="V150" s="166" t="s">
        <v>68</v>
      </c>
      <c r="W150" s="166" t="s">
        <v>68</v>
      </c>
      <c r="X150" s="166" t="s">
        <v>68</v>
      </c>
      <c r="Y150" s="166">
        <v>16</v>
      </c>
      <c r="Z150" s="166">
        <v>154</v>
      </c>
      <c r="AA150" s="166" t="s">
        <v>79</v>
      </c>
      <c r="AB150" s="170" t="s">
        <v>43</v>
      </c>
      <c r="AC150" s="170" t="s">
        <v>43</v>
      </c>
      <c r="AD150" s="170" t="s">
        <v>100</v>
      </c>
      <c r="AE150" s="170" t="s">
        <v>340</v>
      </c>
      <c r="AF150" s="170" t="s">
        <v>68</v>
      </c>
      <c r="AG150" s="202" t="s">
        <v>496</v>
      </c>
      <c r="AH150" s="172" t="s">
        <v>158</v>
      </c>
      <c r="AI150" s="34"/>
      <c r="AN150" s="25"/>
      <c r="AO150" s="25"/>
      <c r="AR150" s="25"/>
      <c r="AS150" s="25"/>
      <c r="AT150" s="25"/>
    </row>
    <row r="151" spans="1:46" ht="11.25" hidden="1">
      <c r="A151" s="31">
        <v>1</v>
      </c>
      <c r="B151" s="165" t="s">
        <v>512</v>
      </c>
      <c r="C151" s="185">
        <v>-0.3</v>
      </c>
      <c r="D151" s="185">
        <v>28</v>
      </c>
      <c r="E151" s="181">
        <v>-0.3</v>
      </c>
      <c r="F151" s="186">
        <v>30</v>
      </c>
      <c r="G151" s="207">
        <v>0.25</v>
      </c>
      <c r="H151" s="188">
        <v>5.0000000000000001E-3</v>
      </c>
      <c r="I151" s="185">
        <v>50</v>
      </c>
      <c r="J151" s="187">
        <v>100</v>
      </c>
      <c r="K151" s="185">
        <v>0.5</v>
      </c>
      <c r="L151" s="187">
        <v>100</v>
      </c>
      <c r="M151" s="185">
        <v>12</v>
      </c>
      <c r="N151" s="187">
        <v>112</v>
      </c>
      <c r="O151" s="185">
        <v>3.3</v>
      </c>
      <c r="P151" s="185">
        <v>1.7</v>
      </c>
      <c r="Q151" s="185">
        <v>5.5</v>
      </c>
      <c r="R151" s="185">
        <v>0.5</v>
      </c>
      <c r="S151" s="185">
        <v>0.1</v>
      </c>
      <c r="T151" s="185">
        <v>3</v>
      </c>
      <c r="U151" s="167" t="s">
        <v>68</v>
      </c>
      <c r="V151" s="166" t="s">
        <v>68</v>
      </c>
      <c r="W151" s="166" t="s">
        <v>68</v>
      </c>
      <c r="X151" s="166" t="s">
        <v>68</v>
      </c>
      <c r="Y151" s="185">
        <v>12</v>
      </c>
      <c r="Z151" s="185">
        <v>147</v>
      </c>
      <c r="AA151" s="166" t="s">
        <v>85</v>
      </c>
      <c r="AB151" s="170" t="s">
        <v>43</v>
      </c>
      <c r="AC151" s="170" t="s">
        <v>43</v>
      </c>
      <c r="AD151" s="170" t="s">
        <v>100</v>
      </c>
      <c r="AE151" s="185"/>
      <c r="AF151" s="170" t="s">
        <v>68</v>
      </c>
      <c r="AG151" s="202" t="s">
        <v>496</v>
      </c>
      <c r="AH151" s="172" t="s">
        <v>511</v>
      </c>
      <c r="AI151" s="34"/>
      <c r="AN151" s="25"/>
      <c r="AO151" s="25"/>
      <c r="AR151" s="25"/>
      <c r="AS151" s="25"/>
      <c r="AT151" s="25"/>
    </row>
    <row r="152" spans="1:46" ht="11.25" hidden="1">
      <c r="A152" s="31">
        <v>1</v>
      </c>
      <c r="B152" s="165" t="s">
        <v>510</v>
      </c>
      <c r="C152" s="185">
        <v>-0.3</v>
      </c>
      <c r="D152" s="185">
        <v>28</v>
      </c>
      <c r="E152" s="181">
        <v>-0.3</v>
      </c>
      <c r="F152" s="186">
        <v>30</v>
      </c>
      <c r="G152" s="187">
        <v>1</v>
      </c>
      <c r="H152" s="188">
        <v>5.0000000000000001E-3</v>
      </c>
      <c r="I152" s="185">
        <v>50</v>
      </c>
      <c r="J152" s="187">
        <v>100</v>
      </c>
      <c r="K152" s="185">
        <v>0.5</v>
      </c>
      <c r="L152" s="187">
        <v>100</v>
      </c>
      <c r="M152" s="185">
        <v>12</v>
      </c>
      <c r="N152" s="187">
        <v>112</v>
      </c>
      <c r="O152" s="185">
        <v>3.3</v>
      </c>
      <c r="P152" s="185">
        <v>1.7</v>
      </c>
      <c r="Q152" s="185">
        <v>5.5</v>
      </c>
      <c r="R152" s="185">
        <v>0.5</v>
      </c>
      <c r="S152" s="185">
        <v>0.1</v>
      </c>
      <c r="T152" s="185">
        <v>3</v>
      </c>
      <c r="U152" s="167" t="s">
        <v>68</v>
      </c>
      <c r="V152" s="166" t="s">
        <v>68</v>
      </c>
      <c r="W152" s="166" t="s">
        <v>68</v>
      </c>
      <c r="X152" s="166" t="s">
        <v>68</v>
      </c>
      <c r="Y152" s="185">
        <v>12</v>
      </c>
      <c r="Z152" s="185">
        <v>147</v>
      </c>
      <c r="AA152" s="166" t="s">
        <v>85</v>
      </c>
      <c r="AB152" s="170" t="s">
        <v>43</v>
      </c>
      <c r="AC152" s="170" t="s">
        <v>43</v>
      </c>
      <c r="AD152" s="170" t="s">
        <v>100</v>
      </c>
      <c r="AE152" s="185"/>
      <c r="AF152" s="170" t="s">
        <v>68</v>
      </c>
      <c r="AG152" s="202" t="s">
        <v>496</v>
      </c>
      <c r="AH152" s="172" t="s">
        <v>511</v>
      </c>
      <c r="AI152" s="34"/>
      <c r="AN152" s="25"/>
      <c r="AO152" s="25"/>
      <c r="AR152" s="25"/>
      <c r="AS152" s="25"/>
      <c r="AT152" s="25"/>
    </row>
    <row r="153" spans="1:46" ht="11.25" hidden="1">
      <c r="A153" s="31">
        <v>1</v>
      </c>
      <c r="B153" s="165" t="s">
        <v>514</v>
      </c>
      <c r="C153" s="185">
        <v>-0.3</v>
      </c>
      <c r="D153" s="185">
        <v>48</v>
      </c>
      <c r="E153" s="181">
        <v>-0.3</v>
      </c>
      <c r="F153" s="186">
        <v>50</v>
      </c>
      <c r="G153" s="207">
        <v>0.25</v>
      </c>
      <c r="H153" s="188">
        <v>1E-3</v>
      </c>
      <c r="I153" s="185">
        <v>30</v>
      </c>
      <c r="J153" s="187">
        <v>5</v>
      </c>
      <c r="K153" s="185">
        <v>2.5000000000000001E-2</v>
      </c>
      <c r="L153" s="187">
        <v>136</v>
      </c>
      <c r="M153" s="185">
        <v>12</v>
      </c>
      <c r="N153" s="187">
        <v>112</v>
      </c>
      <c r="O153" s="185">
        <v>3.3</v>
      </c>
      <c r="P153" s="185">
        <v>1.7</v>
      </c>
      <c r="Q153" s="185">
        <v>5.5</v>
      </c>
      <c r="R153" s="185">
        <v>0.5</v>
      </c>
      <c r="S153" s="185">
        <v>0.1</v>
      </c>
      <c r="T153" s="185">
        <v>3</v>
      </c>
      <c r="U153" s="167" t="s">
        <v>68</v>
      </c>
      <c r="V153" s="166" t="s">
        <v>68</v>
      </c>
      <c r="W153" s="166" t="s">
        <v>68</v>
      </c>
      <c r="X153" s="166" t="s">
        <v>68</v>
      </c>
      <c r="Y153" s="185">
        <v>16</v>
      </c>
      <c r="Z153" s="185">
        <v>147</v>
      </c>
      <c r="AA153" s="166" t="s">
        <v>85</v>
      </c>
      <c r="AB153" s="170" t="s">
        <v>43</v>
      </c>
      <c r="AC153" s="170" t="s">
        <v>43</v>
      </c>
      <c r="AD153" s="170" t="s">
        <v>100</v>
      </c>
      <c r="AE153" s="185"/>
      <c r="AF153" s="170" t="s">
        <v>68</v>
      </c>
      <c r="AG153" s="202" t="s">
        <v>496</v>
      </c>
      <c r="AH153" s="172" t="s">
        <v>511</v>
      </c>
      <c r="AI153" s="34"/>
      <c r="AN153" s="25"/>
      <c r="AO153" s="25"/>
      <c r="AR153" s="25"/>
      <c r="AS153" s="25"/>
      <c r="AT153" s="25"/>
    </row>
    <row r="154" spans="1:46" ht="11.25" hidden="1">
      <c r="A154" s="31">
        <v>1</v>
      </c>
      <c r="B154" s="165" t="s">
        <v>513</v>
      </c>
      <c r="C154" s="185">
        <v>-0.3</v>
      </c>
      <c r="D154" s="185">
        <v>48</v>
      </c>
      <c r="E154" s="181">
        <v>-0.3</v>
      </c>
      <c r="F154" s="186">
        <v>50</v>
      </c>
      <c r="G154" s="187">
        <v>1</v>
      </c>
      <c r="H154" s="188">
        <v>1E-3</v>
      </c>
      <c r="I154" s="185">
        <v>30</v>
      </c>
      <c r="J154" s="187">
        <v>5</v>
      </c>
      <c r="K154" s="185">
        <v>2.5000000000000001E-2</v>
      </c>
      <c r="L154" s="187">
        <v>136</v>
      </c>
      <c r="M154" s="185">
        <v>12</v>
      </c>
      <c r="N154" s="187">
        <v>112</v>
      </c>
      <c r="O154" s="185">
        <v>3.3</v>
      </c>
      <c r="P154" s="185">
        <v>1.7</v>
      </c>
      <c r="Q154" s="185">
        <v>5.5</v>
      </c>
      <c r="R154" s="185">
        <v>0.5</v>
      </c>
      <c r="S154" s="185">
        <v>0.1</v>
      </c>
      <c r="T154" s="185">
        <v>3</v>
      </c>
      <c r="U154" s="167" t="s">
        <v>68</v>
      </c>
      <c r="V154" s="166" t="s">
        <v>68</v>
      </c>
      <c r="W154" s="166" t="s">
        <v>68</v>
      </c>
      <c r="X154" s="166" t="s">
        <v>68</v>
      </c>
      <c r="Y154" s="185">
        <v>16</v>
      </c>
      <c r="Z154" s="185">
        <v>147</v>
      </c>
      <c r="AA154" s="166" t="s">
        <v>85</v>
      </c>
      <c r="AB154" s="170" t="s">
        <v>43</v>
      </c>
      <c r="AC154" s="170" t="s">
        <v>43</v>
      </c>
      <c r="AD154" s="170" t="s">
        <v>100</v>
      </c>
      <c r="AE154" s="185"/>
      <c r="AF154" s="170" t="s">
        <v>68</v>
      </c>
      <c r="AG154" s="202" t="s">
        <v>496</v>
      </c>
      <c r="AH154" s="172" t="s">
        <v>511</v>
      </c>
      <c r="AI154" s="34"/>
      <c r="AN154" s="25"/>
      <c r="AO154" s="25"/>
      <c r="AR154" s="25"/>
      <c r="AS154" s="25"/>
      <c r="AT154" s="25"/>
    </row>
    <row r="155" spans="1:46" ht="22.5" hidden="1">
      <c r="A155" s="31">
        <v>1</v>
      </c>
      <c r="B155" s="165" t="s">
        <v>470</v>
      </c>
      <c r="C155" s="178">
        <v>-0.3</v>
      </c>
      <c r="D155" s="170">
        <v>85</v>
      </c>
      <c r="E155" s="181">
        <v>-0.3</v>
      </c>
      <c r="F155" s="170">
        <v>85</v>
      </c>
      <c r="G155" s="167">
        <v>1</v>
      </c>
      <c r="H155" s="180">
        <v>3.0000000000000001E-3</v>
      </c>
      <c r="I155" s="170">
        <v>50</v>
      </c>
      <c r="J155" s="170">
        <v>50</v>
      </c>
      <c r="K155" s="170">
        <v>0.02</v>
      </c>
      <c r="L155" s="179">
        <v>120</v>
      </c>
      <c r="M155" s="166">
        <v>24</v>
      </c>
      <c r="N155" s="179">
        <v>120</v>
      </c>
      <c r="O155" s="166">
        <v>3.3</v>
      </c>
      <c r="P155" s="170">
        <v>2.7</v>
      </c>
      <c r="Q155" s="170">
        <v>5.5</v>
      </c>
      <c r="R155" s="170">
        <v>1.1000000000000001</v>
      </c>
      <c r="S155" s="170">
        <v>2.5000000000000001E-3</v>
      </c>
      <c r="T155" s="170">
        <v>5</v>
      </c>
      <c r="U155" s="179" t="s">
        <v>68</v>
      </c>
      <c r="V155" s="170" t="s">
        <v>68</v>
      </c>
      <c r="W155" s="170" t="s">
        <v>68</v>
      </c>
      <c r="X155" s="170" t="s">
        <v>68</v>
      </c>
      <c r="Y155" s="170">
        <v>16</v>
      </c>
      <c r="Z155" s="170">
        <v>50</v>
      </c>
      <c r="AA155" s="170" t="s">
        <v>85</v>
      </c>
      <c r="AB155" s="170" t="s">
        <v>43</v>
      </c>
      <c r="AC155" s="170" t="s">
        <v>43</v>
      </c>
      <c r="AD155" s="170" t="s">
        <v>100</v>
      </c>
      <c r="AE155" s="170" t="s">
        <v>341</v>
      </c>
      <c r="AF155" s="171" t="s">
        <v>327</v>
      </c>
      <c r="AG155" s="204" t="s">
        <v>496</v>
      </c>
      <c r="AH155" s="172" t="s">
        <v>158</v>
      </c>
      <c r="AI155" s="34"/>
      <c r="AN155" s="25"/>
      <c r="AO155" s="25"/>
      <c r="AR155" s="25"/>
      <c r="AS155" s="25"/>
      <c r="AT155" s="25"/>
    </row>
    <row r="156" spans="1:46" ht="22.5" hidden="1">
      <c r="A156" s="31">
        <v>1</v>
      </c>
      <c r="B156" s="165" t="s">
        <v>471</v>
      </c>
      <c r="C156" s="178">
        <v>-0.3</v>
      </c>
      <c r="D156" s="170">
        <v>85</v>
      </c>
      <c r="E156" s="181">
        <v>-0.3</v>
      </c>
      <c r="F156" s="170">
        <v>85</v>
      </c>
      <c r="G156" s="167">
        <v>1</v>
      </c>
      <c r="H156" s="180">
        <v>1E-3</v>
      </c>
      <c r="I156" s="170">
        <v>25</v>
      </c>
      <c r="J156" s="170">
        <v>5</v>
      </c>
      <c r="K156" s="170">
        <v>0.02</v>
      </c>
      <c r="L156" s="179">
        <v>140</v>
      </c>
      <c r="M156" s="166">
        <v>24</v>
      </c>
      <c r="N156" s="179">
        <v>120</v>
      </c>
      <c r="O156" s="166">
        <v>3.3</v>
      </c>
      <c r="P156" s="170">
        <v>2.7</v>
      </c>
      <c r="Q156" s="170">
        <v>5.5</v>
      </c>
      <c r="R156" s="170">
        <v>1.1000000000000001</v>
      </c>
      <c r="S156" s="170">
        <v>2.5000000000000001E-3</v>
      </c>
      <c r="T156" s="170">
        <v>5</v>
      </c>
      <c r="U156" s="179" t="s">
        <v>68</v>
      </c>
      <c r="V156" s="170" t="s">
        <v>68</v>
      </c>
      <c r="W156" s="170" t="s">
        <v>68</v>
      </c>
      <c r="X156" s="170" t="s">
        <v>68</v>
      </c>
      <c r="Y156" s="170">
        <v>16</v>
      </c>
      <c r="Z156" s="170">
        <v>50</v>
      </c>
      <c r="AA156" s="170" t="s">
        <v>85</v>
      </c>
      <c r="AB156" s="170" t="s">
        <v>43</v>
      </c>
      <c r="AC156" s="166" t="s">
        <v>43</v>
      </c>
      <c r="AD156" s="170" t="s">
        <v>100</v>
      </c>
      <c r="AE156" s="170" t="s">
        <v>341</v>
      </c>
      <c r="AF156" s="171" t="s">
        <v>327</v>
      </c>
      <c r="AG156" s="204" t="s">
        <v>496</v>
      </c>
      <c r="AH156" s="172" t="s">
        <v>158</v>
      </c>
      <c r="AI156" s="34"/>
      <c r="AN156" s="25"/>
      <c r="AO156" s="25"/>
      <c r="AR156" s="25"/>
      <c r="AS156" s="25"/>
      <c r="AT156" s="25"/>
    </row>
    <row r="157" spans="1:46" ht="11.25" hidden="1">
      <c r="A157" s="31">
        <v>1</v>
      </c>
      <c r="B157" s="165" t="s">
        <v>472</v>
      </c>
      <c r="C157" s="178">
        <v>-0.3</v>
      </c>
      <c r="D157" s="170">
        <v>85</v>
      </c>
      <c r="E157" s="178">
        <v>-0.3</v>
      </c>
      <c r="F157" s="170">
        <v>85</v>
      </c>
      <c r="G157" s="179">
        <v>1</v>
      </c>
      <c r="H157" s="180">
        <v>1E-3</v>
      </c>
      <c r="I157" s="170">
        <v>25</v>
      </c>
      <c r="J157" s="170">
        <v>5</v>
      </c>
      <c r="K157" s="170">
        <v>0.02</v>
      </c>
      <c r="L157" s="179">
        <v>140</v>
      </c>
      <c r="M157" s="166">
        <v>24</v>
      </c>
      <c r="N157" s="179">
        <v>120</v>
      </c>
      <c r="O157" s="166">
        <v>3.3</v>
      </c>
      <c r="P157" s="170">
        <v>2.7</v>
      </c>
      <c r="Q157" s="170">
        <v>5.5</v>
      </c>
      <c r="R157" s="170">
        <v>1.1000000000000001</v>
      </c>
      <c r="S157" s="170">
        <v>2.5000000000000001E-3</v>
      </c>
      <c r="T157" s="170">
        <v>5</v>
      </c>
      <c r="U157" s="179" t="s">
        <v>68</v>
      </c>
      <c r="V157" s="170" t="s">
        <v>68</v>
      </c>
      <c r="W157" s="170" t="s">
        <v>68</v>
      </c>
      <c r="X157" s="170" t="s">
        <v>68</v>
      </c>
      <c r="Y157" s="170">
        <v>16</v>
      </c>
      <c r="Z157" s="170">
        <v>50</v>
      </c>
      <c r="AA157" s="170" t="s">
        <v>83</v>
      </c>
      <c r="AB157" s="170" t="s">
        <v>43</v>
      </c>
      <c r="AC157" s="166" t="s">
        <v>43</v>
      </c>
      <c r="AD157" s="170" t="s">
        <v>100</v>
      </c>
      <c r="AE157" s="170" t="s">
        <v>390</v>
      </c>
      <c r="AF157" s="171" t="s">
        <v>327</v>
      </c>
      <c r="AG157" s="204" t="s">
        <v>496</v>
      </c>
      <c r="AH157" s="172" t="s">
        <v>158</v>
      </c>
      <c r="AI157" s="34"/>
      <c r="AN157" s="25"/>
      <c r="AO157" s="25"/>
      <c r="AR157" s="25"/>
      <c r="AS157" s="25"/>
      <c r="AT157" s="25"/>
    </row>
    <row r="158" spans="1:46" ht="22.5" hidden="1">
      <c r="A158" s="31">
        <v>1</v>
      </c>
      <c r="B158" s="165" t="s">
        <v>200</v>
      </c>
      <c r="C158" s="166">
        <v>-4</v>
      </c>
      <c r="D158" s="166">
        <v>80</v>
      </c>
      <c r="E158" s="166">
        <v>-6</v>
      </c>
      <c r="F158" s="166">
        <v>90</v>
      </c>
      <c r="G158" s="167">
        <v>20</v>
      </c>
      <c r="H158" s="168">
        <v>2E-3</v>
      </c>
      <c r="I158" s="166">
        <v>2.5</v>
      </c>
      <c r="J158" s="167">
        <v>24.999999999999996</v>
      </c>
      <c r="K158" s="166">
        <v>0.25</v>
      </c>
      <c r="L158" s="167">
        <v>120</v>
      </c>
      <c r="M158" s="166">
        <v>12</v>
      </c>
      <c r="N158" s="167">
        <v>100</v>
      </c>
      <c r="O158" s="166">
        <v>5</v>
      </c>
      <c r="P158" s="166">
        <v>2.7</v>
      </c>
      <c r="Q158" s="166">
        <v>5.5</v>
      </c>
      <c r="R158" s="166">
        <v>2.6</v>
      </c>
      <c r="S158" s="166">
        <v>90</v>
      </c>
      <c r="T158" s="166" t="s">
        <v>68</v>
      </c>
      <c r="U158" s="167">
        <v>400</v>
      </c>
      <c r="V158" s="166">
        <v>2</v>
      </c>
      <c r="W158" s="166">
        <v>10</v>
      </c>
      <c r="X158" s="166">
        <v>-0.2</v>
      </c>
      <c r="Y158" s="166" t="s">
        <v>68</v>
      </c>
      <c r="Z158" s="166" t="s">
        <v>68</v>
      </c>
      <c r="AA158" s="166" t="s">
        <v>68</v>
      </c>
      <c r="AB158" s="170" t="s">
        <v>43</v>
      </c>
      <c r="AC158" s="170" t="s">
        <v>43</v>
      </c>
      <c r="AD158" s="170" t="s">
        <v>44</v>
      </c>
      <c r="AE158" s="166" t="s">
        <v>140</v>
      </c>
      <c r="AF158" s="171" t="s">
        <v>515</v>
      </c>
      <c r="AG158" s="203" t="s">
        <v>516</v>
      </c>
      <c r="AH158" s="173" t="s">
        <v>335</v>
      </c>
      <c r="AI158" s="34"/>
      <c r="AN158" s="25"/>
      <c r="AO158" s="25"/>
      <c r="AR158" s="25"/>
      <c r="AS158" s="25"/>
      <c r="AT158" s="25"/>
    </row>
    <row r="159" spans="1:46" ht="22.5" hidden="1">
      <c r="A159" s="31">
        <v>1</v>
      </c>
      <c r="B159" s="165" t="s">
        <v>201</v>
      </c>
      <c r="C159" s="166">
        <v>-4</v>
      </c>
      <c r="D159" s="166">
        <v>80</v>
      </c>
      <c r="E159" s="166">
        <v>-6</v>
      </c>
      <c r="F159" s="166">
        <v>90</v>
      </c>
      <c r="G159" s="167">
        <v>50</v>
      </c>
      <c r="H159" s="168">
        <v>2E-3</v>
      </c>
      <c r="I159" s="166">
        <v>2.5</v>
      </c>
      <c r="J159" s="167">
        <v>24.999999999999996</v>
      </c>
      <c r="K159" s="166">
        <v>0.25</v>
      </c>
      <c r="L159" s="167">
        <v>120</v>
      </c>
      <c r="M159" s="166">
        <v>12</v>
      </c>
      <c r="N159" s="167">
        <v>100</v>
      </c>
      <c r="O159" s="166">
        <v>5</v>
      </c>
      <c r="P159" s="166">
        <v>2.7</v>
      </c>
      <c r="Q159" s="166">
        <v>5.5</v>
      </c>
      <c r="R159" s="166">
        <v>2.6</v>
      </c>
      <c r="S159" s="166">
        <v>90</v>
      </c>
      <c r="T159" s="166" t="s">
        <v>68</v>
      </c>
      <c r="U159" s="167">
        <v>400</v>
      </c>
      <c r="V159" s="166">
        <v>2</v>
      </c>
      <c r="W159" s="166">
        <v>10</v>
      </c>
      <c r="X159" s="166">
        <v>-0.2</v>
      </c>
      <c r="Y159" s="166" t="s">
        <v>68</v>
      </c>
      <c r="Z159" s="166" t="s">
        <v>68</v>
      </c>
      <c r="AA159" s="166" t="s">
        <v>68</v>
      </c>
      <c r="AB159" s="170" t="s">
        <v>43</v>
      </c>
      <c r="AC159" s="170" t="s">
        <v>43</v>
      </c>
      <c r="AD159" s="170" t="s">
        <v>44</v>
      </c>
      <c r="AE159" s="166" t="s">
        <v>140</v>
      </c>
      <c r="AF159" s="171" t="s">
        <v>515</v>
      </c>
      <c r="AG159" s="203" t="s">
        <v>516</v>
      </c>
      <c r="AH159" s="173" t="s">
        <v>335</v>
      </c>
      <c r="AI159" s="34"/>
      <c r="AN159" s="25"/>
      <c r="AO159" s="25"/>
      <c r="AR159" s="25"/>
      <c r="AS159" s="25"/>
      <c r="AT159" s="25"/>
    </row>
    <row r="160" spans="1:46" ht="22.5" hidden="1">
      <c r="A160" s="32">
        <v>1</v>
      </c>
      <c r="B160" s="165" t="s">
        <v>202</v>
      </c>
      <c r="C160" s="189">
        <v>-4</v>
      </c>
      <c r="D160" s="189">
        <v>80</v>
      </c>
      <c r="E160" s="189">
        <v>-6</v>
      </c>
      <c r="F160" s="189">
        <v>90</v>
      </c>
      <c r="G160" s="167">
        <v>100</v>
      </c>
      <c r="H160" s="190">
        <v>2E-3</v>
      </c>
      <c r="I160" s="189">
        <v>2.5</v>
      </c>
      <c r="J160" s="191">
        <v>24.999999999999996</v>
      </c>
      <c r="K160" s="189">
        <v>0.25</v>
      </c>
      <c r="L160" s="191">
        <v>120</v>
      </c>
      <c r="M160" s="189">
        <v>12</v>
      </c>
      <c r="N160" s="191">
        <v>100</v>
      </c>
      <c r="O160" s="189">
        <v>5</v>
      </c>
      <c r="P160" s="189">
        <v>2.7</v>
      </c>
      <c r="Q160" s="189">
        <v>5.5</v>
      </c>
      <c r="R160" s="189">
        <v>2.6</v>
      </c>
      <c r="S160" s="189">
        <v>90</v>
      </c>
      <c r="T160" s="189" t="s">
        <v>68</v>
      </c>
      <c r="U160" s="167">
        <v>400</v>
      </c>
      <c r="V160" s="189">
        <v>2</v>
      </c>
      <c r="W160" s="189">
        <v>10</v>
      </c>
      <c r="X160" s="166">
        <v>-0.2</v>
      </c>
      <c r="Y160" s="189" t="s">
        <v>68</v>
      </c>
      <c r="Z160" s="189" t="s">
        <v>68</v>
      </c>
      <c r="AA160" s="189" t="s">
        <v>68</v>
      </c>
      <c r="AB160" s="192" t="s">
        <v>43</v>
      </c>
      <c r="AC160" s="192" t="s">
        <v>43</v>
      </c>
      <c r="AD160" s="192" t="s">
        <v>44</v>
      </c>
      <c r="AE160" s="189" t="s">
        <v>140</v>
      </c>
      <c r="AF160" s="193" t="s">
        <v>515</v>
      </c>
      <c r="AG160" s="210" t="s">
        <v>516</v>
      </c>
      <c r="AH160" s="211" t="s">
        <v>335</v>
      </c>
      <c r="AI160" s="34"/>
      <c r="AN160" s="25"/>
      <c r="AO160" s="25"/>
      <c r="AR160" s="25"/>
      <c r="AS160" s="25"/>
      <c r="AT160" s="25"/>
    </row>
    <row r="161" spans="1:46" ht="22.5" hidden="1">
      <c r="A161" s="31">
        <v>1</v>
      </c>
      <c r="B161" s="165" t="s">
        <v>203</v>
      </c>
      <c r="C161" s="166">
        <v>-4</v>
      </c>
      <c r="D161" s="166">
        <v>80</v>
      </c>
      <c r="E161" s="166">
        <v>-6</v>
      </c>
      <c r="F161" s="166">
        <v>90</v>
      </c>
      <c r="G161" s="167">
        <v>200</v>
      </c>
      <c r="H161" s="168">
        <v>2E-3</v>
      </c>
      <c r="I161" s="166">
        <v>2.5</v>
      </c>
      <c r="J161" s="167">
        <v>24.999999999999996</v>
      </c>
      <c r="K161" s="166">
        <v>0.25</v>
      </c>
      <c r="L161" s="167">
        <v>120</v>
      </c>
      <c r="M161" s="166">
        <v>12</v>
      </c>
      <c r="N161" s="167">
        <v>100</v>
      </c>
      <c r="O161" s="166">
        <v>5</v>
      </c>
      <c r="P161" s="166">
        <v>2.7</v>
      </c>
      <c r="Q161" s="166">
        <v>5.5</v>
      </c>
      <c r="R161" s="166">
        <v>2.6</v>
      </c>
      <c r="S161" s="166">
        <v>90</v>
      </c>
      <c r="T161" s="166" t="s">
        <v>68</v>
      </c>
      <c r="U161" s="167">
        <v>400</v>
      </c>
      <c r="V161" s="166">
        <v>2</v>
      </c>
      <c r="W161" s="166">
        <v>10</v>
      </c>
      <c r="X161" s="166">
        <v>-0.2</v>
      </c>
      <c r="Y161" s="166" t="s">
        <v>68</v>
      </c>
      <c r="Z161" s="166" t="s">
        <v>68</v>
      </c>
      <c r="AA161" s="166" t="s">
        <v>68</v>
      </c>
      <c r="AB161" s="170" t="s">
        <v>43</v>
      </c>
      <c r="AC161" s="170" t="s">
        <v>43</v>
      </c>
      <c r="AD161" s="170" t="s">
        <v>44</v>
      </c>
      <c r="AE161" s="166" t="s">
        <v>140</v>
      </c>
      <c r="AF161" s="171" t="s">
        <v>515</v>
      </c>
      <c r="AG161" s="203" t="s">
        <v>516</v>
      </c>
      <c r="AH161" s="173" t="s">
        <v>335</v>
      </c>
      <c r="AI161" s="34"/>
      <c r="AN161" s="25"/>
      <c r="AO161" s="25"/>
      <c r="AR161" s="25"/>
      <c r="AS161" s="25"/>
      <c r="AT161" s="25"/>
    </row>
    <row r="162" spans="1:46" ht="33.75" hidden="1">
      <c r="A162" s="31">
        <v>1</v>
      </c>
      <c r="B162" s="165" t="s">
        <v>358</v>
      </c>
      <c r="C162" s="185">
        <v>-4</v>
      </c>
      <c r="D162" s="185">
        <v>80</v>
      </c>
      <c r="E162" s="181">
        <v>-6</v>
      </c>
      <c r="F162" s="186">
        <v>90</v>
      </c>
      <c r="G162" s="187">
        <v>20</v>
      </c>
      <c r="H162" s="188">
        <v>2E-3</v>
      </c>
      <c r="I162" s="185">
        <v>2.5</v>
      </c>
      <c r="J162" s="187">
        <v>24.999999999999996</v>
      </c>
      <c r="K162" s="185">
        <v>0.25</v>
      </c>
      <c r="L162" s="187">
        <v>120</v>
      </c>
      <c r="M162" s="185">
        <v>12</v>
      </c>
      <c r="N162" s="187">
        <v>100</v>
      </c>
      <c r="O162" s="185">
        <v>5</v>
      </c>
      <c r="P162" s="185">
        <v>2.7</v>
      </c>
      <c r="Q162" s="185">
        <v>5.5</v>
      </c>
      <c r="R162" s="185">
        <v>2.6</v>
      </c>
      <c r="S162" s="185">
        <v>90</v>
      </c>
      <c r="T162" s="185" t="s">
        <v>68</v>
      </c>
      <c r="U162" s="187">
        <v>400</v>
      </c>
      <c r="V162" s="185">
        <v>2</v>
      </c>
      <c r="W162" s="185">
        <v>10</v>
      </c>
      <c r="X162" s="185">
        <v>-0.2</v>
      </c>
      <c r="Y162" s="185" t="s">
        <v>68</v>
      </c>
      <c r="Z162" s="185" t="s">
        <v>68</v>
      </c>
      <c r="AA162" s="185" t="s">
        <v>68</v>
      </c>
      <c r="AB162" s="186" t="s">
        <v>43</v>
      </c>
      <c r="AC162" s="186" t="s">
        <v>43</v>
      </c>
      <c r="AD162" s="186" t="s">
        <v>44</v>
      </c>
      <c r="AE162" s="170" t="s">
        <v>359</v>
      </c>
      <c r="AF162" s="170" t="s">
        <v>68</v>
      </c>
      <c r="AG162" s="203" t="s">
        <v>499</v>
      </c>
      <c r="AH162" s="172" t="s">
        <v>159</v>
      </c>
      <c r="AI162" s="34"/>
      <c r="AN162" s="25"/>
      <c r="AO162" s="25"/>
      <c r="AR162" s="25"/>
      <c r="AS162" s="25"/>
      <c r="AT162" s="25"/>
    </row>
    <row r="163" spans="1:46" ht="22.5">
      <c r="A163" s="31">
        <v>1</v>
      </c>
      <c r="B163" s="165" t="s">
        <v>535</v>
      </c>
      <c r="C163" s="185">
        <v>-5</v>
      </c>
      <c r="D163" s="185">
        <v>110</v>
      </c>
      <c r="E163" s="181">
        <v>-20</v>
      </c>
      <c r="F163" s="186">
        <v>120</v>
      </c>
      <c r="G163" s="187">
        <v>10</v>
      </c>
      <c r="H163" s="188">
        <v>1E-4</v>
      </c>
      <c r="I163" s="185">
        <v>1</v>
      </c>
      <c r="J163" s="187">
        <v>20</v>
      </c>
      <c r="K163" s="185">
        <v>0.25</v>
      </c>
      <c r="L163" s="187">
        <v>150</v>
      </c>
      <c r="M163" s="185">
        <v>48</v>
      </c>
      <c r="N163" s="187">
        <v>120</v>
      </c>
      <c r="O163" s="185">
        <v>5</v>
      </c>
      <c r="P163" s="185">
        <v>2.7</v>
      </c>
      <c r="Q163" s="185">
        <v>20</v>
      </c>
      <c r="R163" s="185">
        <v>3.2</v>
      </c>
      <c r="S163" s="185">
        <v>45</v>
      </c>
      <c r="T163" s="166" t="s">
        <v>68</v>
      </c>
      <c r="U163" s="187">
        <v>1100</v>
      </c>
      <c r="V163" s="185">
        <v>8</v>
      </c>
      <c r="W163" s="185">
        <v>20</v>
      </c>
      <c r="X163" s="185">
        <v>-0.2</v>
      </c>
      <c r="Y163" s="166" t="s">
        <v>68</v>
      </c>
      <c r="Z163" s="166" t="s">
        <v>68</v>
      </c>
      <c r="AA163" s="166" t="s">
        <v>68</v>
      </c>
      <c r="AB163" s="170" t="s">
        <v>43</v>
      </c>
      <c r="AC163" s="170" t="s">
        <v>43</v>
      </c>
      <c r="AD163" s="170" t="s">
        <v>44</v>
      </c>
      <c r="AE163" s="166" t="s">
        <v>140</v>
      </c>
      <c r="AF163" s="171" t="s">
        <v>547</v>
      </c>
      <c r="AG163" s="201" t="s">
        <v>496</v>
      </c>
      <c r="AH163" s="173" t="s">
        <v>546</v>
      </c>
      <c r="AI163" s="34"/>
      <c r="AN163" s="25"/>
      <c r="AO163" s="25"/>
      <c r="AR163" s="25"/>
      <c r="AS163" s="25"/>
      <c r="AT163" s="25"/>
    </row>
    <row r="164" spans="1:46" ht="22.5">
      <c r="A164" s="31">
        <v>1</v>
      </c>
      <c r="B164" s="165" t="s">
        <v>536</v>
      </c>
      <c r="C164" s="185">
        <v>-5</v>
      </c>
      <c r="D164" s="185">
        <v>110</v>
      </c>
      <c r="E164" s="181">
        <v>-20</v>
      </c>
      <c r="F164" s="186">
        <v>120</v>
      </c>
      <c r="G164" s="187">
        <v>20</v>
      </c>
      <c r="H164" s="188">
        <v>1E-4</v>
      </c>
      <c r="I164" s="185">
        <v>1</v>
      </c>
      <c r="J164" s="187">
        <v>15</v>
      </c>
      <c r="K164" s="185">
        <v>0.15</v>
      </c>
      <c r="L164" s="187">
        <v>150</v>
      </c>
      <c r="M164" s="185">
        <v>48</v>
      </c>
      <c r="N164" s="187">
        <v>122.5</v>
      </c>
      <c r="O164" s="185">
        <v>5</v>
      </c>
      <c r="P164" s="185">
        <v>2.7</v>
      </c>
      <c r="Q164" s="185">
        <v>20</v>
      </c>
      <c r="R164" s="185">
        <v>3.2</v>
      </c>
      <c r="S164" s="185">
        <v>45</v>
      </c>
      <c r="T164" s="166" t="s">
        <v>68</v>
      </c>
      <c r="U164" s="187">
        <v>1100</v>
      </c>
      <c r="V164" s="185">
        <v>8</v>
      </c>
      <c r="W164" s="185">
        <v>20</v>
      </c>
      <c r="X164" s="185">
        <v>-0.2</v>
      </c>
      <c r="Y164" s="166" t="s">
        <v>68</v>
      </c>
      <c r="Z164" s="166" t="s">
        <v>68</v>
      </c>
      <c r="AA164" s="166" t="s">
        <v>68</v>
      </c>
      <c r="AB164" s="170" t="s">
        <v>43</v>
      </c>
      <c r="AC164" s="170" t="s">
        <v>43</v>
      </c>
      <c r="AD164" s="170" t="s">
        <v>44</v>
      </c>
      <c r="AE164" s="166" t="s">
        <v>140</v>
      </c>
      <c r="AF164" s="171" t="s">
        <v>547</v>
      </c>
      <c r="AG164" s="201" t="s">
        <v>496</v>
      </c>
      <c r="AH164" s="173" t="s">
        <v>546</v>
      </c>
      <c r="AI164" s="34"/>
      <c r="AN164" s="25"/>
      <c r="AO164" s="25"/>
      <c r="AR164" s="25"/>
      <c r="AS164" s="25"/>
      <c r="AT164" s="25"/>
    </row>
    <row r="165" spans="1:46" ht="22.5">
      <c r="A165" s="31">
        <v>1</v>
      </c>
      <c r="B165" s="165" t="s">
        <v>537</v>
      </c>
      <c r="C165" s="185">
        <v>-5</v>
      </c>
      <c r="D165" s="185">
        <v>110</v>
      </c>
      <c r="E165" s="181">
        <v>-20</v>
      </c>
      <c r="F165" s="186">
        <v>120</v>
      </c>
      <c r="G165" s="187">
        <v>50</v>
      </c>
      <c r="H165" s="188">
        <v>1E-4</v>
      </c>
      <c r="I165" s="185">
        <v>1</v>
      </c>
      <c r="J165" s="187">
        <v>10</v>
      </c>
      <c r="K165" s="185">
        <v>0.1</v>
      </c>
      <c r="L165" s="187">
        <v>150</v>
      </c>
      <c r="M165" s="185">
        <v>48</v>
      </c>
      <c r="N165" s="187">
        <v>126</v>
      </c>
      <c r="O165" s="185">
        <v>5</v>
      </c>
      <c r="P165" s="185">
        <v>2.7</v>
      </c>
      <c r="Q165" s="185">
        <v>20</v>
      </c>
      <c r="R165" s="185">
        <v>3.2</v>
      </c>
      <c r="S165" s="185">
        <v>45</v>
      </c>
      <c r="T165" s="166" t="s">
        <v>68</v>
      </c>
      <c r="U165" s="187">
        <v>1100</v>
      </c>
      <c r="V165" s="185">
        <v>8</v>
      </c>
      <c r="W165" s="185">
        <v>20</v>
      </c>
      <c r="X165" s="185">
        <v>-0.2</v>
      </c>
      <c r="Y165" s="166" t="s">
        <v>68</v>
      </c>
      <c r="Z165" s="166" t="s">
        <v>68</v>
      </c>
      <c r="AA165" s="166" t="s">
        <v>68</v>
      </c>
      <c r="AB165" s="170" t="s">
        <v>43</v>
      </c>
      <c r="AC165" s="170" t="s">
        <v>43</v>
      </c>
      <c r="AD165" s="170" t="s">
        <v>44</v>
      </c>
      <c r="AE165" s="166" t="s">
        <v>140</v>
      </c>
      <c r="AF165" s="171" t="s">
        <v>547</v>
      </c>
      <c r="AG165" s="201" t="s">
        <v>496</v>
      </c>
      <c r="AH165" s="173" t="s">
        <v>546</v>
      </c>
      <c r="AI165" s="34"/>
      <c r="AN165" s="25"/>
      <c r="AO165" s="25"/>
      <c r="AR165" s="25"/>
      <c r="AS165" s="25"/>
      <c r="AT165" s="25"/>
    </row>
    <row r="166" spans="1:46" ht="22.5">
      <c r="A166" s="31">
        <v>1</v>
      </c>
      <c r="B166" s="165" t="s">
        <v>538</v>
      </c>
      <c r="C166" s="185">
        <v>-5</v>
      </c>
      <c r="D166" s="185">
        <v>110</v>
      </c>
      <c r="E166" s="181">
        <v>-20</v>
      </c>
      <c r="F166" s="186">
        <v>120</v>
      </c>
      <c r="G166" s="187">
        <v>100</v>
      </c>
      <c r="H166" s="213">
        <v>1.4999999999999999E-4</v>
      </c>
      <c r="I166" s="185">
        <v>2</v>
      </c>
      <c r="J166" s="187">
        <v>10</v>
      </c>
      <c r="K166" s="185">
        <v>0.1</v>
      </c>
      <c r="L166" s="187">
        <v>150</v>
      </c>
      <c r="M166" s="185">
        <v>48</v>
      </c>
      <c r="N166" s="187">
        <v>126</v>
      </c>
      <c r="O166" s="185">
        <v>5</v>
      </c>
      <c r="P166" s="185">
        <v>2.7</v>
      </c>
      <c r="Q166" s="185">
        <v>20</v>
      </c>
      <c r="R166" s="185">
        <v>3.2</v>
      </c>
      <c r="S166" s="185">
        <v>45</v>
      </c>
      <c r="T166" s="166" t="s">
        <v>68</v>
      </c>
      <c r="U166" s="187">
        <v>1100</v>
      </c>
      <c r="V166" s="185">
        <v>8</v>
      </c>
      <c r="W166" s="185">
        <v>20</v>
      </c>
      <c r="X166" s="185">
        <v>-0.2</v>
      </c>
      <c r="Y166" s="166" t="s">
        <v>68</v>
      </c>
      <c r="Z166" s="166" t="s">
        <v>68</v>
      </c>
      <c r="AA166" s="166" t="s">
        <v>68</v>
      </c>
      <c r="AB166" s="170" t="s">
        <v>43</v>
      </c>
      <c r="AC166" s="170" t="s">
        <v>43</v>
      </c>
      <c r="AD166" s="170" t="s">
        <v>44</v>
      </c>
      <c r="AE166" s="166" t="s">
        <v>140</v>
      </c>
      <c r="AF166" s="171" t="s">
        <v>547</v>
      </c>
      <c r="AG166" s="201" t="s">
        <v>496</v>
      </c>
      <c r="AH166" s="173" t="s">
        <v>546</v>
      </c>
      <c r="AI166" s="34"/>
      <c r="AN166" s="25"/>
      <c r="AO166" s="25"/>
      <c r="AR166" s="25"/>
      <c r="AS166" s="25"/>
      <c r="AT166" s="25"/>
    </row>
    <row r="167" spans="1:46" ht="22.5">
      <c r="A167" s="31">
        <v>1</v>
      </c>
      <c r="B167" s="165" t="s">
        <v>539</v>
      </c>
      <c r="C167" s="185">
        <v>-5</v>
      </c>
      <c r="D167" s="185">
        <v>110</v>
      </c>
      <c r="E167" s="181">
        <v>-20</v>
      </c>
      <c r="F167" s="186">
        <v>120</v>
      </c>
      <c r="G167" s="187">
        <v>200</v>
      </c>
      <c r="H167" s="213">
        <v>1.4999999999999999E-4</v>
      </c>
      <c r="I167" s="185">
        <v>2</v>
      </c>
      <c r="J167" s="187">
        <v>8</v>
      </c>
      <c r="K167" s="185">
        <v>0.1</v>
      </c>
      <c r="L167" s="187">
        <v>150</v>
      </c>
      <c r="M167" s="185">
        <v>48</v>
      </c>
      <c r="N167" s="187">
        <v>126</v>
      </c>
      <c r="O167" s="185">
        <v>5</v>
      </c>
      <c r="P167" s="185">
        <v>2.7</v>
      </c>
      <c r="Q167" s="185">
        <v>20</v>
      </c>
      <c r="R167" s="185">
        <v>3.2</v>
      </c>
      <c r="S167" s="185">
        <v>45</v>
      </c>
      <c r="T167" s="166" t="s">
        <v>68</v>
      </c>
      <c r="U167" s="187">
        <v>1100</v>
      </c>
      <c r="V167" s="185">
        <v>8</v>
      </c>
      <c r="W167" s="185">
        <v>20</v>
      </c>
      <c r="X167" s="185">
        <v>-0.2</v>
      </c>
      <c r="Y167" s="166" t="s">
        <v>68</v>
      </c>
      <c r="Z167" s="166" t="s">
        <v>68</v>
      </c>
      <c r="AA167" s="166" t="s">
        <v>68</v>
      </c>
      <c r="AB167" s="170" t="s">
        <v>43</v>
      </c>
      <c r="AC167" s="170" t="s">
        <v>43</v>
      </c>
      <c r="AD167" s="170" t="s">
        <v>44</v>
      </c>
      <c r="AE167" s="166" t="s">
        <v>140</v>
      </c>
      <c r="AF167" s="171" t="s">
        <v>547</v>
      </c>
      <c r="AG167" s="201" t="s">
        <v>496</v>
      </c>
      <c r="AH167" s="173" t="s">
        <v>546</v>
      </c>
      <c r="AI167" s="34"/>
      <c r="AN167" s="25"/>
      <c r="AO167" s="25"/>
      <c r="AR167" s="25"/>
      <c r="AS167" s="25"/>
      <c r="AT167" s="25"/>
    </row>
    <row r="168" spans="1:46" ht="22.5">
      <c r="A168" s="31">
        <v>1</v>
      </c>
      <c r="B168" s="165" t="s">
        <v>540</v>
      </c>
      <c r="C168" s="185">
        <v>-5</v>
      </c>
      <c r="D168" s="185">
        <v>110</v>
      </c>
      <c r="E168" s="181">
        <v>-20</v>
      </c>
      <c r="F168" s="186">
        <v>120</v>
      </c>
      <c r="G168" s="187">
        <v>10</v>
      </c>
      <c r="H168" s="188">
        <v>1E-3</v>
      </c>
      <c r="I168" s="185">
        <v>5</v>
      </c>
      <c r="J168" s="187">
        <v>150</v>
      </c>
      <c r="K168" s="185">
        <v>0.5</v>
      </c>
      <c r="L168" s="187">
        <v>120</v>
      </c>
      <c r="M168" s="185">
        <v>48</v>
      </c>
      <c r="N168" s="187">
        <v>100</v>
      </c>
      <c r="O168" s="185">
        <v>5</v>
      </c>
      <c r="P168" s="185">
        <v>2.7</v>
      </c>
      <c r="Q168" s="185">
        <v>20</v>
      </c>
      <c r="R168" s="185">
        <v>3.2</v>
      </c>
      <c r="S168" s="185">
        <v>45</v>
      </c>
      <c r="T168" s="166" t="s">
        <v>68</v>
      </c>
      <c r="U168" s="187">
        <v>1100</v>
      </c>
      <c r="V168" s="185">
        <v>8</v>
      </c>
      <c r="W168" s="185">
        <v>20</v>
      </c>
      <c r="X168" s="185">
        <v>-0.2</v>
      </c>
      <c r="Y168" s="166" t="s">
        <v>68</v>
      </c>
      <c r="Z168" s="166" t="s">
        <v>68</v>
      </c>
      <c r="AA168" s="166" t="s">
        <v>68</v>
      </c>
      <c r="AB168" s="170" t="s">
        <v>43</v>
      </c>
      <c r="AC168" s="170" t="s">
        <v>43</v>
      </c>
      <c r="AD168" s="170" t="s">
        <v>44</v>
      </c>
      <c r="AE168" s="166" t="s">
        <v>140</v>
      </c>
      <c r="AF168" s="171" t="s">
        <v>547</v>
      </c>
      <c r="AG168" s="201" t="s">
        <v>496</v>
      </c>
      <c r="AH168" s="173" t="s">
        <v>546</v>
      </c>
      <c r="AI168" s="34"/>
      <c r="AN168" s="25"/>
      <c r="AO168" s="25"/>
      <c r="AR168" s="25"/>
      <c r="AS168" s="25"/>
      <c r="AT168" s="25"/>
    </row>
    <row r="169" spans="1:46" ht="22.5">
      <c r="A169" s="31">
        <v>1</v>
      </c>
      <c r="B169" s="165" t="s">
        <v>541</v>
      </c>
      <c r="C169" s="185">
        <v>-5</v>
      </c>
      <c r="D169" s="185">
        <v>110</v>
      </c>
      <c r="E169" s="181">
        <v>-20</v>
      </c>
      <c r="F169" s="186">
        <v>120</v>
      </c>
      <c r="G169" s="187">
        <v>20</v>
      </c>
      <c r="H169" s="188">
        <v>1E-3</v>
      </c>
      <c r="I169" s="185">
        <v>5</v>
      </c>
      <c r="J169" s="187">
        <v>150</v>
      </c>
      <c r="K169" s="185">
        <v>0.5</v>
      </c>
      <c r="L169" s="187">
        <v>120</v>
      </c>
      <c r="M169" s="185">
        <v>48</v>
      </c>
      <c r="N169" s="187">
        <v>100</v>
      </c>
      <c r="O169" s="185">
        <v>5</v>
      </c>
      <c r="P169" s="185">
        <v>2.7</v>
      </c>
      <c r="Q169" s="185">
        <v>20</v>
      </c>
      <c r="R169" s="185">
        <v>3.2</v>
      </c>
      <c r="S169" s="185">
        <v>45</v>
      </c>
      <c r="T169" s="166" t="s">
        <v>68</v>
      </c>
      <c r="U169" s="187">
        <v>1100</v>
      </c>
      <c r="V169" s="185">
        <v>8</v>
      </c>
      <c r="W169" s="185">
        <v>20</v>
      </c>
      <c r="X169" s="185">
        <v>-0.2</v>
      </c>
      <c r="Y169" s="166" t="s">
        <v>68</v>
      </c>
      <c r="Z169" s="166" t="s">
        <v>68</v>
      </c>
      <c r="AA169" s="166" t="s">
        <v>68</v>
      </c>
      <c r="AB169" s="170" t="s">
        <v>43</v>
      </c>
      <c r="AC169" s="170" t="s">
        <v>43</v>
      </c>
      <c r="AD169" s="170" t="s">
        <v>44</v>
      </c>
      <c r="AE169" s="166" t="s">
        <v>140</v>
      </c>
      <c r="AF169" s="171" t="s">
        <v>547</v>
      </c>
      <c r="AG169" s="201" t="s">
        <v>496</v>
      </c>
      <c r="AH169" s="173" t="s">
        <v>546</v>
      </c>
      <c r="AI169" s="34"/>
      <c r="AN169" s="25"/>
      <c r="AO169" s="25"/>
      <c r="AR169" s="25"/>
      <c r="AS169" s="25"/>
      <c r="AT169" s="25"/>
    </row>
    <row r="170" spans="1:46" ht="22.5">
      <c r="A170" s="31">
        <v>1</v>
      </c>
      <c r="B170" s="165" t="s">
        <v>542</v>
      </c>
      <c r="C170" s="185">
        <v>-5</v>
      </c>
      <c r="D170" s="185">
        <v>110</v>
      </c>
      <c r="E170" s="181">
        <v>-20</v>
      </c>
      <c r="F170" s="186">
        <v>120</v>
      </c>
      <c r="G170" s="187">
        <v>50</v>
      </c>
      <c r="H170" s="188">
        <v>1E-3</v>
      </c>
      <c r="I170" s="185">
        <v>5</v>
      </c>
      <c r="J170" s="187">
        <v>150</v>
      </c>
      <c r="K170" s="185">
        <v>0.5</v>
      </c>
      <c r="L170" s="187">
        <v>120</v>
      </c>
      <c r="M170" s="185">
        <v>48</v>
      </c>
      <c r="N170" s="187">
        <v>100</v>
      </c>
      <c r="O170" s="185">
        <v>5</v>
      </c>
      <c r="P170" s="185">
        <v>2.7</v>
      </c>
      <c r="Q170" s="185">
        <v>20</v>
      </c>
      <c r="R170" s="185">
        <v>3.2</v>
      </c>
      <c r="S170" s="185">
        <v>45</v>
      </c>
      <c r="T170" s="166" t="s">
        <v>68</v>
      </c>
      <c r="U170" s="187">
        <v>1100</v>
      </c>
      <c r="V170" s="185">
        <v>8</v>
      </c>
      <c r="W170" s="185">
        <v>20</v>
      </c>
      <c r="X170" s="185">
        <v>-0.2</v>
      </c>
      <c r="Y170" s="166" t="s">
        <v>68</v>
      </c>
      <c r="Z170" s="166" t="s">
        <v>68</v>
      </c>
      <c r="AA170" s="166" t="s">
        <v>68</v>
      </c>
      <c r="AB170" s="170" t="s">
        <v>43</v>
      </c>
      <c r="AC170" s="170" t="s">
        <v>43</v>
      </c>
      <c r="AD170" s="170" t="s">
        <v>44</v>
      </c>
      <c r="AE170" s="166" t="s">
        <v>140</v>
      </c>
      <c r="AF170" s="171" t="s">
        <v>547</v>
      </c>
      <c r="AG170" s="201" t="s">
        <v>496</v>
      </c>
      <c r="AH170" s="173" t="s">
        <v>546</v>
      </c>
      <c r="AI170" s="34"/>
      <c r="AN170" s="25"/>
      <c r="AO170" s="25"/>
      <c r="AR170" s="25"/>
      <c r="AS170" s="25"/>
      <c r="AT170" s="25"/>
    </row>
    <row r="171" spans="1:46" ht="22.5">
      <c r="A171" s="31">
        <v>1</v>
      </c>
      <c r="B171" s="165" t="s">
        <v>543</v>
      </c>
      <c r="C171" s="185">
        <v>-5</v>
      </c>
      <c r="D171" s="185">
        <v>110</v>
      </c>
      <c r="E171" s="181">
        <v>-20</v>
      </c>
      <c r="F171" s="186">
        <v>120</v>
      </c>
      <c r="G171" s="187">
        <v>100</v>
      </c>
      <c r="H171" s="188">
        <v>1E-3</v>
      </c>
      <c r="I171" s="185">
        <v>5</v>
      </c>
      <c r="J171" s="187">
        <v>150</v>
      </c>
      <c r="K171" s="185">
        <v>0.5</v>
      </c>
      <c r="L171" s="187">
        <v>120</v>
      </c>
      <c r="M171" s="185">
        <v>48</v>
      </c>
      <c r="N171" s="187">
        <v>100</v>
      </c>
      <c r="O171" s="185">
        <v>5</v>
      </c>
      <c r="P171" s="185">
        <v>2.7</v>
      </c>
      <c r="Q171" s="185">
        <v>20</v>
      </c>
      <c r="R171" s="185">
        <v>3.2</v>
      </c>
      <c r="S171" s="185">
        <v>45</v>
      </c>
      <c r="T171" s="166" t="s">
        <v>68</v>
      </c>
      <c r="U171" s="187">
        <v>1100</v>
      </c>
      <c r="V171" s="185">
        <v>8</v>
      </c>
      <c r="W171" s="185">
        <v>20</v>
      </c>
      <c r="X171" s="185">
        <v>-0.2</v>
      </c>
      <c r="Y171" s="166" t="s">
        <v>68</v>
      </c>
      <c r="Z171" s="166" t="s">
        <v>68</v>
      </c>
      <c r="AA171" s="166" t="s">
        <v>68</v>
      </c>
      <c r="AB171" s="170" t="s">
        <v>43</v>
      </c>
      <c r="AC171" s="170" t="s">
        <v>43</v>
      </c>
      <c r="AD171" s="170" t="s">
        <v>44</v>
      </c>
      <c r="AE171" s="166" t="s">
        <v>140</v>
      </c>
      <c r="AF171" s="171" t="s">
        <v>547</v>
      </c>
      <c r="AG171" s="201" t="s">
        <v>496</v>
      </c>
      <c r="AH171" s="173" t="s">
        <v>546</v>
      </c>
      <c r="AI171" s="34"/>
      <c r="AN171" s="25"/>
      <c r="AO171" s="25"/>
      <c r="AR171" s="25"/>
      <c r="AS171" s="25"/>
      <c r="AT171" s="25"/>
    </row>
    <row r="172" spans="1:46" ht="22.5">
      <c r="A172" s="31">
        <v>1</v>
      </c>
      <c r="B172" s="165" t="s">
        <v>544</v>
      </c>
      <c r="C172" s="185">
        <v>-5</v>
      </c>
      <c r="D172" s="185">
        <v>110</v>
      </c>
      <c r="E172" s="181">
        <v>-20</v>
      </c>
      <c r="F172" s="186">
        <v>120</v>
      </c>
      <c r="G172" s="187">
        <v>200</v>
      </c>
      <c r="H172" s="188">
        <v>1E-3</v>
      </c>
      <c r="I172" s="185">
        <v>5</v>
      </c>
      <c r="J172" s="187">
        <v>150</v>
      </c>
      <c r="K172" s="185">
        <v>0.5</v>
      </c>
      <c r="L172" s="187">
        <v>120</v>
      </c>
      <c r="M172" s="185">
        <v>48</v>
      </c>
      <c r="N172" s="187">
        <v>100</v>
      </c>
      <c r="O172" s="185">
        <v>5</v>
      </c>
      <c r="P172" s="185">
        <v>2.7</v>
      </c>
      <c r="Q172" s="185">
        <v>20</v>
      </c>
      <c r="R172" s="185">
        <v>3.2</v>
      </c>
      <c r="S172" s="185">
        <v>45</v>
      </c>
      <c r="T172" s="166" t="s">
        <v>68</v>
      </c>
      <c r="U172" s="187">
        <v>1100</v>
      </c>
      <c r="V172" s="185">
        <v>8</v>
      </c>
      <c r="W172" s="185">
        <v>20</v>
      </c>
      <c r="X172" s="185">
        <v>-0.2</v>
      </c>
      <c r="Y172" s="166" t="s">
        <v>68</v>
      </c>
      <c r="Z172" s="166" t="s">
        <v>68</v>
      </c>
      <c r="AA172" s="166" t="s">
        <v>68</v>
      </c>
      <c r="AB172" s="170" t="s">
        <v>43</v>
      </c>
      <c r="AC172" s="170" t="s">
        <v>43</v>
      </c>
      <c r="AD172" s="170" t="s">
        <v>44</v>
      </c>
      <c r="AE172" s="166" t="s">
        <v>140</v>
      </c>
      <c r="AF172" s="171" t="s">
        <v>547</v>
      </c>
      <c r="AG172" s="201" t="s">
        <v>496</v>
      </c>
      <c r="AH172" s="173" t="s">
        <v>546</v>
      </c>
      <c r="AI172" s="34"/>
      <c r="AN172" s="25"/>
      <c r="AO172" s="25"/>
      <c r="AR172" s="25"/>
      <c r="AS172" s="25"/>
      <c r="AT172" s="25"/>
    </row>
    <row r="173" spans="1:46" ht="11.25" hidden="1">
      <c r="A173" s="31">
        <v>1</v>
      </c>
      <c r="B173" s="165" t="s">
        <v>6</v>
      </c>
      <c r="C173" s="166">
        <v>-16</v>
      </c>
      <c r="D173" s="166">
        <v>80</v>
      </c>
      <c r="E173" s="177">
        <v>-16</v>
      </c>
      <c r="F173" s="170">
        <v>80</v>
      </c>
      <c r="G173" s="167">
        <v>14</v>
      </c>
      <c r="H173" s="168">
        <v>0.01</v>
      </c>
      <c r="I173" s="166">
        <v>50</v>
      </c>
      <c r="J173" s="167">
        <v>2500</v>
      </c>
      <c r="K173" s="166">
        <v>20</v>
      </c>
      <c r="L173" s="167">
        <v>80</v>
      </c>
      <c r="M173" s="166">
        <v>12</v>
      </c>
      <c r="N173" s="167">
        <v>80</v>
      </c>
      <c r="O173" s="166">
        <v>5</v>
      </c>
      <c r="P173" s="166">
        <v>2.7</v>
      </c>
      <c r="Q173" s="166">
        <v>18</v>
      </c>
      <c r="R173" s="166">
        <v>0.95</v>
      </c>
      <c r="S173" s="166">
        <v>8</v>
      </c>
      <c r="T173" s="166" t="s">
        <v>68</v>
      </c>
      <c r="U173" s="167">
        <v>130</v>
      </c>
      <c r="V173" s="166">
        <v>1</v>
      </c>
      <c r="W173" s="166">
        <v>50</v>
      </c>
      <c r="X173" s="166">
        <v>-0.2</v>
      </c>
      <c r="Y173" s="166" t="s">
        <v>68</v>
      </c>
      <c r="Z173" s="166" t="s">
        <v>68</v>
      </c>
      <c r="AA173" s="166" t="s">
        <v>68</v>
      </c>
      <c r="AB173" s="170" t="s">
        <v>43</v>
      </c>
      <c r="AC173" s="170" t="s">
        <v>44</v>
      </c>
      <c r="AD173" s="170" t="s">
        <v>44</v>
      </c>
      <c r="AE173" s="166" t="s">
        <v>95</v>
      </c>
      <c r="AF173" s="171" t="s">
        <v>327</v>
      </c>
      <c r="AG173" s="201" t="s">
        <v>496</v>
      </c>
      <c r="AH173" s="172" t="s">
        <v>162</v>
      </c>
      <c r="AI173" s="34"/>
      <c r="AN173" s="25"/>
      <c r="AO173" s="25"/>
      <c r="AR173" s="25"/>
      <c r="AS173" s="25"/>
      <c r="AT173" s="25"/>
    </row>
    <row r="174" spans="1:46" ht="11.25" hidden="1">
      <c r="A174" s="31">
        <v>1</v>
      </c>
      <c r="B174" s="165" t="s">
        <v>65</v>
      </c>
      <c r="C174" s="166">
        <v>-16</v>
      </c>
      <c r="D174" s="166">
        <v>80</v>
      </c>
      <c r="E174" s="177">
        <v>-16</v>
      </c>
      <c r="F174" s="170">
        <v>80</v>
      </c>
      <c r="G174" s="167">
        <v>20</v>
      </c>
      <c r="H174" s="168">
        <v>0.01</v>
      </c>
      <c r="I174" s="166">
        <v>50</v>
      </c>
      <c r="J174" s="167">
        <v>2500</v>
      </c>
      <c r="K174" s="166">
        <v>20</v>
      </c>
      <c r="L174" s="167">
        <v>80</v>
      </c>
      <c r="M174" s="166">
        <v>12</v>
      </c>
      <c r="N174" s="167">
        <v>80</v>
      </c>
      <c r="O174" s="166">
        <v>5</v>
      </c>
      <c r="P174" s="166">
        <v>2.7</v>
      </c>
      <c r="Q174" s="166">
        <v>18</v>
      </c>
      <c r="R174" s="166">
        <v>0.95</v>
      </c>
      <c r="S174" s="166">
        <v>8</v>
      </c>
      <c r="T174" s="166" t="s">
        <v>68</v>
      </c>
      <c r="U174" s="167">
        <v>130</v>
      </c>
      <c r="V174" s="166">
        <v>1</v>
      </c>
      <c r="W174" s="166">
        <v>50</v>
      </c>
      <c r="X174" s="166">
        <v>-0.2</v>
      </c>
      <c r="Y174" s="166" t="s">
        <v>68</v>
      </c>
      <c r="Z174" s="166" t="s">
        <v>68</v>
      </c>
      <c r="AA174" s="166" t="s">
        <v>68</v>
      </c>
      <c r="AB174" s="170" t="s">
        <v>43</v>
      </c>
      <c r="AC174" s="170" t="s">
        <v>44</v>
      </c>
      <c r="AD174" s="170" t="s">
        <v>44</v>
      </c>
      <c r="AE174" s="166" t="s">
        <v>95</v>
      </c>
      <c r="AF174" s="171" t="s">
        <v>327</v>
      </c>
      <c r="AG174" s="201" t="s">
        <v>496</v>
      </c>
      <c r="AH174" s="172" t="s">
        <v>162</v>
      </c>
      <c r="AI174" s="34"/>
      <c r="AN174" s="25"/>
      <c r="AO174" s="25"/>
      <c r="AR174" s="25"/>
      <c r="AS174" s="25"/>
      <c r="AT174" s="25"/>
    </row>
    <row r="175" spans="1:46" ht="33.75" hidden="1">
      <c r="A175" s="31">
        <v>1</v>
      </c>
      <c r="B175" s="165" t="s">
        <v>91</v>
      </c>
      <c r="C175" s="166">
        <v>-16</v>
      </c>
      <c r="D175" s="166">
        <v>80</v>
      </c>
      <c r="E175" s="177">
        <v>-16</v>
      </c>
      <c r="F175" s="170">
        <v>80</v>
      </c>
      <c r="G175" s="167">
        <v>20</v>
      </c>
      <c r="H175" s="168">
        <v>0.01</v>
      </c>
      <c r="I175" s="166">
        <v>300</v>
      </c>
      <c r="J175" s="167">
        <v>10000</v>
      </c>
      <c r="K175" s="166">
        <v>100</v>
      </c>
      <c r="L175" s="167">
        <v>70</v>
      </c>
      <c r="M175" s="166">
        <v>12</v>
      </c>
      <c r="N175" s="167">
        <v>70</v>
      </c>
      <c r="O175" s="166">
        <v>5</v>
      </c>
      <c r="P175" s="166">
        <v>2.7</v>
      </c>
      <c r="Q175" s="166">
        <v>18</v>
      </c>
      <c r="R175" s="166">
        <v>1.6</v>
      </c>
      <c r="S175" s="166">
        <v>25</v>
      </c>
      <c r="T175" s="166" t="s">
        <v>68</v>
      </c>
      <c r="U175" s="167">
        <v>130</v>
      </c>
      <c r="V175" s="166">
        <v>1</v>
      </c>
      <c r="W175" s="166">
        <v>420</v>
      </c>
      <c r="X175" s="166">
        <v>-0.2</v>
      </c>
      <c r="Y175" s="166" t="s">
        <v>68</v>
      </c>
      <c r="Z175" s="166" t="s">
        <v>68</v>
      </c>
      <c r="AA175" s="166" t="s">
        <v>68</v>
      </c>
      <c r="AB175" s="170" t="s">
        <v>43</v>
      </c>
      <c r="AC175" s="170" t="s">
        <v>44</v>
      </c>
      <c r="AD175" s="170" t="s">
        <v>44</v>
      </c>
      <c r="AE175" s="170" t="s">
        <v>522</v>
      </c>
      <c r="AF175" s="171" t="s">
        <v>68</v>
      </c>
      <c r="AG175" s="201" t="s">
        <v>500</v>
      </c>
      <c r="AH175" s="173" t="s">
        <v>336</v>
      </c>
      <c r="AI175" s="34"/>
      <c r="AN175" s="25"/>
      <c r="AO175" s="25"/>
      <c r="AR175" s="25"/>
      <c r="AS175" s="25"/>
      <c r="AT175" s="25"/>
    </row>
    <row r="176" spans="1:46" ht="11.25" hidden="1">
      <c r="A176" s="31">
        <v>1</v>
      </c>
      <c r="B176" s="165" t="s">
        <v>272</v>
      </c>
      <c r="C176" s="166">
        <v>2.7</v>
      </c>
      <c r="D176" s="166">
        <v>120</v>
      </c>
      <c r="E176" s="166">
        <v>-20</v>
      </c>
      <c r="F176" s="166">
        <v>122</v>
      </c>
      <c r="G176" s="167">
        <v>20</v>
      </c>
      <c r="H176" s="168">
        <v>5.0000000000000001E-3</v>
      </c>
      <c r="I176" s="166">
        <v>20</v>
      </c>
      <c r="J176" s="167">
        <v>150</v>
      </c>
      <c r="K176" s="166">
        <v>1</v>
      </c>
      <c r="L176" s="167">
        <v>120</v>
      </c>
      <c r="M176" s="166">
        <v>48</v>
      </c>
      <c r="N176" s="167">
        <v>100</v>
      </c>
      <c r="O176" s="166">
        <v>5</v>
      </c>
      <c r="P176" s="166">
        <v>2.7</v>
      </c>
      <c r="Q176" s="166">
        <v>20</v>
      </c>
      <c r="R176" s="166">
        <v>0.6</v>
      </c>
      <c r="S176" s="166">
        <v>20</v>
      </c>
      <c r="T176" s="166" t="s">
        <v>68</v>
      </c>
      <c r="U176" s="167">
        <v>1100</v>
      </c>
      <c r="V176" s="166">
        <v>2</v>
      </c>
      <c r="W176" s="166">
        <v>25</v>
      </c>
      <c r="X176" s="166">
        <v>-0.2</v>
      </c>
      <c r="Y176" s="166" t="s">
        <v>68</v>
      </c>
      <c r="Z176" s="166" t="s">
        <v>68</v>
      </c>
      <c r="AA176" s="166" t="s">
        <v>68</v>
      </c>
      <c r="AB176" s="170" t="s">
        <v>44</v>
      </c>
      <c r="AC176" s="170" t="s">
        <v>44</v>
      </c>
      <c r="AD176" s="170" t="s">
        <v>44</v>
      </c>
      <c r="AE176" s="166"/>
      <c r="AF176" s="170" t="s">
        <v>327</v>
      </c>
      <c r="AG176" s="202" t="s">
        <v>496</v>
      </c>
      <c r="AH176" s="172" t="s">
        <v>508</v>
      </c>
      <c r="AI176" s="34"/>
      <c r="AN176" s="25"/>
      <c r="AO176" s="25"/>
      <c r="AR176" s="25"/>
      <c r="AS176" s="25"/>
      <c r="AT176" s="25"/>
    </row>
    <row r="177" spans="1:46" ht="11.25" hidden="1">
      <c r="A177" s="31">
        <v>1</v>
      </c>
      <c r="B177" s="165" t="s">
        <v>273</v>
      </c>
      <c r="C177" s="166">
        <v>2.7</v>
      </c>
      <c r="D177" s="166">
        <v>120</v>
      </c>
      <c r="E177" s="166">
        <v>-20</v>
      </c>
      <c r="F177" s="166">
        <v>122</v>
      </c>
      <c r="G177" s="167">
        <v>50</v>
      </c>
      <c r="H177" s="168">
        <v>5.0000000000000001E-3</v>
      </c>
      <c r="I177" s="166">
        <v>20</v>
      </c>
      <c r="J177" s="167">
        <v>150</v>
      </c>
      <c r="K177" s="166">
        <v>1</v>
      </c>
      <c r="L177" s="167">
        <v>120</v>
      </c>
      <c r="M177" s="166">
        <v>48</v>
      </c>
      <c r="N177" s="167">
        <v>100</v>
      </c>
      <c r="O177" s="166">
        <v>5</v>
      </c>
      <c r="P177" s="166">
        <v>2.7</v>
      </c>
      <c r="Q177" s="166">
        <v>20</v>
      </c>
      <c r="R177" s="166">
        <v>0.6</v>
      </c>
      <c r="S177" s="166">
        <v>20</v>
      </c>
      <c r="T177" s="166" t="s">
        <v>68</v>
      </c>
      <c r="U177" s="167">
        <v>1100</v>
      </c>
      <c r="V177" s="166">
        <v>2</v>
      </c>
      <c r="W177" s="166">
        <v>25</v>
      </c>
      <c r="X177" s="166">
        <v>-0.2</v>
      </c>
      <c r="Y177" s="166" t="s">
        <v>68</v>
      </c>
      <c r="Z177" s="166" t="s">
        <v>68</v>
      </c>
      <c r="AA177" s="166" t="s">
        <v>68</v>
      </c>
      <c r="AB177" s="170" t="s">
        <v>44</v>
      </c>
      <c r="AC177" s="170" t="s">
        <v>44</v>
      </c>
      <c r="AD177" s="170" t="s">
        <v>44</v>
      </c>
      <c r="AE177" s="166"/>
      <c r="AF177" s="166" t="s">
        <v>327</v>
      </c>
      <c r="AG177" s="201" t="s">
        <v>496</v>
      </c>
      <c r="AH177" s="172" t="s">
        <v>508</v>
      </c>
      <c r="AI177" s="34"/>
      <c r="AN177" s="25"/>
      <c r="AO177" s="25"/>
      <c r="AR177" s="25"/>
      <c r="AS177" s="25"/>
      <c r="AT177" s="25"/>
    </row>
    <row r="178" spans="1:46" ht="11.25" hidden="1">
      <c r="A178" s="31">
        <v>1</v>
      </c>
      <c r="B178" s="165" t="s">
        <v>274</v>
      </c>
      <c r="C178" s="166">
        <v>2.7</v>
      </c>
      <c r="D178" s="166">
        <v>120</v>
      </c>
      <c r="E178" s="166">
        <v>-20</v>
      </c>
      <c r="F178" s="166">
        <v>122</v>
      </c>
      <c r="G178" s="167">
        <v>100</v>
      </c>
      <c r="H178" s="168">
        <v>5.0000000000000001E-3</v>
      </c>
      <c r="I178" s="166">
        <v>20</v>
      </c>
      <c r="J178" s="167">
        <v>150</v>
      </c>
      <c r="K178" s="166">
        <v>1</v>
      </c>
      <c r="L178" s="167">
        <v>120</v>
      </c>
      <c r="M178" s="166">
        <v>48</v>
      </c>
      <c r="N178" s="167">
        <v>100</v>
      </c>
      <c r="O178" s="166">
        <v>5</v>
      </c>
      <c r="P178" s="166">
        <v>2.7</v>
      </c>
      <c r="Q178" s="166">
        <v>20</v>
      </c>
      <c r="R178" s="166">
        <v>0.6</v>
      </c>
      <c r="S178" s="166">
        <v>20</v>
      </c>
      <c r="T178" s="166" t="s">
        <v>68</v>
      </c>
      <c r="U178" s="167">
        <v>900</v>
      </c>
      <c r="V178" s="166">
        <v>2</v>
      </c>
      <c r="W178" s="166">
        <v>25</v>
      </c>
      <c r="X178" s="166">
        <v>-0.2</v>
      </c>
      <c r="Y178" s="166" t="s">
        <v>68</v>
      </c>
      <c r="Z178" s="166" t="s">
        <v>68</v>
      </c>
      <c r="AA178" s="166" t="s">
        <v>68</v>
      </c>
      <c r="AB178" s="170" t="s">
        <v>44</v>
      </c>
      <c r="AC178" s="170" t="s">
        <v>44</v>
      </c>
      <c r="AD178" s="170" t="s">
        <v>44</v>
      </c>
      <c r="AE178" s="166"/>
      <c r="AF178" s="166" t="s">
        <v>327</v>
      </c>
      <c r="AG178" s="201" t="s">
        <v>496</v>
      </c>
      <c r="AH178" s="172" t="s">
        <v>508</v>
      </c>
      <c r="AI178" s="34"/>
      <c r="AN178" s="25"/>
      <c r="AO178" s="25"/>
      <c r="AR178" s="25"/>
      <c r="AS178" s="25"/>
      <c r="AT178" s="25"/>
    </row>
    <row r="179" spans="1:46" ht="11.25" hidden="1">
      <c r="A179" s="31">
        <v>1</v>
      </c>
      <c r="B179" s="165" t="s">
        <v>275</v>
      </c>
      <c r="C179" s="166">
        <v>2.7</v>
      </c>
      <c r="D179" s="166">
        <v>120</v>
      </c>
      <c r="E179" s="166">
        <v>-20</v>
      </c>
      <c r="F179" s="166">
        <v>122</v>
      </c>
      <c r="G179" s="167">
        <v>200</v>
      </c>
      <c r="H179" s="168">
        <v>5.0000000000000001E-3</v>
      </c>
      <c r="I179" s="166">
        <v>20</v>
      </c>
      <c r="J179" s="167">
        <v>150</v>
      </c>
      <c r="K179" s="166">
        <v>1</v>
      </c>
      <c r="L179" s="167">
        <v>120</v>
      </c>
      <c r="M179" s="166">
        <v>48</v>
      </c>
      <c r="N179" s="167">
        <v>100</v>
      </c>
      <c r="O179" s="166">
        <v>5</v>
      </c>
      <c r="P179" s="166">
        <v>2.7</v>
      </c>
      <c r="Q179" s="166">
        <v>20</v>
      </c>
      <c r="R179" s="166">
        <v>0.6</v>
      </c>
      <c r="S179" s="166">
        <v>20</v>
      </c>
      <c r="T179" s="166" t="s">
        <v>68</v>
      </c>
      <c r="U179" s="167">
        <v>850</v>
      </c>
      <c r="V179" s="166">
        <v>2</v>
      </c>
      <c r="W179" s="166">
        <v>25</v>
      </c>
      <c r="X179" s="166">
        <v>-0.2</v>
      </c>
      <c r="Y179" s="166" t="s">
        <v>68</v>
      </c>
      <c r="Z179" s="166" t="s">
        <v>68</v>
      </c>
      <c r="AA179" s="166" t="s">
        <v>68</v>
      </c>
      <c r="AB179" s="170" t="s">
        <v>44</v>
      </c>
      <c r="AC179" s="170" t="s">
        <v>44</v>
      </c>
      <c r="AD179" s="170" t="s">
        <v>44</v>
      </c>
      <c r="AE179" s="166"/>
      <c r="AF179" s="166" t="s">
        <v>327</v>
      </c>
      <c r="AG179" s="201" t="s">
        <v>496</v>
      </c>
      <c r="AH179" s="172" t="s">
        <v>508</v>
      </c>
      <c r="AI179" s="34"/>
      <c r="AN179" s="25"/>
      <c r="AO179" s="25"/>
      <c r="AR179" s="25"/>
      <c r="AS179" s="25"/>
      <c r="AT179" s="25"/>
    </row>
    <row r="180" spans="1:46" ht="11.25" hidden="1">
      <c r="A180" s="31">
        <v>1</v>
      </c>
      <c r="B180" s="165" t="s">
        <v>276</v>
      </c>
      <c r="C180" s="166">
        <v>2.7</v>
      </c>
      <c r="D180" s="166">
        <v>120</v>
      </c>
      <c r="E180" s="166">
        <v>-20</v>
      </c>
      <c r="F180" s="166">
        <v>122</v>
      </c>
      <c r="G180" s="167">
        <v>500</v>
      </c>
      <c r="H180" s="168">
        <v>5.0000000000000001E-3</v>
      </c>
      <c r="I180" s="166">
        <v>20</v>
      </c>
      <c r="J180" s="167">
        <v>150</v>
      </c>
      <c r="K180" s="166">
        <v>1</v>
      </c>
      <c r="L180" s="167">
        <v>120</v>
      </c>
      <c r="M180" s="166">
        <v>48</v>
      </c>
      <c r="N180" s="167">
        <v>100</v>
      </c>
      <c r="O180" s="166">
        <v>5</v>
      </c>
      <c r="P180" s="166">
        <v>2.7</v>
      </c>
      <c r="Q180" s="166">
        <v>20</v>
      </c>
      <c r="R180" s="166">
        <v>0.6</v>
      </c>
      <c r="S180" s="166">
        <v>20</v>
      </c>
      <c r="T180" s="166" t="s">
        <v>68</v>
      </c>
      <c r="U180" s="167">
        <v>800</v>
      </c>
      <c r="V180" s="166">
        <v>2</v>
      </c>
      <c r="W180" s="166">
        <v>25</v>
      </c>
      <c r="X180" s="166">
        <v>-0.2</v>
      </c>
      <c r="Y180" s="166" t="s">
        <v>68</v>
      </c>
      <c r="Z180" s="166" t="s">
        <v>68</v>
      </c>
      <c r="AA180" s="166" t="s">
        <v>68</v>
      </c>
      <c r="AB180" s="170" t="s">
        <v>44</v>
      </c>
      <c r="AC180" s="170" t="s">
        <v>44</v>
      </c>
      <c r="AD180" s="170" t="s">
        <v>44</v>
      </c>
      <c r="AE180" s="166"/>
      <c r="AF180" s="170" t="s">
        <v>327</v>
      </c>
      <c r="AG180" s="202" t="s">
        <v>496</v>
      </c>
      <c r="AH180" s="172" t="s">
        <v>508</v>
      </c>
      <c r="AI180" s="34"/>
      <c r="AN180" s="25"/>
      <c r="AO180" s="25"/>
      <c r="AR180" s="25"/>
      <c r="AS180" s="25"/>
      <c r="AT180" s="25"/>
    </row>
    <row r="181" spans="1:46" ht="11.25" hidden="1">
      <c r="A181" s="31">
        <v>1</v>
      </c>
      <c r="B181" s="165" t="s">
        <v>277</v>
      </c>
      <c r="C181" s="166">
        <v>-4</v>
      </c>
      <c r="D181" s="166">
        <v>110</v>
      </c>
      <c r="E181" s="177">
        <v>-20</v>
      </c>
      <c r="F181" s="166">
        <v>120</v>
      </c>
      <c r="G181" s="167">
        <v>20</v>
      </c>
      <c r="H181" s="168">
        <v>5.0000000000000001E-3</v>
      </c>
      <c r="I181" s="166">
        <v>20</v>
      </c>
      <c r="J181" s="167">
        <v>500</v>
      </c>
      <c r="K181" s="166">
        <v>1</v>
      </c>
      <c r="L181" s="167">
        <v>120</v>
      </c>
      <c r="M181" s="166">
        <v>48</v>
      </c>
      <c r="N181" s="167">
        <v>100</v>
      </c>
      <c r="O181" s="166">
        <v>5</v>
      </c>
      <c r="P181" s="166">
        <v>2.7</v>
      </c>
      <c r="Q181" s="166">
        <v>20</v>
      </c>
      <c r="R181" s="166">
        <v>2.25</v>
      </c>
      <c r="S181" s="166">
        <v>20</v>
      </c>
      <c r="T181" s="166" t="s">
        <v>68</v>
      </c>
      <c r="U181" s="167">
        <v>1300</v>
      </c>
      <c r="V181" s="166">
        <v>2.5</v>
      </c>
      <c r="W181" s="166">
        <v>20</v>
      </c>
      <c r="X181" s="166">
        <v>-0.15</v>
      </c>
      <c r="Y181" s="166" t="s">
        <v>68</v>
      </c>
      <c r="Z181" s="166" t="s">
        <v>68</v>
      </c>
      <c r="AA181" s="166" t="s">
        <v>68</v>
      </c>
      <c r="AB181" s="170" t="s">
        <v>43</v>
      </c>
      <c r="AC181" s="170" t="s">
        <v>44</v>
      </c>
      <c r="AD181" s="170" t="s">
        <v>44</v>
      </c>
      <c r="AE181" s="166"/>
      <c r="AF181" s="171" t="s">
        <v>327</v>
      </c>
      <c r="AG181" s="201" t="s">
        <v>496</v>
      </c>
      <c r="AH181" s="172" t="s">
        <v>155</v>
      </c>
      <c r="AI181" s="34"/>
      <c r="AN181" s="25"/>
      <c r="AO181" s="25"/>
      <c r="AR181" s="25"/>
      <c r="AS181" s="25"/>
      <c r="AT181" s="25"/>
    </row>
    <row r="182" spans="1:46" ht="11.25" hidden="1">
      <c r="A182" s="31">
        <v>1</v>
      </c>
      <c r="B182" s="165" t="s">
        <v>278</v>
      </c>
      <c r="C182" s="166">
        <v>-4</v>
      </c>
      <c r="D182" s="166">
        <v>110</v>
      </c>
      <c r="E182" s="177">
        <v>-20</v>
      </c>
      <c r="F182" s="166">
        <v>120</v>
      </c>
      <c r="G182" s="167">
        <v>50</v>
      </c>
      <c r="H182" s="168">
        <v>5.0000000000000001E-3</v>
      </c>
      <c r="I182" s="166">
        <v>20</v>
      </c>
      <c r="J182" s="167">
        <v>300</v>
      </c>
      <c r="K182" s="166">
        <v>1</v>
      </c>
      <c r="L182" s="167">
        <v>120</v>
      </c>
      <c r="M182" s="166">
        <v>48</v>
      </c>
      <c r="N182" s="167">
        <v>100</v>
      </c>
      <c r="O182" s="166">
        <v>5</v>
      </c>
      <c r="P182" s="166">
        <v>2.7</v>
      </c>
      <c r="Q182" s="166">
        <v>20</v>
      </c>
      <c r="R182" s="166">
        <v>2.25</v>
      </c>
      <c r="S182" s="166">
        <v>20</v>
      </c>
      <c r="T182" s="166" t="s">
        <v>68</v>
      </c>
      <c r="U182" s="167">
        <v>1300</v>
      </c>
      <c r="V182" s="166">
        <v>2.5</v>
      </c>
      <c r="W182" s="166">
        <v>20</v>
      </c>
      <c r="X182" s="166">
        <v>-0.15</v>
      </c>
      <c r="Y182" s="166" t="s">
        <v>68</v>
      </c>
      <c r="Z182" s="166" t="s">
        <v>68</v>
      </c>
      <c r="AA182" s="166" t="s">
        <v>68</v>
      </c>
      <c r="AB182" s="170" t="s">
        <v>43</v>
      </c>
      <c r="AC182" s="170" t="s">
        <v>44</v>
      </c>
      <c r="AD182" s="170" t="s">
        <v>44</v>
      </c>
      <c r="AE182" s="166"/>
      <c r="AF182" s="171" t="s">
        <v>327</v>
      </c>
      <c r="AG182" s="201" t="s">
        <v>496</v>
      </c>
      <c r="AH182" s="172" t="s">
        <v>155</v>
      </c>
      <c r="AI182" s="34"/>
      <c r="AN182" s="25"/>
      <c r="AO182" s="25"/>
      <c r="AR182" s="25"/>
      <c r="AS182" s="25"/>
      <c r="AT182" s="25"/>
    </row>
    <row r="183" spans="1:46" ht="11.25" hidden="1">
      <c r="A183" s="31">
        <v>1</v>
      </c>
      <c r="B183" s="165" t="s">
        <v>279</v>
      </c>
      <c r="C183" s="166">
        <v>-4</v>
      </c>
      <c r="D183" s="166">
        <v>110</v>
      </c>
      <c r="E183" s="177">
        <v>-20</v>
      </c>
      <c r="F183" s="166">
        <v>120</v>
      </c>
      <c r="G183" s="167">
        <v>100</v>
      </c>
      <c r="H183" s="168">
        <v>5.0000000000000001E-3</v>
      </c>
      <c r="I183" s="166">
        <v>20</v>
      </c>
      <c r="J183" s="167">
        <v>250</v>
      </c>
      <c r="K183" s="166">
        <v>1</v>
      </c>
      <c r="L183" s="167">
        <v>120</v>
      </c>
      <c r="M183" s="166">
        <v>48</v>
      </c>
      <c r="N183" s="167">
        <v>100</v>
      </c>
      <c r="O183" s="166">
        <v>5</v>
      </c>
      <c r="P183" s="166">
        <v>2.7</v>
      </c>
      <c r="Q183" s="166">
        <v>20</v>
      </c>
      <c r="R183" s="166">
        <v>2.25</v>
      </c>
      <c r="S183" s="166">
        <v>20</v>
      </c>
      <c r="T183" s="166" t="s">
        <v>68</v>
      </c>
      <c r="U183" s="167">
        <v>1000</v>
      </c>
      <c r="V183" s="166">
        <v>2.5</v>
      </c>
      <c r="W183" s="166">
        <v>20</v>
      </c>
      <c r="X183" s="166">
        <v>-0.15</v>
      </c>
      <c r="Y183" s="166" t="s">
        <v>68</v>
      </c>
      <c r="Z183" s="166" t="s">
        <v>68</v>
      </c>
      <c r="AA183" s="166" t="s">
        <v>68</v>
      </c>
      <c r="AB183" s="170" t="s">
        <v>43</v>
      </c>
      <c r="AC183" s="170" t="s">
        <v>44</v>
      </c>
      <c r="AD183" s="170" t="s">
        <v>44</v>
      </c>
      <c r="AE183" s="166"/>
      <c r="AF183" s="171" t="s">
        <v>327</v>
      </c>
      <c r="AG183" s="201" t="s">
        <v>496</v>
      </c>
      <c r="AH183" s="172" t="s">
        <v>155</v>
      </c>
      <c r="AI183" s="34"/>
      <c r="AN183" s="25"/>
      <c r="AO183" s="25"/>
      <c r="AR183" s="25"/>
      <c r="AS183" s="25"/>
      <c r="AT183" s="25"/>
    </row>
    <row r="184" spans="1:46" ht="11.25" hidden="1">
      <c r="A184" s="31">
        <v>1</v>
      </c>
      <c r="B184" s="165" t="s">
        <v>280</v>
      </c>
      <c r="C184" s="166">
        <v>-4</v>
      </c>
      <c r="D184" s="166">
        <v>110</v>
      </c>
      <c r="E184" s="177">
        <v>-20</v>
      </c>
      <c r="F184" s="166">
        <v>120</v>
      </c>
      <c r="G184" s="167">
        <v>200</v>
      </c>
      <c r="H184" s="168">
        <v>5.0000000000000001E-3</v>
      </c>
      <c r="I184" s="166">
        <v>20</v>
      </c>
      <c r="J184" s="167">
        <v>200</v>
      </c>
      <c r="K184" s="166">
        <v>1</v>
      </c>
      <c r="L184" s="167">
        <v>120</v>
      </c>
      <c r="M184" s="166">
        <v>48</v>
      </c>
      <c r="N184" s="167">
        <v>100</v>
      </c>
      <c r="O184" s="166">
        <v>5</v>
      </c>
      <c r="P184" s="166">
        <v>2.7</v>
      </c>
      <c r="Q184" s="166">
        <v>20</v>
      </c>
      <c r="R184" s="166">
        <v>2.25</v>
      </c>
      <c r="S184" s="166">
        <v>20</v>
      </c>
      <c r="T184" s="166" t="s">
        <v>68</v>
      </c>
      <c r="U184" s="167">
        <v>900</v>
      </c>
      <c r="V184" s="166">
        <v>2.5</v>
      </c>
      <c r="W184" s="166">
        <v>20</v>
      </c>
      <c r="X184" s="166">
        <v>-0.15</v>
      </c>
      <c r="Y184" s="166" t="s">
        <v>68</v>
      </c>
      <c r="Z184" s="166" t="s">
        <v>68</v>
      </c>
      <c r="AA184" s="166" t="s">
        <v>68</v>
      </c>
      <c r="AB184" s="170" t="s">
        <v>43</v>
      </c>
      <c r="AC184" s="170" t="s">
        <v>44</v>
      </c>
      <c r="AD184" s="170" t="s">
        <v>44</v>
      </c>
      <c r="AE184" s="166"/>
      <c r="AF184" s="171" t="s">
        <v>327</v>
      </c>
      <c r="AG184" s="201" t="s">
        <v>496</v>
      </c>
      <c r="AH184" s="172" t="s">
        <v>155</v>
      </c>
      <c r="AI184" s="34"/>
      <c r="AN184" s="25"/>
      <c r="AO184" s="25"/>
      <c r="AR184" s="25"/>
      <c r="AS184" s="25"/>
      <c r="AT184" s="25"/>
    </row>
    <row r="185" spans="1:46" ht="11.25" hidden="1">
      <c r="A185" s="31">
        <v>1</v>
      </c>
      <c r="B185" s="165" t="s">
        <v>281</v>
      </c>
      <c r="C185" s="166">
        <v>-4</v>
      </c>
      <c r="D185" s="166">
        <v>110</v>
      </c>
      <c r="E185" s="177">
        <v>-20</v>
      </c>
      <c r="F185" s="166">
        <v>120</v>
      </c>
      <c r="G185" s="167">
        <v>500</v>
      </c>
      <c r="H185" s="168">
        <v>5.0000000000000001E-3</v>
      </c>
      <c r="I185" s="166">
        <v>20</v>
      </c>
      <c r="J185" s="167">
        <v>150</v>
      </c>
      <c r="K185" s="166">
        <v>1</v>
      </c>
      <c r="L185" s="167">
        <v>120</v>
      </c>
      <c r="M185" s="166">
        <v>48</v>
      </c>
      <c r="N185" s="167">
        <v>100</v>
      </c>
      <c r="O185" s="166">
        <v>5</v>
      </c>
      <c r="P185" s="166">
        <v>2.7</v>
      </c>
      <c r="Q185" s="166">
        <v>20</v>
      </c>
      <c r="R185" s="166">
        <v>2.25</v>
      </c>
      <c r="S185" s="166">
        <v>20</v>
      </c>
      <c r="T185" s="166" t="s">
        <v>68</v>
      </c>
      <c r="U185" s="167">
        <v>900</v>
      </c>
      <c r="V185" s="166">
        <v>2.5</v>
      </c>
      <c r="W185" s="166">
        <v>20</v>
      </c>
      <c r="X185" s="166">
        <v>-0.15</v>
      </c>
      <c r="Y185" s="166" t="s">
        <v>68</v>
      </c>
      <c r="Z185" s="166" t="s">
        <v>68</v>
      </c>
      <c r="AA185" s="166" t="s">
        <v>68</v>
      </c>
      <c r="AB185" s="170" t="s">
        <v>43</v>
      </c>
      <c r="AC185" s="170" t="s">
        <v>44</v>
      </c>
      <c r="AD185" s="170" t="s">
        <v>44</v>
      </c>
      <c r="AE185" s="166"/>
      <c r="AF185" s="171" t="s">
        <v>327</v>
      </c>
      <c r="AG185" s="201" t="s">
        <v>496</v>
      </c>
      <c r="AH185" s="172" t="s">
        <v>155</v>
      </c>
      <c r="AI185" s="34"/>
      <c r="AN185" s="25"/>
      <c r="AO185" s="25"/>
      <c r="AR185" s="25"/>
      <c r="AS185" s="25"/>
      <c r="AT185" s="25"/>
    </row>
    <row r="186" spans="1:46" ht="22.5" hidden="1">
      <c r="A186" s="31">
        <v>1</v>
      </c>
      <c r="B186" s="165" t="s">
        <v>7</v>
      </c>
      <c r="C186" s="166">
        <v>-14</v>
      </c>
      <c r="D186" s="166">
        <v>80</v>
      </c>
      <c r="E186" s="177">
        <v>-14</v>
      </c>
      <c r="F186" s="170">
        <v>80</v>
      </c>
      <c r="G186" s="167">
        <v>50</v>
      </c>
      <c r="H186" s="168">
        <v>1.4E-2</v>
      </c>
      <c r="I186" s="166">
        <v>50</v>
      </c>
      <c r="J186" s="167">
        <v>70</v>
      </c>
      <c r="K186" s="166">
        <v>1.5</v>
      </c>
      <c r="L186" s="167">
        <v>120</v>
      </c>
      <c r="M186" s="166">
        <v>12</v>
      </c>
      <c r="N186" s="167">
        <v>90</v>
      </c>
      <c r="O186" s="166">
        <v>5</v>
      </c>
      <c r="P186" s="166">
        <v>2.7</v>
      </c>
      <c r="Q186" s="166">
        <v>18</v>
      </c>
      <c r="R186" s="166">
        <v>0.9</v>
      </c>
      <c r="S186" s="166">
        <v>25</v>
      </c>
      <c r="T186" s="166" t="s">
        <v>68</v>
      </c>
      <c r="U186" s="167">
        <v>10</v>
      </c>
      <c r="V186" s="166" t="s">
        <v>21</v>
      </c>
      <c r="W186" s="166">
        <v>40</v>
      </c>
      <c r="X186" s="166">
        <v>-0.4</v>
      </c>
      <c r="Y186" s="166" t="s">
        <v>68</v>
      </c>
      <c r="Z186" s="166" t="s">
        <v>68</v>
      </c>
      <c r="AA186" s="166" t="s">
        <v>68</v>
      </c>
      <c r="AB186" s="170" t="s">
        <v>43</v>
      </c>
      <c r="AC186" s="170" t="s">
        <v>43</v>
      </c>
      <c r="AD186" s="170" t="s">
        <v>44</v>
      </c>
      <c r="AE186" s="166"/>
      <c r="AF186" s="171" t="s">
        <v>327</v>
      </c>
      <c r="AG186" s="201" t="s">
        <v>496</v>
      </c>
      <c r="AH186" s="173" t="s">
        <v>332</v>
      </c>
      <c r="AI186" s="34"/>
      <c r="AN186" s="25"/>
      <c r="AO186" s="25"/>
      <c r="AR186" s="25"/>
      <c r="AS186" s="25"/>
      <c r="AT186" s="25"/>
    </row>
    <row r="187" spans="1:46" ht="22.5" hidden="1">
      <c r="A187" s="31">
        <v>1</v>
      </c>
      <c r="B187" s="165" t="s">
        <v>61</v>
      </c>
      <c r="C187" s="166">
        <v>-14</v>
      </c>
      <c r="D187" s="166">
        <v>80</v>
      </c>
      <c r="E187" s="177">
        <v>-14</v>
      </c>
      <c r="F187" s="170">
        <v>80</v>
      </c>
      <c r="G187" s="167">
        <v>200</v>
      </c>
      <c r="H187" s="168">
        <v>1.4E-2</v>
      </c>
      <c r="I187" s="166">
        <v>50</v>
      </c>
      <c r="J187" s="167">
        <v>70</v>
      </c>
      <c r="K187" s="166">
        <v>1.5</v>
      </c>
      <c r="L187" s="167">
        <v>120</v>
      </c>
      <c r="M187" s="166">
        <v>12</v>
      </c>
      <c r="N187" s="167">
        <v>90</v>
      </c>
      <c r="O187" s="166">
        <v>5</v>
      </c>
      <c r="P187" s="166">
        <v>2.7</v>
      </c>
      <c r="Q187" s="166">
        <v>18</v>
      </c>
      <c r="R187" s="166">
        <v>0.9</v>
      </c>
      <c r="S187" s="166">
        <v>25</v>
      </c>
      <c r="T187" s="166" t="s">
        <v>68</v>
      </c>
      <c r="U187" s="167">
        <v>10</v>
      </c>
      <c r="V187" s="166" t="s">
        <v>21</v>
      </c>
      <c r="W187" s="166">
        <v>40</v>
      </c>
      <c r="X187" s="166">
        <v>-0.4</v>
      </c>
      <c r="Y187" s="166" t="s">
        <v>68</v>
      </c>
      <c r="Z187" s="166" t="s">
        <v>68</v>
      </c>
      <c r="AA187" s="166" t="s">
        <v>68</v>
      </c>
      <c r="AB187" s="170" t="s">
        <v>43</v>
      </c>
      <c r="AC187" s="170" t="s">
        <v>43</v>
      </c>
      <c r="AD187" s="170" t="s">
        <v>44</v>
      </c>
      <c r="AE187" s="166"/>
      <c r="AF187" s="171" t="s">
        <v>327</v>
      </c>
      <c r="AG187" s="201" t="s">
        <v>496</v>
      </c>
      <c r="AH187" s="173" t="s">
        <v>332</v>
      </c>
      <c r="AI187" s="34"/>
      <c r="AN187" s="25"/>
      <c r="AO187" s="25"/>
      <c r="AR187" s="25"/>
      <c r="AS187" s="25"/>
      <c r="AT187" s="25"/>
    </row>
    <row r="188" spans="1:46" ht="22.5" hidden="1">
      <c r="A188" s="31">
        <v>1</v>
      </c>
      <c r="B188" s="165" t="s">
        <v>62</v>
      </c>
      <c r="C188" s="166">
        <v>-14</v>
      </c>
      <c r="D188" s="166">
        <v>80</v>
      </c>
      <c r="E188" s="177">
        <v>-14</v>
      </c>
      <c r="F188" s="170">
        <v>80</v>
      </c>
      <c r="G188" s="167">
        <v>500</v>
      </c>
      <c r="H188" s="168">
        <v>1.6E-2</v>
      </c>
      <c r="I188" s="166">
        <v>50</v>
      </c>
      <c r="J188" s="167">
        <v>70</v>
      </c>
      <c r="K188" s="166">
        <v>1.5</v>
      </c>
      <c r="L188" s="167">
        <v>120</v>
      </c>
      <c r="M188" s="166">
        <v>12</v>
      </c>
      <c r="N188" s="167">
        <v>90</v>
      </c>
      <c r="O188" s="166">
        <v>5</v>
      </c>
      <c r="P188" s="166">
        <v>2.7</v>
      </c>
      <c r="Q188" s="166">
        <v>18</v>
      </c>
      <c r="R188" s="166">
        <v>0.9</v>
      </c>
      <c r="S188" s="166">
        <v>25</v>
      </c>
      <c r="T188" s="166" t="s">
        <v>68</v>
      </c>
      <c r="U188" s="167">
        <v>4</v>
      </c>
      <c r="V188" s="166" t="s">
        <v>21</v>
      </c>
      <c r="W188" s="166">
        <v>40</v>
      </c>
      <c r="X188" s="166">
        <v>-0.4</v>
      </c>
      <c r="Y188" s="166" t="s">
        <v>68</v>
      </c>
      <c r="Z188" s="166" t="s">
        <v>68</v>
      </c>
      <c r="AA188" s="166" t="s">
        <v>68</v>
      </c>
      <c r="AB188" s="170" t="s">
        <v>43</v>
      </c>
      <c r="AC188" s="170" t="s">
        <v>43</v>
      </c>
      <c r="AD188" s="170" t="s">
        <v>44</v>
      </c>
      <c r="AE188" s="166"/>
      <c r="AF188" s="171" t="s">
        <v>327</v>
      </c>
      <c r="AG188" s="201" t="s">
        <v>496</v>
      </c>
      <c r="AH188" s="173" t="s">
        <v>332</v>
      </c>
      <c r="AI188" s="34"/>
      <c r="AN188" s="25"/>
      <c r="AO188" s="25"/>
      <c r="AR188" s="25"/>
      <c r="AS188" s="25"/>
      <c r="AT188" s="25"/>
    </row>
    <row r="189" spans="1:46" ht="22.5" hidden="1">
      <c r="A189" s="31">
        <v>1</v>
      </c>
      <c r="B189" s="165" t="s">
        <v>63</v>
      </c>
      <c r="C189" s="166">
        <v>-14</v>
      </c>
      <c r="D189" s="166">
        <v>80</v>
      </c>
      <c r="E189" s="177">
        <v>-14</v>
      </c>
      <c r="F189" s="170">
        <v>80</v>
      </c>
      <c r="G189" s="167">
        <v>1000</v>
      </c>
      <c r="H189" s="168">
        <v>1.6E-2</v>
      </c>
      <c r="I189" s="166">
        <v>50</v>
      </c>
      <c r="J189" s="167">
        <v>70</v>
      </c>
      <c r="K189" s="166">
        <v>1.5</v>
      </c>
      <c r="L189" s="167">
        <v>120</v>
      </c>
      <c r="M189" s="166">
        <v>12</v>
      </c>
      <c r="N189" s="167">
        <v>90</v>
      </c>
      <c r="O189" s="166">
        <v>5</v>
      </c>
      <c r="P189" s="166">
        <v>2.7</v>
      </c>
      <c r="Q189" s="166">
        <v>18</v>
      </c>
      <c r="R189" s="166">
        <v>0.9</v>
      </c>
      <c r="S189" s="166">
        <v>25</v>
      </c>
      <c r="T189" s="166" t="s">
        <v>68</v>
      </c>
      <c r="U189" s="167">
        <v>2</v>
      </c>
      <c r="V189" s="166" t="s">
        <v>21</v>
      </c>
      <c r="W189" s="166">
        <v>40</v>
      </c>
      <c r="X189" s="166">
        <v>-0.4</v>
      </c>
      <c r="Y189" s="166" t="s">
        <v>68</v>
      </c>
      <c r="Z189" s="166" t="s">
        <v>68</v>
      </c>
      <c r="AA189" s="166" t="s">
        <v>68</v>
      </c>
      <c r="AB189" s="170" t="s">
        <v>43</v>
      </c>
      <c r="AC189" s="170" t="s">
        <v>43</v>
      </c>
      <c r="AD189" s="170" t="s">
        <v>44</v>
      </c>
      <c r="AE189" s="166"/>
      <c r="AF189" s="171" t="s">
        <v>327</v>
      </c>
      <c r="AG189" s="201" t="s">
        <v>496</v>
      </c>
      <c r="AH189" s="173" t="s">
        <v>332</v>
      </c>
      <c r="AI189" s="34"/>
      <c r="AN189" s="25"/>
      <c r="AO189" s="25"/>
      <c r="AR189" s="25"/>
      <c r="AS189" s="25"/>
      <c r="AT189" s="25"/>
    </row>
    <row r="190" spans="1:46" ht="22.5" hidden="1">
      <c r="A190" s="31">
        <v>1</v>
      </c>
      <c r="B190" s="165" t="s">
        <v>64</v>
      </c>
      <c r="C190" s="166">
        <v>-14</v>
      </c>
      <c r="D190" s="166">
        <v>80</v>
      </c>
      <c r="E190" s="177">
        <v>-14</v>
      </c>
      <c r="F190" s="170">
        <v>80</v>
      </c>
      <c r="G190" s="167">
        <v>100</v>
      </c>
      <c r="H190" s="168">
        <v>1.4E-2</v>
      </c>
      <c r="I190" s="166">
        <v>50</v>
      </c>
      <c r="J190" s="167">
        <v>70</v>
      </c>
      <c r="K190" s="166">
        <v>1.5</v>
      </c>
      <c r="L190" s="167">
        <v>120</v>
      </c>
      <c r="M190" s="166">
        <v>12</v>
      </c>
      <c r="N190" s="167">
        <v>90</v>
      </c>
      <c r="O190" s="166">
        <v>5</v>
      </c>
      <c r="P190" s="166">
        <v>2.7</v>
      </c>
      <c r="Q190" s="166">
        <v>18</v>
      </c>
      <c r="R190" s="166">
        <v>0.9</v>
      </c>
      <c r="S190" s="166">
        <v>25</v>
      </c>
      <c r="T190" s="166" t="s">
        <v>68</v>
      </c>
      <c r="U190" s="167">
        <v>10</v>
      </c>
      <c r="V190" s="166" t="s">
        <v>21</v>
      </c>
      <c r="W190" s="166">
        <v>40</v>
      </c>
      <c r="X190" s="166">
        <v>-0.4</v>
      </c>
      <c r="Y190" s="166" t="s">
        <v>68</v>
      </c>
      <c r="Z190" s="166" t="s">
        <v>68</v>
      </c>
      <c r="AA190" s="166" t="s">
        <v>68</v>
      </c>
      <c r="AB190" s="170" t="s">
        <v>43</v>
      </c>
      <c r="AC190" s="170" t="s">
        <v>43</v>
      </c>
      <c r="AD190" s="170" t="s">
        <v>44</v>
      </c>
      <c r="AE190" s="166"/>
      <c r="AF190" s="171" t="s">
        <v>327</v>
      </c>
      <c r="AG190" s="201" t="s">
        <v>496</v>
      </c>
      <c r="AH190" s="173" t="s">
        <v>332</v>
      </c>
      <c r="AI190" s="34"/>
      <c r="AN190" s="25"/>
      <c r="AO190" s="25"/>
      <c r="AR190" s="25"/>
      <c r="AS190" s="25"/>
      <c r="AT190" s="25"/>
    </row>
    <row r="191" spans="1:46" ht="11.25" hidden="1">
      <c r="A191" s="31">
        <v>1</v>
      </c>
      <c r="B191" s="165" t="s">
        <v>252</v>
      </c>
      <c r="C191" s="166">
        <v>2.7</v>
      </c>
      <c r="D191" s="166">
        <v>120</v>
      </c>
      <c r="E191" s="166">
        <v>-20</v>
      </c>
      <c r="F191" s="166">
        <v>122</v>
      </c>
      <c r="G191" s="167">
        <v>20</v>
      </c>
      <c r="H191" s="168">
        <v>1E-3</v>
      </c>
      <c r="I191" s="166">
        <v>5</v>
      </c>
      <c r="J191" s="167">
        <v>25</v>
      </c>
      <c r="K191" s="157">
        <v>0.2</v>
      </c>
      <c r="L191" s="167">
        <v>140</v>
      </c>
      <c r="M191" s="166">
        <v>48</v>
      </c>
      <c r="N191" s="167">
        <v>126</v>
      </c>
      <c r="O191" s="166">
        <v>5</v>
      </c>
      <c r="P191" s="166">
        <v>2.7</v>
      </c>
      <c r="Q191" s="166">
        <v>20</v>
      </c>
      <c r="R191" s="166">
        <v>0.6</v>
      </c>
      <c r="S191" s="166">
        <v>20</v>
      </c>
      <c r="T191" s="166" t="s">
        <v>68</v>
      </c>
      <c r="U191" s="167">
        <v>1100</v>
      </c>
      <c r="V191" s="166">
        <v>2</v>
      </c>
      <c r="W191" s="166">
        <v>25</v>
      </c>
      <c r="X191" s="166">
        <v>-0.2</v>
      </c>
      <c r="Y191" s="166" t="s">
        <v>68</v>
      </c>
      <c r="Z191" s="166" t="s">
        <v>68</v>
      </c>
      <c r="AA191" s="166" t="s">
        <v>68</v>
      </c>
      <c r="AB191" s="170" t="s">
        <v>44</v>
      </c>
      <c r="AC191" s="170" t="s">
        <v>44</v>
      </c>
      <c r="AD191" s="170" t="s">
        <v>44</v>
      </c>
      <c r="AE191" s="166"/>
      <c r="AF191" s="170" t="s">
        <v>327</v>
      </c>
      <c r="AG191" s="202" t="s">
        <v>496</v>
      </c>
      <c r="AH191" s="172" t="s">
        <v>508</v>
      </c>
      <c r="AI191" s="34"/>
      <c r="AN191" s="25"/>
      <c r="AO191" s="25"/>
      <c r="AR191" s="25"/>
      <c r="AS191" s="25"/>
      <c r="AT191" s="25"/>
    </row>
    <row r="192" spans="1:46" ht="11.25" hidden="1">
      <c r="A192" s="31">
        <v>1</v>
      </c>
      <c r="B192" s="165" t="s">
        <v>253</v>
      </c>
      <c r="C192" s="166">
        <v>2.7</v>
      </c>
      <c r="D192" s="166">
        <v>120</v>
      </c>
      <c r="E192" s="166">
        <v>-20</v>
      </c>
      <c r="F192" s="166">
        <v>122</v>
      </c>
      <c r="G192" s="167">
        <v>50</v>
      </c>
      <c r="H192" s="168">
        <v>1E-3</v>
      </c>
      <c r="I192" s="166">
        <v>5</v>
      </c>
      <c r="J192" s="167">
        <v>20</v>
      </c>
      <c r="K192" s="157">
        <v>0.2</v>
      </c>
      <c r="L192" s="167">
        <v>140</v>
      </c>
      <c r="M192" s="166">
        <v>48</v>
      </c>
      <c r="N192" s="167">
        <v>126</v>
      </c>
      <c r="O192" s="166">
        <v>5</v>
      </c>
      <c r="P192" s="166">
        <v>2.7</v>
      </c>
      <c r="Q192" s="166">
        <v>20</v>
      </c>
      <c r="R192" s="166">
        <v>0.6</v>
      </c>
      <c r="S192" s="166">
        <v>20</v>
      </c>
      <c r="T192" s="166" t="s">
        <v>68</v>
      </c>
      <c r="U192" s="167">
        <v>1100</v>
      </c>
      <c r="V192" s="166">
        <v>2</v>
      </c>
      <c r="W192" s="166">
        <v>25</v>
      </c>
      <c r="X192" s="166">
        <v>-0.2</v>
      </c>
      <c r="Y192" s="166" t="s">
        <v>68</v>
      </c>
      <c r="Z192" s="166" t="s">
        <v>68</v>
      </c>
      <c r="AA192" s="166" t="s">
        <v>68</v>
      </c>
      <c r="AB192" s="170" t="s">
        <v>44</v>
      </c>
      <c r="AC192" s="170" t="s">
        <v>44</v>
      </c>
      <c r="AD192" s="170" t="s">
        <v>44</v>
      </c>
      <c r="AE192" s="166"/>
      <c r="AF192" s="166" t="s">
        <v>327</v>
      </c>
      <c r="AG192" s="201" t="s">
        <v>496</v>
      </c>
      <c r="AH192" s="172" t="s">
        <v>508</v>
      </c>
      <c r="AI192" s="34"/>
      <c r="AN192" s="25"/>
      <c r="AO192" s="25"/>
      <c r="AR192" s="25"/>
      <c r="AS192" s="25"/>
      <c r="AT192" s="25"/>
    </row>
    <row r="193" spans="1:46" ht="11.25" hidden="1">
      <c r="A193" s="31">
        <v>1</v>
      </c>
      <c r="B193" s="165" t="s">
        <v>254</v>
      </c>
      <c r="C193" s="166">
        <v>2.7</v>
      </c>
      <c r="D193" s="166">
        <v>120</v>
      </c>
      <c r="E193" s="166">
        <v>-20</v>
      </c>
      <c r="F193" s="166">
        <v>122</v>
      </c>
      <c r="G193" s="167">
        <v>100</v>
      </c>
      <c r="H193" s="168">
        <v>1E-3</v>
      </c>
      <c r="I193" s="166">
        <v>5</v>
      </c>
      <c r="J193" s="167">
        <v>15</v>
      </c>
      <c r="K193" s="157">
        <v>0.2</v>
      </c>
      <c r="L193" s="167">
        <v>140</v>
      </c>
      <c r="M193" s="166">
        <v>48</v>
      </c>
      <c r="N193" s="167">
        <v>126</v>
      </c>
      <c r="O193" s="166">
        <v>5</v>
      </c>
      <c r="P193" s="166">
        <v>2.7</v>
      </c>
      <c r="Q193" s="166">
        <v>20</v>
      </c>
      <c r="R193" s="166">
        <v>0.6</v>
      </c>
      <c r="S193" s="166">
        <v>20</v>
      </c>
      <c r="T193" s="166" t="s">
        <v>68</v>
      </c>
      <c r="U193" s="167">
        <v>900</v>
      </c>
      <c r="V193" s="166">
        <v>2</v>
      </c>
      <c r="W193" s="166">
        <v>25</v>
      </c>
      <c r="X193" s="166">
        <v>-0.2</v>
      </c>
      <c r="Y193" s="166" t="s">
        <v>68</v>
      </c>
      <c r="Z193" s="166" t="s">
        <v>68</v>
      </c>
      <c r="AA193" s="166" t="s">
        <v>68</v>
      </c>
      <c r="AB193" s="170" t="s">
        <v>44</v>
      </c>
      <c r="AC193" s="170" t="s">
        <v>44</v>
      </c>
      <c r="AD193" s="170" t="s">
        <v>44</v>
      </c>
      <c r="AE193" s="166"/>
      <c r="AF193" s="166" t="s">
        <v>327</v>
      </c>
      <c r="AG193" s="201" t="s">
        <v>496</v>
      </c>
      <c r="AH193" s="172" t="s">
        <v>508</v>
      </c>
      <c r="AI193" s="34"/>
      <c r="AN193" s="25"/>
      <c r="AO193" s="25"/>
      <c r="AR193" s="25"/>
      <c r="AS193" s="25"/>
      <c r="AT193" s="25"/>
    </row>
    <row r="194" spans="1:46" ht="11.25" hidden="1">
      <c r="A194" s="31">
        <v>1</v>
      </c>
      <c r="B194" s="165" t="s">
        <v>255</v>
      </c>
      <c r="C194" s="166">
        <v>2.7</v>
      </c>
      <c r="D194" s="166">
        <v>120</v>
      </c>
      <c r="E194" s="166">
        <v>-20</v>
      </c>
      <c r="F194" s="166">
        <v>122</v>
      </c>
      <c r="G194" s="167">
        <v>200</v>
      </c>
      <c r="H194" s="168">
        <v>1.5E-3</v>
      </c>
      <c r="I194" s="166">
        <v>5</v>
      </c>
      <c r="J194" s="167">
        <v>12</v>
      </c>
      <c r="K194" s="157">
        <v>0.2</v>
      </c>
      <c r="L194" s="167">
        <v>140</v>
      </c>
      <c r="M194" s="166">
        <v>48</v>
      </c>
      <c r="N194" s="167">
        <v>126</v>
      </c>
      <c r="O194" s="166">
        <v>5</v>
      </c>
      <c r="P194" s="166">
        <v>2.7</v>
      </c>
      <c r="Q194" s="166">
        <v>20</v>
      </c>
      <c r="R194" s="166">
        <v>0.6</v>
      </c>
      <c r="S194" s="166">
        <v>20</v>
      </c>
      <c r="T194" s="166" t="s">
        <v>68</v>
      </c>
      <c r="U194" s="167">
        <v>850</v>
      </c>
      <c r="V194" s="166">
        <v>2</v>
      </c>
      <c r="W194" s="166">
        <v>25</v>
      </c>
      <c r="X194" s="166">
        <v>-0.2</v>
      </c>
      <c r="Y194" s="166" t="s">
        <v>68</v>
      </c>
      <c r="Z194" s="166" t="s">
        <v>68</v>
      </c>
      <c r="AA194" s="166" t="s">
        <v>68</v>
      </c>
      <c r="AB194" s="170" t="s">
        <v>44</v>
      </c>
      <c r="AC194" s="170" t="s">
        <v>44</v>
      </c>
      <c r="AD194" s="170" t="s">
        <v>44</v>
      </c>
      <c r="AE194" s="166"/>
      <c r="AF194" s="166" t="s">
        <v>327</v>
      </c>
      <c r="AG194" s="201" t="s">
        <v>496</v>
      </c>
      <c r="AH194" s="172" t="s">
        <v>508</v>
      </c>
      <c r="AI194" s="34"/>
      <c r="AN194" s="25"/>
      <c r="AO194" s="25"/>
      <c r="AR194" s="25"/>
      <c r="AS194" s="25"/>
      <c r="AT194" s="25"/>
    </row>
    <row r="195" spans="1:46" ht="11.25" hidden="1">
      <c r="A195" s="31">
        <v>1</v>
      </c>
      <c r="B195" s="165" t="s">
        <v>256</v>
      </c>
      <c r="C195" s="166">
        <v>2.7</v>
      </c>
      <c r="D195" s="166">
        <v>120</v>
      </c>
      <c r="E195" s="166">
        <v>-20</v>
      </c>
      <c r="F195" s="166">
        <v>122</v>
      </c>
      <c r="G195" s="167">
        <v>500</v>
      </c>
      <c r="H195" s="168">
        <v>1.5E-3</v>
      </c>
      <c r="I195" s="166">
        <v>5</v>
      </c>
      <c r="J195" s="167">
        <v>12</v>
      </c>
      <c r="K195" s="157">
        <v>0.2</v>
      </c>
      <c r="L195" s="167">
        <v>140</v>
      </c>
      <c r="M195" s="166">
        <v>48</v>
      </c>
      <c r="N195" s="167">
        <v>126</v>
      </c>
      <c r="O195" s="166">
        <v>5</v>
      </c>
      <c r="P195" s="166">
        <v>2.7</v>
      </c>
      <c r="Q195" s="166">
        <v>20</v>
      </c>
      <c r="R195" s="166">
        <v>0.6</v>
      </c>
      <c r="S195" s="166">
        <v>20</v>
      </c>
      <c r="T195" s="166" t="s">
        <v>68</v>
      </c>
      <c r="U195" s="167">
        <v>800</v>
      </c>
      <c r="V195" s="166">
        <v>2</v>
      </c>
      <c r="W195" s="166">
        <v>25</v>
      </c>
      <c r="X195" s="166">
        <v>-0.2</v>
      </c>
      <c r="Y195" s="166" t="s">
        <v>68</v>
      </c>
      <c r="Z195" s="166" t="s">
        <v>68</v>
      </c>
      <c r="AA195" s="166" t="s">
        <v>68</v>
      </c>
      <c r="AB195" s="170" t="s">
        <v>44</v>
      </c>
      <c r="AC195" s="170" t="s">
        <v>44</v>
      </c>
      <c r="AD195" s="170" t="s">
        <v>44</v>
      </c>
      <c r="AE195" s="166"/>
      <c r="AF195" s="170" t="s">
        <v>327</v>
      </c>
      <c r="AG195" s="202" t="s">
        <v>496</v>
      </c>
      <c r="AH195" s="172" t="s">
        <v>508</v>
      </c>
      <c r="AI195" s="34"/>
      <c r="AN195" s="25"/>
      <c r="AO195" s="25"/>
      <c r="AR195" s="25"/>
      <c r="AS195" s="25"/>
      <c r="AT195" s="25"/>
    </row>
    <row r="196" spans="1:46" ht="11.25" hidden="1">
      <c r="A196" s="76">
        <v>1</v>
      </c>
      <c r="B196" s="165" t="s">
        <v>257</v>
      </c>
      <c r="C196" s="166">
        <v>-4</v>
      </c>
      <c r="D196" s="166">
        <v>110</v>
      </c>
      <c r="E196" s="177">
        <v>-20</v>
      </c>
      <c r="F196" s="170">
        <v>120</v>
      </c>
      <c r="G196" s="167">
        <v>20</v>
      </c>
      <c r="H196" s="168">
        <v>1.5E-3</v>
      </c>
      <c r="I196" s="166">
        <v>10</v>
      </c>
      <c r="J196" s="167">
        <v>150</v>
      </c>
      <c r="K196" s="166">
        <v>0.5</v>
      </c>
      <c r="L196" s="167">
        <v>140</v>
      </c>
      <c r="M196" s="166">
        <v>48</v>
      </c>
      <c r="N196" s="167">
        <v>102</v>
      </c>
      <c r="O196" s="166">
        <v>5</v>
      </c>
      <c r="P196" s="166">
        <v>2.7</v>
      </c>
      <c r="Q196" s="166">
        <v>20</v>
      </c>
      <c r="R196" s="166">
        <v>2.25</v>
      </c>
      <c r="S196" s="166">
        <v>20</v>
      </c>
      <c r="T196" s="166" t="s">
        <v>68</v>
      </c>
      <c r="U196" s="167">
        <v>1300</v>
      </c>
      <c r="V196" s="166">
        <v>2.5</v>
      </c>
      <c r="W196" s="166">
        <v>20</v>
      </c>
      <c r="X196" s="166">
        <v>-0.15</v>
      </c>
      <c r="Y196" s="166" t="s">
        <v>68</v>
      </c>
      <c r="Z196" s="166" t="s">
        <v>68</v>
      </c>
      <c r="AA196" s="166" t="s">
        <v>68</v>
      </c>
      <c r="AB196" s="170" t="s">
        <v>43</v>
      </c>
      <c r="AC196" s="170" t="s">
        <v>44</v>
      </c>
      <c r="AD196" s="170" t="s">
        <v>44</v>
      </c>
      <c r="AE196" s="166"/>
      <c r="AF196" s="171" t="s">
        <v>327</v>
      </c>
      <c r="AG196" s="201" t="s">
        <v>496</v>
      </c>
      <c r="AH196" s="172" t="s">
        <v>155</v>
      </c>
      <c r="AI196" s="34"/>
      <c r="AN196" s="25"/>
      <c r="AO196" s="25"/>
      <c r="AR196" s="25"/>
      <c r="AS196" s="25"/>
      <c r="AT196" s="25"/>
    </row>
    <row r="197" spans="1:46" ht="11.25" hidden="1">
      <c r="A197" s="76">
        <v>1</v>
      </c>
      <c r="B197" s="165" t="s">
        <v>258</v>
      </c>
      <c r="C197" s="166">
        <v>-4</v>
      </c>
      <c r="D197" s="166">
        <v>110</v>
      </c>
      <c r="E197" s="177">
        <v>-20</v>
      </c>
      <c r="F197" s="170">
        <v>120</v>
      </c>
      <c r="G197" s="167">
        <v>50</v>
      </c>
      <c r="H197" s="168">
        <v>1.5E-3</v>
      </c>
      <c r="I197" s="166">
        <v>10</v>
      </c>
      <c r="J197" s="167">
        <v>80</v>
      </c>
      <c r="K197" s="166">
        <v>0.5</v>
      </c>
      <c r="L197" s="167">
        <v>140</v>
      </c>
      <c r="M197" s="166">
        <v>48</v>
      </c>
      <c r="N197" s="167">
        <v>110</v>
      </c>
      <c r="O197" s="166">
        <v>5</v>
      </c>
      <c r="P197" s="166">
        <v>2.7</v>
      </c>
      <c r="Q197" s="166">
        <v>20</v>
      </c>
      <c r="R197" s="166">
        <v>2.25</v>
      </c>
      <c r="S197" s="166">
        <v>20</v>
      </c>
      <c r="T197" s="166" t="s">
        <v>68</v>
      </c>
      <c r="U197" s="167">
        <v>1300</v>
      </c>
      <c r="V197" s="166">
        <v>2.5</v>
      </c>
      <c r="W197" s="166">
        <v>20</v>
      </c>
      <c r="X197" s="166">
        <v>-0.15</v>
      </c>
      <c r="Y197" s="166" t="s">
        <v>68</v>
      </c>
      <c r="Z197" s="166" t="s">
        <v>68</v>
      </c>
      <c r="AA197" s="166" t="s">
        <v>68</v>
      </c>
      <c r="AB197" s="170" t="s">
        <v>43</v>
      </c>
      <c r="AC197" s="170" t="s">
        <v>44</v>
      </c>
      <c r="AD197" s="170" t="s">
        <v>44</v>
      </c>
      <c r="AE197" s="166"/>
      <c r="AF197" s="171" t="s">
        <v>327</v>
      </c>
      <c r="AG197" s="201" t="s">
        <v>496</v>
      </c>
      <c r="AH197" s="172" t="s">
        <v>155</v>
      </c>
      <c r="AI197" s="34"/>
      <c r="AN197" s="25"/>
      <c r="AO197" s="25"/>
      <c r="AR197" s="25"/>
      <c r="AS197" s="25"/>
      <c r="AT197" s="25"/>
    </row>
    <row r="198" spans="1:46" ht="11.25" hidden="1">
      <c r="A198" s="76">
        <v>1</v>
      </c>
      <c r="B198" s="165" t="s">
        <v>259</v>
      </c>
      <c r="C198" s="166">
        <v>-4</v>
      </c>
      <c r="D198" s="166">
        <v>110</v>
      </c>
      <c r="E198" s="177">
        <v>-20</v>
      </c>
      <c r="F198" s="170">
        <v>120</v>
      </c>
      <c r="G198" s="167">
        <v>100</v>
      </c>
      <c r="H198" s="168">
        <v>1.5E-3</v>
      </c>
      <c r="I198" s="166">
        <v>10</v>
      </c>
      <c r="J198" s="167">
        <v>50</v>
      </c>
      <c r="K198" s="166">
        <v>0.5</v>
      </c>
      <c r="L198" s="167">
        <v>140</v>
      </c>
      <c r="M198" s="166">
        <v>48</v>
      </c>
      <c r="N198" s="167">
        <v>110</v>
      </c>
      <c r="O198" s="166">
        <v>5</v>
      </c>
      <c r="P198" s="166">
        <v>2.7</v>
      </c>
      <c r="Q198" s="166">
        <v>20</v>
      </c>
      <c r="R198" s="166">
        <v>2.25</v>
      </c>
      <c r="S198" s="166">
        <v>20</v>
      </c>
      <c r="T198" s="166" t="s">
        <v>68</v>
      </c>
      <c r="U198" s="167">
        <v>1000</v>
      </c>
      <c r="V198" s="166">
        <v>2.5</v>
      </c>
      <c r="W198" s="166">
        <v>20</v>
      </c>
      <c r="X198" s="166">
        <v>-0.15</v>
      </c>
      <c r="Y198" s="166" t="s">
        <v>68</v>
      </c>
      <c r="Z198" s="166" t="s">
        <v>68</v>
      </c>
      <c r="AA198" s="166" t="s">
        <v>68</v>
      </c>
      <c r="AB198" s="170" t="s">
        <v>43</v>
      </c>
      <c r="AC198" s="170" t="s">
        <v>44</v>
      </c>
      <c r="AD198" s="170" t="s">
        <v>44</v>
      </c>
      <c r="AE198" s="166"/>
      <c r="AF198" s="171" t="s">
        <v>327</v>
      </c>
      <c r="AG198" s="201" t="s">
        <v>496</v>
      </c>
      <c r="AH198" s="172" t="s">
        <v>155</v>
      </c>
      <c r="AI198" s="34"/>
      <c r="AN198" s="25"/>
      <c r="AO198" s="25"/>
      <c r="AR198" s="25"/>
      <c r="AS198" s="25"/>
      <c r="AT198" s="25"/>
    </row>
    <row r="199" spans="1:46" ht="11.25" hidden="1">
      <c r="A199" s="76">
        <v>1</v>
      </c>
      <c r="B199" s="165" t="s">
        <v>260</v>
      </c>
      <c r="C199" s="166">
        <v>-4</v>
      </c>
      <c r="D199" s="166">
        <v>110</v>
      </c>
      <c r="E199" s="177">
        <v>-20</v>
      </c>
      <c r="F199" s="170">
        <v>120</v>
      </c>
      <c r="G199" s="167">
        <v>200</v>
      </c>
      <c r="H199" s="168">
        <v>1.5E-3</v>
      </c>
      <c r="I199" s="166">
        <v>10</v>
      </c>
      <c r="J199" s="167">
        <v>30</v>
      </c>
      <c r="K199" s="166">
        <v>0.25</v>
      </c>
      <c r="L199" s="167">
        <v>140</v>
      </c>
      <c r="M199" s="166">
        <v>48</v>
      </c>
      <c r="N199" s="167">
        <v>120</v>
      </c>
      <c r="O199" s="166">
        <v>5</v>
      </c>
      <c r="P199" s="166">
        <v>2.7</v>
      </c>
      <c r="Q199" s="166">
        <v>20</v>
      </c>
      <c r="R199" s="166">
        <v>2.25</v>
      </c>
      <c r="S199" s="166">
        <v>20</v>
      </c>
      <c r="T199" s="166" t="s">
        <v>68</v>
      </c>
      <c r="U199" s="167">
        <v>900</v>
      </c>
      <c r="V199" s="166">
        <v>2.5</v>
      </c>
      <c r="W199" s="166">
        <v>20</v>
      </c>
      <c r="X199" s="166">
        <v>-0.15</v>
      </c>
      <c r="Y199" s="166" t="s">
        <v>68</v>
      </c>
      <c r="Z199" s="166" t="s">
        <v>68</v>
      </c>
      <c r="AA199" s="166" t="s">
        <v>68</v>
      </c>
      <c r="AB199" s="170" t="s">
        <v>43</v>
      </c>
      <c r="AC199" s="170" t="s">
        <v>44</v>
      </c>
      <c r="AD199" s="170" t="s">
        <v>44</v>
      </c>
      <c r="AE199" s="166"/>
      <c r="AF199" s="171" t="s">
        <v>327</v>
      </c>
      <c r="AG199" s="201" t="s">
        <v>496</v>
      </c>
      <c r="AH199" s="172" t="s">
        <v>155</v>
      </c>
      <c r="AI199" s="34"/>
      <c r="AN199" s="25"/>
      <c r="AO199" s="25"/>
      <c r="AR199" s="25"/>
      <c r="AS199" s="25"/>
      <c r="AT199" s="25"/>
    </row>
    <row r="200" spans="1:46" ht="11.25" hidden="1">
      <c r="A200" s="76">
        <v>1</v>
      </c>
      <c r="B200" s="165" t="s">
        <v>261</v>
      </c>
      <c r="C200" s="166">
        <v>-4</v>
      </c>
      <c r="D200" s="166">
        <v>110</v>
      </c>
      <c r="E200" s="177">
        <v>-20</v>
      </c>
      <c r="F200" s="170">
        <v>120</v>
      </c>
      <c r="G200" s="167">
        <v>500</v>
      </c>
      <c r="H200" s="168">
        <v>1.5E-3</v>
      </c>
      <c r="I200" s="166">
        <v>10</v>
      </c>
      <c r="J200" s="167">
        <v>20</v>
      </c>
      <c r="K200" s="166">
        <v>0.25</v>
      </c>
      <c r="L200" s="167">
        <v>140</v>
      </c>
      <c r="M200" s="166">
        <v>48</v>
      </c>
      <c r="N200" s="167">
        <v>120</v>
      </c>
      <c r="O200" s="166">
        <v>5</v>
      </c>
      <c r="P200" s="166">
        <v>2.7</v>
      </c>
      <c r="Q200" s="166">
        <v>20</v>
      </c>
      <c r="R200" s="166">
        <v>2.25</v>
      </c>
      <c r="S200" s="166">
        <v>20</v>
      </c>
      <c r="T200" s="166" t="s">
        <v>68</v>
      </c>
      <c r="U200" s="167">
        <v>900</v>
      </c>
      <c r="V200" s="166">
        <v>2.5</v>
      </c>
      <c r="W200" s="166">
        <v>20</v>
      </c>
      <c r="X200" s="166">
        <v>-0.15</v>
      </c>
      <c r="Y200" s="166" t="s">
        <v>68</v>
      </c>
      <c r="Z200" s="166" t="s">
        <v>68</v>
      </c>
      <c r="AA200" s="166" t="s">
        <v>68</v>
      </c>
      <c r="AB200" s="170" t="s">
        <v>43</v>
      </c>
      <c r="AC200" s="170" t="s">
        <v>44</v>
      </c>
      <c r="AD200" s="170" t="s">
        <v>44</v>
      </c>
      <c r="AE200" s="166"/>
      <c r="AF200" s="171" t="s">
        <v>327</v>
      </c>
      <c r="AG200" s="201" t="s">
        <v>496</v>
      </c>
      <c r="AH200" s="172" t="s">
        <v>155</v>
      </c>
      <c r="AI200" s="34"/>
      <c r="AN200" s="25"/>
      <c r="AO200" s="25"/>
      <c r="AR200" s="25"/>
      <c r="AS200" s="25"/>
      <c r="AT200" s="25"/>
    </row>
    <row r="201" spans="1:46" ht="22.5">
      <c r="A201" s="31">
        <v>1</v>
      </c>
      <c r="B201" s="165" t="s">
        <v>525</v>
      </c>
      <c r="C201" s="185">
        <v>-5</v>
      </c>
      <c r="D201" s="185">
        <v>110</v>
      </c>
      <c r="E201" s="181">
        <v>-20</v>
      </c>
      <c r="F201" s="186">
        <v>120</v>
      </c>
      <c r="G201" s="187">
        <v>10</v>
      </c>
      <c r="H201" s="188">
        <v>1E-4</v>
      </c>
      <c r="I201" s="185">
        <v>1</v>
      </c>
      <c r="J201" s="187">
        <v>20</v>
      </c>
      <c r="K201" s="185">
        <v>0.25</v>
      </c>
      <c r="L201" s="187">
        <v>150</v>
      </c>
      <c r="M201" s="185">
        <v>48</v>
      </c>
      <c r="N201" s="187">
        <v>120</v>
      </c>
      <c r="O201" s="185">
        <v>5</v>
      </c>
      <c r="P201" s="185">
        <v>2.7</v>
      </c>
      <c r="Q201" s="185">
        <v>20</v>
      </c>
      <c r="R201" s="185">
        <v>3.2</v>
      </c>
      <c r="S201" s="185">
        <v>45</v>
      </c>
      <c r="T201" s="166" t="s">
        <v>68</v>
      </c>
      <c r="U201" s="187">
        <v>1100</v>
      </c>
      <c r="V201" s="185">
        <v>8</v>
      </c>
      <c r="W201" s="185">
        <v>20</v>
      </c>
      <c r="X201" s="185">
        <v>-0.2</v>
      </c>
      <c r="Y201" s="166" t="s">
        <v>68</v>
      </c>
      <c r="Z201" s="166" t="s">
        <v>68</v>
      </c>
      <c r="AA201" s="166" t="s">
        <v>68</v>
      </c>
      <c r="AB201" s="170" t="s">
        <v>43</v>
      </c>
      <c r="AC201" s="170" t="s">
        <v>43</v>
      </c>
      <c r="AD201" s="170" t="s">
        <v>44</v>
      </c>
      <c r="AE201" s="185"/>
      <c r="AF201" s="171" t="s">
        <v>547</v>
      </c>
      <c r="AG201" s="201" t="s">
        <v>496</v>
      </c>
      <c r="AH201" s="173" t="s">
        <v>546</v>
      </c>
      <c r="AI201" s="34"/>
      <c r="AN201" s="25"/>
      <c r="AO201" s="25"/>
      <c r="AR201" s="25"/>
      <c r="AS201" s="25"/>
      <c r="AT201" s="25"/>
    </row>
    <row r="202" spans="1:46" ht="22.5">
      <c r="A202" s="31">
        <v>1</v>
      </c>
      <c r="B202" s="165" t="s">
        <v>531</v>
      </c>
      <c r="C202" s="185">
        <v>-5</v>
      </c>
      <c r="D202" s="185">
        <v>110</v>
      </c>
      <c r="E202" s="181">
        <v>-20</v>
      </c>
      <c r="F202" s="186">
        <v>120</v>
      </c>
      <c r="G202" s="187">
        <v>20</v>
      </c>
      <c r="H202" s="188">
        <v>1E-4</v>
      </c>
      <c r="I202" s="185">
        <v>1</v>
      </c>
      <c r="J202" s="187">
        <v>15</v>
      </c>
      <c r="K202" s="185">
        <v>0.15</v>
      </c>
      <c r="L202" s="187">
        <v>150</v>
      </c>
      <c r="M202" s="185">
        <v>48</v>
      </c>
      <c r="N202" s="187">
        <v>122.5</v>
      </c>
      <c r="O202" s="185">
        <v>5</v>
      </c>
      <c r="P202" s="185">
        <v>2.7</v>
      </c>
      <c r="Q202" s="185">
        <v>20</v>
      </c>
      <c r="R202" s="185">
        <v>3.2</v>
      </c>
      <c r="S202" s="185">
        <v>45</v>
      </c>
      <c r="T202" s="166" t="s">
        <v>68</v>
      </c>
      <c r="U202" s="187">
        <v>1100</v>
      </c>
      <c r="V202" s="185">
        <v>8</v>
      </c>
      <c r="W202" s="185">
        <v>20</v>
      </c>
      <c r="X202" s="185">
        <v>-0.2</v>
      </c>
      <c r="Y202" s="166" t="s">
        <v>68</v>
      </c>
      <c r="Z202" s="166" t="s">
        <v>68</v>
      </c>
      <c r="AA202" s="166" t="s">
        <v>68</v>
      </c>
      <c r="AB202" s="170" t="s">
        <v>43</v>
      </c>
      <c r="AC202" s="170" t="s">
        <v>43</v>
      </c>
      <c r="AD202" s="170" t="s">
        <v>44</v>
      </c>
      <c r="AE202" s="185"/>
      <c r="AF202" s="171" t="s">
        <v>547</v>
      </c>
      <c r="AG202" s="201" t="s">
        <v>496</v>
      </c>
      <c r="AH202" s="173" t="s">
        <v>546</v>
      </c>
      <c r="AI202" s="34"/>
      <c r="AN202" s="25"/>
      <c r="AO202" s="25"/>
      <c r="AR202" s="25"/>
      <c r="AS202" s="25"/>
      <c r="AT202" s="25"/>
    </row>
    <row r="203" spans="1:46" ht="22.5">
      <c r="A203" s="31">
        <v>1</v>
      </c>
      <c r="B203" s="165" t="s">
        <v>532</v>
      </c>
      <c r="C203" s="185">
        <v>-5</v>
      </c>
      <c r="D203" s="185">
        <v>110</v>
      </c>
      <c r="E203" s="181">
        <v>-20</v>
      </c>
      <c r="F203" s="186">
        <v>120</v>
      </c>
      <c r="G203" s="187">
        <v>50</v>
      </c>
      <c r="H203" s="188">
        <v>1E-4</v>
      </c>
      <c r="I203" s="185">
        <v>1</v>
      </c>
      <c r="J203" s="187">
        <v>10</v>
      </c>
      <c r="K203" s="185">
        <v>0.1</v>
      </c>
      <c r="L203" s="187">
        <v>150</v>
      </c>
      <c r="M203" s="185">
        <v>48</v>
      </c>
      <c r="N203" s="187">
        <v>126</v>
      </c>
      <c r="O203" s="185">
        <v>5</v>
      </c>
      <c r="P203" s="185">
        <v>2.7</v>
      </c>
      <c r="Q203" s="185">
        <v>20</v>
      </c>
      <c r="R203" s="185">
        <v>3.2</v>
      </c>
      <c r="S203" s="185">
        <v>45</v>
      </c>
      <c r="T203" s="166" t="s">
        <v>68</v>
      </c>
      <c r="U203" s="187">
        <v>1100</v>
      </c>
      <c r="V203" s="185">
        <v>8</v>
      </c>
      <c r="W203" s="185">
        <v>20</v>
      </c>
      <c r="X203" s="185">
        <v>-0.2</v>
      </c>
      <c r="Y203" s="166" t="s">
        <v>68</v>
      </c>
      <c r="Z203" s="166" t="s">
        <v>68</v>
      </c>
      <c r="AA203" s="166" t="s">
        <v>68</v>
      </c>
      <c r="AB203" s="170" t="s">
        <v>43</v>
      </c>
      <c r="AC203" s="170" t="s">
        <v>43</v>
      </c>
      <c r="AD203" s="170" t="s">
        <v>44</v>
      </c>
      <c r="AE203" s="185"/>
      <c r="AF203" s="171" t="s">
        <v>547</v>
      </c>
      <c r="AG203" s="201" t="s">
        <v>496</v>
      </c>
      <c r="AH203" s="173" t="s">
        <v>546</v>
      </c>
      <c r="AI203" s="34"/>
      <c r="AN203" s="25"/>
      <c r="AO203" s="25"/>
      <c r="AR203" s="25"/>
      <c r="AS203" s="25"/>
      <c r="AT203" s="25"/>
    </row>
    <row r="204" spans="1:46" ht="22.5">
      <c r="A204" s="31">
        <v>1</v>
      </c>
      <c r="B204" s="165" t="s">
        <v>533</v>
      </c>
      <c r="C204" s="185">
        <v>-5</v>
      </c>
      <c r="D204" s="185">
        <v>110</v>
      </c>
      <c r="E204" s="181">
        <v>-20</v>
      </c>
      <c r="F204" s="186">
        <v>120</v>
      </c>
      <c r="G204" s="187">
        <v>100</v>
      </c>
      <c r="H204" s="213">
        <v>1.4999999999999999E-4</v>
      </c>
      <c r="I204" s="185">
        <v>2</v>
      </c>
      <c r="J204" s="187">
        <v>10</v>
      </c>
      <c r="K204" s="185">
        <v>0.1</v>
      </c>
      <c r="L204" s="187">
        <v>150</v>
      </c>
      <c r="M204" s="185">
        <v>48</v>
      </c>
      <c r="N204" s="187">
        <v>126</v>
      </c>
      <c r="O204" s="185">
        <v>5</v>
      </c>
      <c r="P204" s="185">
        <v>2.7</v>
      </c>
      <c r="Q204" s="185">
        <v>20</v>
      </c>
      <c r="R204" s="185">
        <v>3.2</v>
      </c>
      <c r="S204" s="185">
        <v>45</v>
      </c>
      <c r="T204" s="166" t="s">
        <v>68</v>
      </c>
      <c r="U204" s="187">
        <v>1100</v>
      </c>
      <c r="V204" s="185">
        <v>8</v>
      </c>
      <c r="W204" s="185">
        <v>20</v>
      </c>
      <c r="X204" s="185">
        <v>-0.2</v>
      </c>
      <c r="Y204" s="166" t="s">
        <v>68</v>
      </c>
      <c r="Z204" s="166" t="s">
        <v>68</v>
      </c>
      <c r="AA204" s="166" t="s">
        <v>68</v>
      </c>
      <c r="AB204" s="170" t="s">
        <v>43</v>
      </c>
      <c r="AC204" s="170" t="s">
        <v>43</v>
      </c>
      <c r="AD204" s="170" t="s">
        <v>44</v>
      </c>
      <c r="AE204" s="185"/>
      <c r="AF204" s="171" t="s">
        <v>547</v>
      </c>
      <c r="AG204" s="201" t="s">
        <v>496</v>
      </c>
      <c r="AH204" s="173" t="s">
        <v>546</v>
      </c>
      <c r="AI204" s="34"/>
      <c r="AN204" s="25"/>
      <c r="AO204" s="25"/>
      <c r="AR204" s="25"/>
      <c r="AS204" s="25"/>
      <c r="AT204" s="25"/>
    </row>
    <row r="205" spans="1:46" ht="22.5">
      <c r="A205" s="31">
        <v>1</v>
      </c>
      <c r="B205" s="165" t="s">
        <v>534</v>
      </c>
      <c r="C205" s="185">
        <v>-5</v>
      </c>
      <c r="D205" s="185">
        <v>110</v>
      </c>
      <c r="E205" s="181">
        <v>-20</v>
      </c>
      <c r="F205" s="186">
        <v>120</v>
      </c>
      <c r="G205" s="187">
        <v>200</v>
      </c>
      <c r="H205" s="213">
        <v>1.4999999999999999E-4</v>
      </c>
      <c r="I205" s="185">
        <v>2</v>
      </c>
      <c r="J205" s="187">
        <v>8</v>
      </c>
      <c r="K205" s="185">
        <v>0.1</v>
      </c>
      <c r="L205" s="187">
        <v>150</v>
      </c>
      <c r="M205" s="185">
        <v>48</v>
      </c>
      <c r="N205" s="187">
        <v>126</v>
      </c>
      <c r="O205" s="185">
        <v>5</v>
      </c>
      <c r="P205" s="185">
        <v>2.7</v>
      </c>
      <c r="Q205" s="185">
        <v>20</v>
      </c>
      <c r="R205" s="185">
        <v>3.2</v>
      </c>
      <c r="S205" s="185">
        <v>45</v>
      </c>
      <c r="T205" s="166" t="s">
        <v>68</v>
      </c>
      <c r="U205" s="187">
        <v>1100</v>
      </c>
      <c r="V205" s="185">
        <v>8</v>
      </c>
      <c r="W205" s="185">
        <v>20</v>
      </c>
      <c r="X205" s="185">
        <v>-0.2</v>
      </c>
      <c r="Y205" s="166" t="s">
        <v>68</v>
      </c>
      <c r="Z205" s="166" t="s">
        <v>68</v>
      </c>
      <c r="AA205" s="166" t="s">
        <v>68</v>
      </c>
      <c r="AB205" s="170" t="s">
        <v>43</v>
      </c>
      <c r="AC205" s="170" t="s">
        <v>43</v>
      </c>
      <c r="AD205" s="170" t="s">
        <v>44</v>
      </c>
      <c r="AE205" s="185"/>
      <c r="AF205" s="171" t="s">
        <v>547</v>
      </c>
      <c r="AG205" s="201" t="s">
        <v>496</v>
      </c>
      <c r="AH205" s="173" t="s">
        <v>546</v>
      </c>
      <c r="AI205" s="34"/>
      <c r="AN205" s="25"/>
      <c r="AO205" s="25"/>
      <c r="AR205" s="25"/>
      <c r="AS205" s="25"/>
      <c r="AT205" s="25"/>
    </row>
    <row r="206" spans="1:46" ht="22.5">
      <c r="A206" s="31">
        <v>1</v>
      </c>
      <c r="B206" s="165" t="s">
        <v>526</v>
      </c>
      <c r="C206" s="185">
        <v>-5</v>
      </c>
      <c r="D206" s="185">
        <v>110</v>
      </c>
      <c r="E206" s="181">
        <v>-20</v>
      </c>
      <c r="F206" s="186">
        <v>120</v>
      </c>
      <c r="G206" s="187">
        <v>10</v>
      </c>
      <c r="H206" s="188">
        <v>1E-3</v>
      </c>
      <c r="I206" s="185">
        <v>5</v>
      </c>
      <c r="J206" s="187">
        <v>150</v>
      </c>
      <c r="K206" s="185">
        <v>0.5</v>
      </c>
      <c r="L206" s="187">
        <v>120</v>
      </c>
      <c r="M206" s="185">
        <v>48</v>
      </c>
      <c r="N206" s="187">
        <v>100</v>
      </c>
      <c r="O206" s="185">
        <v>5</v>
      </c>
      <c r="P206" s="185">
        <v>2.7</v>
      </c>
      <c r="Q206" s="185">
        <v>20</v>
      </c>
      <c r="R206" s="185">
        <v>3.2</v>
      </c>
      <c r="S206" s="185">
        <v>45</v>
      </c>
      <c r="T206" s="166" t="s">
        <v>68</v>
      </c>
      <c r="U206" s="187">
        <v>1100</v>
      </c>
      <c r="V206" s="185">
        <v>8</v>
      </c>
      <c r="W206" s="185">
        <v>20</v>
      </c>
      <c r="X206" s="185">
        <v>-0.2</v>
      </c>
      <c r="Y206" s="166" t="s">
        <v>68</v>
      </c>
      <c r="Z206" s="166" t="s">
        <v>68</v>
      </c>
      <c r="AA206" s="166" t="s">
        <v>68</v>
      </c>
      <c r="AB206" s="170" t="s">
        <v>43</v>
      </c>
      <c r="AC206" s="170" t="s">
        <v>43</v>
      </c>
      <c r="AD206" s="170" t="s">
        <v>44</v>
      </c>
      <c r="AE206" s="185"/>
      <c r="AF206" s="171" t="s">
        <v>547</v>
      </c>
      <c r="AG206" s="201" t="s">
        <v>496</v>
      </c>
      <c r="AH206" s="173" t="s">
        <v>546</v>
      </c>
      <c r="AI206" s="34"/>
      <c r="AN206" s="25"/>
      <c r="AO206" s="25"/>
      <c r="AR206" s="25"/>
      <c r="AS206" s="25"/>
      <c r="AT206" s="25"/>
    </row>
    <row r="207" spans="1:46" ht="22.5">
      <c r="A207" s="31">
        <v>1</v>
      </c>
      <c r="B207" s="165" t="s">
        <v>527</v>
      </c>
      <c r="C207" s="185">
        <v>-5</v>
      </c>
      <c r="D207" s="185">
        <v>110</v>
      </c>
      <c r="E207" s="181">
        <v>-20</v>
      </c>
      <c r="F207" s="186">
        <v>120</v>
      </c>
      <c r="G207" s="187">
        <v>20</v>
      </c>
      <c r="H207" s="188">
        <v>1E-3</v>
      </c>
      <c r="I207" s="185">
        <v>5</v>
      </c>
      <c r="J207" s="187">
        <v>150</v>
      </c>
      <c r="K207" s="185">
        <v>0.5</v>
      </c>
      <c r="L207" s="187">
        <v>120</v>
      </c>
      <c r="M207" s="185">
        <v>48</v>
      </c>
      <c r="N207" s="187">
        <v>100</v>
      </c>
      <c r="O207" s="185">
        <v>5</v>
      </c>
      <c r="P207" s="185">
        <v>2.7</v>
      </c>
      <c r="Q207" s="185">
        <v>20</v>
      </c>
      <c r="R207" s="185">
        <v>3.2</v>
      </c>
      <c r="S207" s="185">
        <v>45</v>
      </c>
      <c r="T207" s="166" t="s">
        <v>68</v>
      </c>
      <c r="U207" s="187">
        <v>1100</v>
      </c>
      <c r="V207" s="185">
        <v>8</v>
      </c>
      <c r="W207" s="185">
        <v>20</v>
      </c>
      <c r="X207" s="185">
        <v>-0.2</v>
      </c>
      <c r="Y207" s="166" t="s">
        <v>68</v>
      </c>
      <c r="Z207" s="166" t="s">
        <v>68</v>
      </c>
      <c r="AA207" s="166" t="s">
        <v>68</v>
      </c>
      <c r="AB207" s="170" t="s">
        <v>43</v>
      </c>
      <c r="AC207" s="170" t="s">
        <v>43</v>
      </c>
      <c r="AD207" s="170" t="s">
        <v>44</v>
      </c>
      <c r="AE207" s="185"/>
      <c r="AF207" s="171" t="s">
        <v>547</v>
      </c>
      <c r="AG207" s="201" t="s">
        <v>496</v>
      </c>
      <c r="AH207" s="173" t="s">
        <v>546</v>
      </c>
      <c r="AI207" s="34"/>
      <c r="AN207" s="25"/>
      <c r="AO207" s="25"/>
      <c r="AR207" s="25"/>
      <c r="AS207" s="25"/>
      <c r="AT207" s="25"/>
    </row>
    <row r="208" spans="1:46" ht="22.5">
      <c r="A208" s="31">
        <v>1</v>
      </c>
      <c r="B208" s="165" t="s">
        <v>528</v>
      </c>
      <c r="C208" s="185">
        <v>-5</v>
      </c>
      <c r="D208" s="185">
        <v>110</v>
      </c>
      <c r="E208" s="181">
        <v>-20</v>
      </c>
      <c r="F208" s="186">
        <v>120</v>
      </c>
      <c r="G208" s="187">
        <v>50</v>
      </c>
      <c r="H208" s="188">
        <v>1E-3</v>
      </c>
      <c r="I208" s="185">
        <v>5</v>
      </c>
      <c r="J208" s="187">
        <v>150</v>
      </c>
      <c r="K208" s="185">
        <v>0.5</v>
      </c>
      <c r="L208" s="187">
        <v>120</v>
      </c>
      <c r="M208" s="185">
        <v>48</v>
      </c>
      <c r="N208" s="187">
        <v>100</v>
      </c>
      <c r="O208" s="185">
        <v>5</v>
      </c>
      <c r="P208" s="185">
        <v>2.7</v>
      </c>
      <c r="Q208" s="185">
        <v>20</v>
      </c>
      <c r="R208" s="185">
        <v>3.2</v>
      </c>
      <c r="S208" s="185">
        <v>45</v>
      </c>
      <c r="T208" s="166" t="s">
        <v>68</v>
      </c>
      <c r="U208" s="187">
        <v>1100</v>
      </c>
      <c r="V208" s="185">
        <v>8</v>
      </c>
      <c r="W208" s="185">
        <v>20</v>
      </c>
      <c r="X208" s="185">
        <v>-0.2</v>
      </c>
      <c r="Y208" s="166" t="s">
        <v>68</v>
      </c>
      <c r="Z208" s="166" t="s">
        <v>68</v>
      </c>
      <c r="AA208" s="166" t="s">
        <v>68</v>
      </c>
      <c r="AB208" s="170" t="s">
        <v>43</v>
      </c>
      <c r="AC208" s="170" t="s">
        <v>43</v>
      </c>
      <c r="AD208" s="170" t="s">
        <v>44</v>
      </c>
      <c r="AE208" s="185"/>
      <c r="AF208" s="171" t="s">
        <v>547</v>
      </c>
      <c r="AG208" s="201" t="s">
        <v>496</v>
      </c>
      <c r="AH208" s="173" t="s">
        <v>546</v>
      </c>
      <c r="AI208" s="34"/>
      <c r="AN208" s="25"/>
      <c r="AO208" s="25"/>
      <c r="AR208" s="25"/>
      <c r="AS208" s="25"/>
      <c r="AT208" s="25"/>
    </row>
    <row r="209" spans="1:46" ht="22.5">
      <c r="A209" s="31">
        <v>1</v>
      </c>
      <c r="B209" s="165" t="s">
        <v>529</v>
      </c>
      <c r="C209" s="185">
        <v>-5</v>
      </c>
      <c r="D209" s="185">
        <v>110</v>
      </c>
      <c r="E209" s="181">
        <v>-20</v>
      </c>
      <c r="F209" s="186">
        <v>120</v>
      </c>
      <c r="G209" s="187">
        <v>100</v>
      </c>
      <c r="H209" s="188">
        <v>1E-3</v>
      </c>
      <c r="I209" s="185">
        <v>5</v>
      </c>
      <c r="J209" s="187">
        <v>150</v>
      </c>
      <c r="K209" s="185">
        <v>0.5</v>
      </c>
      <c r="L209" s="187">
        <v>120</v>
      </c>
      <c r="M209" s="185">
        <v>48</v>
      </c>
      <c r="N209" s="187">
        <v>100</v>
      </c>
      <c r="O209" s="185">
        <v>5</v>
      </c>
      <c r="P209" s="185">
        <v>2.7</v>
      </c>
      <c r="Q209" s="185">
        <v>20</v>
      </c>
      <c r="R209" s="185">
        <v>3.2</v>
      </c>
      <c r="S209" s="185">
        <v>45</v>
      </c>
      <c r="T209" s="166" t="s">
        <v>68</v>
      </c>
      <c r="U209" s="187">
        <v>1100</v>
      </c>
      <c r="V209" s="185">
        <v>8</v>
      </c>
      <c r="W209" s="185">
        <v>20</v>
      </c>
      <c r="X209" s="185">
        <v>-0.2</v>
      </c>
      <c r="Y209" s="166" t="s">
        <v>68</v>
      </c>
      <c r="Z209" s="166" t="s">
        <v>68</v>
      </c>
      <c r="AA209" s="166" t="s">
        <v>68</v>
      </c>
      <c r="AB209" s="170" t="s">
        <v>43</v>
      </c>
      <c r="AC209" s="170" t="s">
        <v>43</v>
      </c>
      <c r="AD209" s="170" t="s">
        <v>44</v>
      </c>
      <c r="AE209" s="185"/>
      <c r="AF209" s="171" t="s">
        <v>547</v>
      </c>
      <c r="AG209" s="201" t="s">
        <v>496</v>
      </c>
      <c r="AH209" s="173" t="s">
        <v>546</v>
      </c>
      <c r="AI209" s="34"/>
      <c r="AN209" s="25"/>
      <c r="AO209" s="25"/>
      <c r="AR209" s="25"/>
      <c r="AS209" s="25"/>
      <c r="AT209" s="25"/>
    </row>
    <row r="210" spans="1:46" ht="22.5">
      <c r="A210" s="31">
        <v>1</v>
      </c>
      <c r="B210" s="165" t="s">
        <v>530</v>
      </c>
      <c r="C210" s="185">
        <v>-5</v>
      </c>
      <c r="D210" s="185">
        <v>110</v>
      </c>
      <c r="E210" s="181">
        <v>-20</v>
      </c>
      <c r="F210" s="186">
        <v>120</v>
      </c>
      <c r="G210" s="187">
        <v>200</v>
      </c>
      <c r="H210" s="188">
        <v>1E-3</v>
      </c>
      <c r="I210" s="185">
        <v>5</v>
      </c>
      <c r="J210" s="187">
        <v>150</v>
      </c>
      <c r="K210" s="185">
        <v>0.5</v>
      </c>
      <c r="L210" s="187">
        <v>120</v>
      </c>
      <c r="M210" s="185">
        <v>48</v>
      </c>
      <c r="N210" s="187">
        <v>100</v>
      </c>
      <c r="O210" s="185">
        <v>5</v>
      </c>
      <c r="P210" s="185">
        <v>2.7</v>
      </c>
      <c r="Q210" s="185">
        <v>20</v>
      </c>
      <c r="R210" s="185">
        <v>3.2</v>
      </c>
      <c r="S210" s="185">
        <v>45</v>
      </c>
      <c r="T210" s="166" t="s">
        <v>68</v>
      </c>
      <c r="U210" s="187">
        <v>1100</v>
      </c>
      <c r="V210" s="185">
        <v>8</v>
      </c>
      <c r="W210" s="185">
        <v>20</v>
      </c>
      <c r="X210" s="185">
        <v>-0.2</v>
      </c>
      <c r="Y210" s="166" t="s">
        <v>68</v>
      </c>
      <c r="Z210" s="166" t="s">
        <v>68</v>
      </c>
      <c r="AA210" s="166" t="s">
        <v>68</v>
      </c>
      <c r="AB210" s="170" t="s">
        <v>43</v>
      </c>
      <c r="AC210" s="170" t="s">
        <v>43</v>
      </c>
      <c r="AD210" s="170" t="s">
        <v>44</v>
      </c>
      <c r="AE210" s="185"/>
      <c r="AF210" s="171" t="s">
        <v>547</v>
      </c>
      <c r="AG210" s="201" t="s">
        <v>496</v>
      </c>
      <c r="AH210" s="173" t="s">
        <v>546</v>
      </c>
      <c r="AI210" s="34"/>
      <c r="AN210" s="25"/>
      <c r="AO210" s="25"/>
      <c r="AR210" s="25"/>
      <c r="AS210" s="25"/>
      <c r="AT210" s="25"/>
    </row>
    <row r="211" spans="1:46" ht="11.25" hidden="1">
      <c r="A211" s="31">
        <v>1</v>
      </c>
      <c r="B211" s="165" t="s">
        <v>59</v>
      </c>
      <c r="C211" s="166">
        <v>0</v>
      </c>
      <c r="D211" s="166">
        <v>36</v>
      </c>
      <c r="E211" s="177">
        <v>-0.3</v>
      </c>
      <c r="F211" s="170">
        <v>40</v>
      </c>
      <c r="G211" s="167">
        <v>20</v>
      </c>
      <c r="H211" s="168">
        <v>1E-3</v>
      </c>
      <c r="I211" s="166">
        <v>10</v>
      </c>
      <c r="J211" s="167">
        <v>125</v>
      </c>
      <c r="K211" s="166">
        <v>0.5</v>
      </c>
      <c r="L211" s="167">
        <v>100</v>
      </c>
      <c r="M211" s="166">
        <v>12</v>
      </c>
      <c r="N211" s="167">
        <v>100</v>
      </c>
      <c r="O211" s="166">
        <v>5</v>
      </c>
      <c r="P211" s="166">
        <v>2.7</v>
      </c>
      <c r="Q211" s="166">
        <v>5.5</v>
      </c>
      <c r="R211" s="166">
        <v>0.7</v>
      </c>
      <c r="S211" s="166">
        <v>120</v>
      </c>
      <c r="T211" s="166" t="s">
        <v>68</v>
      </c>
      <c r="U211" s="167">
        <v>550</v>
      </c>
      <c r="V211" s="166">
        <v>4</v>
      </c>
      <c r="W211" s="166">
        <v>30</v>
      </c>
      <c r="X211" s="166">
        <v>-0.1</v>
      </c>
      <c r="Y211" s="166" t="s">
        <v>68</v>
      </c>
      <c r="Z211" s="166" t="s">
        <v>68</v>
      </c>
      <c r="AA211" s="166" t="s">
        <v>68</v>
      </c>
      <c r="AB211" s="170" t="s">
        <v>43</v>
      </c>
      <c r="AC211" s="170" t="s">
        <v>44</v>
      </c>
      <c r="AD211" s="170" t="s">
        <v>99</v>
      </c>
      <c r="AE211" s="166" t="s">
        <v>381</v>
      </c>
      <c r="AF211" s="171" t="s">
        <v>327</v>
      </c>
      <c r="AG211" s="201" t="s">
        <v>496</v>
      </c>
      <c r="AH211" s="172" t="s">
        <v>160</v>
      </c>
      <c r="AI211" s="34"/>
      <c r="AN211" s="25"/>
      <c r="AO211" s="25"/>
      <c r="AR211" s="25"/>
      <c r="AS211" s="25"/>
      <c r="AT211" s="25"/>
    </row>
    <row r="212" spans="1:46" ht="11.25" hidden="1">
      <c r="A212" s="31">
        <v>1</v>
      </c>
      <c r="B212" s="165" t="s">
        <v>8</v>
      </c>
      <c r="C212" s="166">
        <v>0</v>
      </c>
      <c r="D212" s="166">
        <v>36</v>
      </c>
      <c r="E212" s="177">
        <v>-0.3</v>
      </c>
      <c r="F212" s="170">
        <v>40</v>
      </c>
      <c r="G212" s="167">
        <v>50</v>
      </c>
      <c r="H212" s="168">
        <v>1.5E-3</v>
      </c>
      <c r="I212" s="166">
        <v>10</v>
      </c>
      <c r="J212" s="167">
        <v>50</v>
      </c>
      <c r="K212" s="166">
        <v>0.5</v>
      </c>
      <c r="L212" s="167">
        <v>106</v>
      </c>
      <c r="M212" s="166">
        <v>12</v>
      </c>
      <c r="N212" s="167">
        <v>100</v>
      </c>
      <c r="O212" s="166">
        <v>5</v>
      </c>
      <c r="P212" s="166">
        <v>2.7</v>
      </c>
      <c r="Q212" s="166">
        <v>5.5</v>
      </c>
      <c r="R212" s="166">
        <v>0.7</v>
      </c>
      <c r="S212" s="166">
        <v>120</v>
      </c>
      <c r="T212" s="166" t="s">
        <v>68</v>
      </c>
      <c r="U212" s="167">
        <v>500</v>
      </c>
      <c r="V212" s="166">
        <v>4</v>
      </c>
      <c r="W212" s="166">
        <v>30</v>
      </c>
      <c r="X212" s="166">
        <v>-0.1</v>
      </c>
      <c r="Y212" s="166" t="s">
        <v>68</v>
      </c>
      <c r="Z212" s="166" t="s">
        <v>68</v>
      </c>
      <c r="AA212" s="166" t="s">
        <v>68</v>
      </c>
      <c r="AB212" s="170" t="s">
        <v>43</v>
      </c>
      <c r="AC212" s="170" t="s">
        <v>44</v>
      </c>
      <c r="AD212" s="170" t="s">
        <v>99</v>
      </c>
      <c r="AE212" s="166" t="s">
        <v>381</v>
      </c>
      <c r="AF212" s="171" t="s">
        <v>327</v>
      </c>
      <c r="AG212" s="201" t="s">
        <v>496</v>
      </c>
      <c r="AH212" s="172" t="s">
        <v>160</v>
      </c>
      <c r="AI212" s="34"/>
      <c r="AN212" s="25"/>
      <c r="AO212" s="25"/>
      <c r="AR212" s="25"/>
      <c r="AS212" s="25"/>
      <c r="AT212" s="25"/>
    </row>
    <row r="213" spans="1:46" ht="11.25" hidden="1">
      <c r="A213" s="31">
        <v>1</v>
      </c>
      <c r="B213" s="165" t="s">
        <v>9</v>
      </c>
      <c r="C213" s="166">
        <v>0</v>
      </c>
      <c r="D213" s="166">
        <v>36</v>
      </c>
      <c r="E213" s="177">
        <v>-0.3</v>
      </c>
      <c r="F213" s="170">
        <v>40</v>
      </c>
      <c r="G213" s="167">
        <v>100</v>
      </c>
      <c r="H213" s="168">
        <v>2E-3</v>
      </c>
      <c r="I213" s="166">
        <v>10</v>
      </c>
      <c r="J213" s="167">
        <v>35</v>
      </c>
      <c r="K213" s="166">
        <v>0.5</v>
      </c>
      <c r="L213" s="167">
        <v>110</v>
      </c>
      <c r="M213" s="166">
        <v>12</v>
      </c>
      <c r="N213" s="167">
        <v>100</v>
      </c>
      <c r="O213" s="166">
        <v>5</v>
      </c>
      <c r="P213" s="166">
        <v>2.7</v>
      </c>
      <c r="Q213" s="166">
        <v>5.5</v>
      </c>
      <c r="R213" s="166">
        <v>0.7</v>
      </c>
      <c r="S213" s="166">
        <v>120</v>
      </c>
      <c r="T213" s="166" t="s">
        <v>68</v>
      </c>
      <c r="U213" s="167">
        <v>450</v>
      </c>
      <c r="V213" s="166">
        <v>4</v>
      </c>
      <c r="W213" s="166">
        <v>30</v>
      </c>
      <c r="X213" s="166">
        <v>-0.1</v>
      </c>
      <c r="Y213" s="166" t="s">
        <v>68</v>
      </c>
      <c r="Z213" s="166" t="s">
        <v>68</v>
      </c>
      <c r="AA213" s="166" t="s">
        <v>68</v>
      </c>
      <c r="AB213" s="170" t="s">
        <v>43</v>
      </c>
      <c r="AC213" s="170" t="s">
        <v>44</v>
      </c>
      <c r="AD213" s="170" t="s">
        <v>99</v>
      </c>
      <c r="AE213" s="166" t="s">
        <v>381</v>
      </c>
      <c r="AF213" s="171" t="s">
        <v>327</v>
      </c>
      <c r="AG213" s="201" t="s">
        <v>496</v>
      </c>
      <c r="AH213" s="172" t="s">
        <v>160</v>
      </c>
      <c r="AI213" s="34"/>
      <c r="AN213" s="25"/>
      <c r="AO213" s="25"/>
      <c r="AR213" s="25"/>
      <c r="AS213" s="25"/>
      <c r="AT213" s="25"/>
    </row>
    <row r="214" spans="1:46" ht="11.25" hidden="1">
      <c r="A214" s="31">
        <v>1</v>
      </c>
      <c r="B214" s="165" t="s">
        <v>69</v>
      </c>
      <c r="C214" s="166">
        <v>-0.1</v>
      </c>
      <c r="D214" s="166">
        <v>36</v>
      </c>
      <c r="E214" s="177">
        <v>-0.3</v>
      </c>
      <c r="F214" s="170">
        <v>40</v>
      </c>
      <c r="G214" s="167">
        <v>20</v>
      </c>
      <c r="H214" s="209">
        <v>7.5000000000000002E-4</v>
      </c>
      <c r="I214" s="166">
        <v>10</v>
      </c>
      <c r="J214" s="167">
        <v>80</v>
      </c>
      <c r="K214" s="166">
        <v>0.25</v>
      </c>
      <c r="L214" s="167">
        <v>100</v>
      </c>
      <c r="M214" s="166">
        <v>12</v>
      </c>
      <c r="N214" s="167">
        <v>106</v>
      </c>
      <c r="O214" s="166">
        <v>5</v>
      </c>
      <c r="P214" s="166">
        <v>2.7</v>
      </c>
      <c r="Q214" s="166">
        <v>5.5</v>
      </c>
      <c r="R214" s="166">
        <v>1.1499999999999999</v>
      </c>
      <c r="S214" s="166">
        <v>115</v>
      </c>
      <c r="T214" s="166" t="s">
        <v>68</v>
      </c>
      <c r="U214" s="167">
        <v>550</v>
      </c>
      <c r="V214" s="166">
        <v>4</v>
      </c>
      <c r="W214" s="166">
        <v>30</v>
      </c>
      <c r="X214" s="166">
        <v>-0.1</v>
      </c>
      <c r="Y214" s="166" t="s">
        <v>68</v>
      </c>
      <c r="Z214" s="166" t="s">
        <v>68</v>
      </c>
      <c r="AA214" s="166" t="s">
        <v>68</v>
      </c>
      <c r="AB214" s="170" t="s">
        <v>43</v>
      </c>
      <c r="AC214" s="170" t="s">
        <v>43</v>
      </c>
      <c r="AD214" s="170" t="s">
        <v>97</v>
      </c>
      <c r="AE214" s="166" t="s">
        <v>378</v>
      </c>
      <c r="AF214" s="171" t="s">
        <v>327</v>
      </c>
      <c r="AG214" s="201" t="s">
        <v>496</v>
      </c>
      <c r="AH214" s="172" t="s">
        <v>164</v>
      </c>
      <c r="AI214" s="34"/>
      <c r="AN214" s="25"/>
      <c r="AO214" s="25"/>
      <c r="AR214" s="25"/>
      <c r="AS214" s="25"/>
      <c r="AT214" s="25"/>
    </row>
    <row r="215" spans="1:46" ht="11.25" hidden="1">
      <c r="A215" s="31">
        <v>1</v>
      </c>
      <c r="B215" s="165" t="s">
        <v>70</v>
      </c>
      <c r="C215" s="166">
        <v>-0.1</v>
      </c>
      <c r="D215" s="166">
        <v>36</v>
      </c>
      <c r="E215" s="177">
        <v>-0.3</v>
      </c>
      <c r="F215" s="170">
        <v>40</v>
      </c>
      <c r="G215" s="167">
        <v>50</v>
      </c>
      <c r="H215" s="168">
        <v>1E-3</v>
      </c>
      <c r="I215" s="166">
        <v>10</v>
      </c>
      <c r="J215" s="167">
        <v>50</v>
      </c>
      <c r="K215" s="166">
        <v>0.25</v>
      </c>
      <c r="L215" s="167">
        <v>106</v>
      </c>
      <c r="M215" s="166">
        <v>12</v>
      </c>
      <c r="N215" s="167">
        <v>106</v>
      </c>
      <c r="O215" s="166">
        <v>5</v>
      </c>
      <c r="P215" s="166">
        <v>2.7</v>
      </c>
      <c r="Q215" s="166">
        <v>5.5</v>
      </c>
      <c r="R215" s="166">
        <v>1.1499999999999999</v>
      </c>
      <c r="S215" s="166">
        <v>115</v>
      </c>
      <c r="T215" s="166" t="s">
        <v>68</v>
      </c>
      <c r="U215" s="167">
        <v>440</v>
      </c>
      <c r="V215" s="166">
        <v>4</v>
      </c>
      <c r="W215" s="166">
        <v>30</v>
      </c>
      <c r="X215" s="166">
        <v>-0.1</v>
      </c>
      <c r="Y215" s="166" t="s">
        <v>68</v>
      </c>
      <c r="Z215" s="166" t="s">
        <v>68</v>
      </c>
      <c r="AA215" s="166" t="s">
        <v>68</v>
      </c>
      <c r="AB215" s="170" t="s">
        <v>43</v>
      </c>
      <c r="AC215" s="170" t="s">
        <v>43</v>
      </c>
      <c r="AD215" s="170" t="s">
        <v>97</v>
      </c>
      <c r="AE215" s="166" t="s">
        <v>378</v>
      </c>
      <c r="AF215" s="171" t="s">
        <v>327</v>
      </c>
      <c r="AG215" s="201" t="s">
        <v>496</v>
      </c>
      <c r="AH215" s="172" t="s">
        <v>164</v>
      </c>
      <c r="AI215" s="34"/>
      <c r="AN215" s="25"/>
      <c r="AO215" s="25"/>
      <c r="AR215" s="25"/>
      <c r="AS215" s="25"/>
      <c r="AT215" s="25"/>
    </row>
    <row r="216" spans="1:46" ht="11.25" hidden="1">
      <c r="A216" s="31">
        <v>1</v>
      </c>
      <c r="B216" s="165" t="s">
        <v>71</v>
      </c>
      <c r="C216" s="166">
        <v>-0.1</v>
      </c>
      <c r="D216" s="166">
        <v>36</v>
      </c>
      <c r="E216" s="177">
        <v>-0.3</v>
      </c>
      <c r="F216" s="170">
        <v>40</v>
      </c>
      <c r="G216" s="167">
        <v>100</v>
      </c>
      <c r="H216" s="168">
        <v>1.5E-3</v>
      </c>
      <c r="I216" s="166">
        <v>10</v>
      </c>
      <c r="J216" s="167">
        <v>30</v>
      </c>
      <c r="K216" s="166">
        <v>0.25</v>
      </c>
      <c r="L216" s="167">
        <v>110</v>
      </c>
      <c r="M216" s="166">
        <v>12</v>
      </c>
      <c r="N216" s="167">
        <v>106</v>
      </c>
      <c r="O216" s="166">
        <v>5</v>
      </c>
      <c r="P216" s="166">
        <v>2.7</v>
      </c>
      <c r="Q216" s="166">
        <v>5.5</v>
      </c>
      <c r="R216" s="166">
        <v>1.1499999999999999</v>
      </c>
      <c r="S216" s="166">
        <v>115</v>
      </c>
      <c r="T216" s="166" t="s">
        <v>68</v>
      </c>
      <c r="U216" s="167">
        <v>400</v>
      </c>
      <c r="V216" s="166">
        <v>4</v>
      </c>
      <c r="W216" s="166">
        <v>30</v>
      </c>
      <c r="X216" s="166">
        <v>-0.1</v>
      </c>
      <c r="Y216" s="166" t="s">
        <v>68</v>
      </c>
      <c r="Z216" s="166" t="s">
        <v>68</v>
      </c>
      <c r="AA216" s="166" t="s">
        <v>68</v>
      </c>
      <c r="AB216" s="170" t="s">
        <v>43</v>
      </c>
      <c r="AC216" s="170" t="s">
        <v>43</v>
      </c>
      <c r="AD216" s="170" t="s">
        <v>97</v>
      </c>
      <c r="AE216" s="166" t="s">
        <v>378</v>
      </c>
      <c r="AF216" s="171" t="s">
        <v>327</v>
      </c>
      <c r="AG216" s="201" t="s">
        <v>496</v>
      </c>
      <c r="AH216" s="172" t="s">
        <v>164</v>
      </c>
      <c r="AI216" s="34"/>
      <c r="AN216" s="25"/>
      <c r="AO216" s="25"/>
      <c r="AR216" s="25"/>
      <c r="AS216" s="25"/>
      <c r="AT216" s="25"/>
    </row>
    <row r="217" spans="1:46" ht="11.25" hidden="1">
      <c r="A217" s="31">
        <v>1</v>
      </c>
      <c r="B217" s="165" t="s">
        <v>72</v>
      </c>
      <c r="C217" s="166">
        <v>-0.1</v>
      </c>
      <c r="D217" s="166">
        <v>36</v>
      </c>
      <c r="E217" s="177">
        <v>-0.3</v>
      </c>
      <c r="F217" s="170">
        <v>40</v>
      </c>
      <c r="G217" s="167">
        <v>20</v>
      </c>
      <c r="H217" s="209">
        <v>7.5000000000000002E-4</v>
      </c>
      <c r="I217" s="166">
        <v>10</v>
      </c>
      <c r="J217" s="167">
        <v>80</v>
      </c>
      <c r="K217" s="166">
        <v>0.25</v>
      </c>
      <c r="L217" s="167">
        <v>100</v>
      </c>
      <c r="M217" s="166">
        <v>12</v>
      </c>
      <c r="N217" s="167">
        <v>106</v>
      </c>
      <c r="O217" s="166">
        <v>5</v>
      </c>
      <c r="P217" s="166">
        <v>2.7</v>
      </c>
      <c r="Q217" s="166">
        <v>5.5</v>
      </c>
      <c r="R217" s="166">
        <v>1.1499999999999999</v>
      </c>
      <c r="S217" s="166">
        <v>115</v>
      </c>
      <c r="T217" s="166" t="s">
        <v>68</v>
      </c>
      <c r="U217" s="167">
        <v>550</v>
      </c>
      <c r="V217" s="166">
        <v>4</v>
      </c>
      <c r="W217" s="166">
        <v>30</v>
      </c>
      <c r="X217" s="166">
        <v>-0.1</v>
      </c>
      <c r="Y217" s="166" t="s">
        <v>68</v>
      </c>
      <c r="Z217" s="166" t="s">
        <v>68</v>
      </c>
      <c r="AA217" s="166" t="s">
        <v>68</v>
      </c>
      <c r="AB217" s="170" t="s">
        <v>43</v>
      </c>
      <c r="AC217" s="170" t="s">
        <v>43</v>
      </c>
      <c r="AD217" s="170" t="s">
        <v>98</v>
      </c>
      <c r="AE217" s="166" t="s">
        <v>379</v>
      </c>
      <c r="AF217" s="171" t="s">
        <v>327</v>
      </c>
      <c r="AG217" s="201" t="s">
        <v>496</v>
      </c>
      <c r="AH217" s="172" t="s">
        <v>164</v>
      </c>
      <c r="AI217" s="34"/>
      <c r="AN217" s="25"/>
      <c r="AO217" s="25"/>
      <c r="AR217" s="25"/>
      <c r="AS217" s="25"/>
      <c r="AT217" s="25"/>
    </row>
    <row r="218" spans="1:46" ht="11.25" hidden="1">
      <c r="A218" s="31">
        <v>1</v>
      </c>
      <c r="B218" s="165" t="s">
        <v>73</v>
      </c>
      <c r="C218" s="166">
        <v>-0.1</v>
      </c>
      <c r="D218" s="166">
        <v>36</v>
      </c>
      <c r="E218" s="177">
        <v>-0.3</v>
      </c>
      <c r="F218" s="170">
        <v>40</v>
      </c>
      <c r="G218" s="167">
        <v>50</v>
      </c>
      <c r="H218" s="168">
        <v>1E-3</v>
      </c>
      <c r="I218" s="166">
        <v>10</v>
      </c>
      <c r="J218" s="167">
        <v>50</v>
      </c>
      <c r="K218" s="166">
        <v>0.25</v>
      </c>
      <c r="L218" s="167">
        <v>106</v>
      </c>
      <c r="M218" s="166">
        <v>12</v>
      </c>
      <c r="N218" s="167">
        <v>106</v>
      </c>
      <c r="O218" s="166">
        <v>5</v>
      </c>
      <c r="P218" s="166">
        <v>2.7</v>
      </c>
      <c r="Q218" s="166">
        <v>5.5</v>
      </c>
      <c r="R218" s="166">
        <v>1.1499999999999999</v>
      </c>
      <c r="S218" s="166">
        <v>115</v>
      </c>
      <c r="T218" s="166" t="s">
        <v>68</v>
      </c>
      <c r="U218" s="167">
        <v>440</v>
      </c>
      <c r="V218" s="166">
        <v>4</v>
      </c>
      <c r="W218" s="166">
        <v>30</v>
      </c>
      <c r="X218" s="166">
        <v>-0.1</v>
      </c>
      <c r="Y218" s="166" t="s">
        <v>68</v>
      </c>
      <c r="Z218" s="166" t="s">
        <v>68</v>
      </c>
      <c r="AA218" s="166" t="s">
        <v>68</v>
      </c>
      <c r="AB218" s="170" t="s">
        <v>43</v>
      </c>
      <c r="AC218" s="170" t="s">
        <v>43</v>
      </c>
      <c r="AD218" s="170" t="s">
        <v>98</v>
      </c>
      <c r="AE218" s="166" t="s">
        <v>379</v>
      </c>
      <c r="AF218" s="171" t="s">
        <v>327</v>
      </c>
      <c r="AG218" s="201" t="s">
        <v>496</v>
      </c>
      <c r="AH218" s="172" t="s">
        <v>164</v>
      </c>
      <c r="AI218" s="34"/>
      <c r="AN218" s="25"/>
      <c r="AO218" s="25"/>
      <c r="AR218" s="25"/>
      <c r="AS218" s="25"/>
      <c r="AT218" s="25"/>
    </row>
    <row r="219" spans="1:46" ht="11.25" hidden="1">
      <c r="A219" s="31">
        <v>1</v>
      </c>
      <c r="B219" s="165" t="s">
        <v>74</v>
      </c>
      <c r="C219" s="166">
        <v>-0.1</v>
      </c>
      <c r="D219" s="166">
        <v>36</v>
      </c>
      <c r="E219" s="177">
        <v>-0.3</v>
      </c>
      <c r="F219" s="170">
        <v>40</v>
      </c>
      <c r="G219" s="167">
        <v>100</v>
      </c>
      <c r="H219" s="168">
        <v>1.5E-3</v>
      </c>
      <c r="I219" s="166">
        <v>10</v>
      </c>
      <c r="J219" s="167">
        <v>30</v>
      </c>
      <c r="K219" s="166">
        <v>0.25</v>
      </c>
      <c r="L219" s="167">
        <v>110</v>
      </c>
      <c r="M219" s="166">
        <v>12</v>
      </c>
      <c r="N219" s="167">
        <v>106</v>
      </c>
      <c r="O219" s="166">
        <v>5</v>
      </c>
      <c r="P219" s="166">
        <v>2.7</v>
      </c>
      <c r="Q219" s="166">
        <v>5.5</v>
      </c>
      <c r="R219" s="166">
        <v>1.1499999999999999</v>
      </c>
      <c r="S219" s="166">
        <v>115</v>
      </c>
      <c r="T219" s="166" t="s">
        <v>68</v>
      </c>
      <c r="U219" s="167">
        <v>400</v>
      </c>
      <c r="V219" s="166">
        <v>4</v>
      </c>
      <c r="W219" s="166">
        <v>30</v>
      </c>
      <c r="X219" s="166">
        <v>-0.1</v>
      </c>
      <c r="Y219" s="166" t="s">
        <v>68</v>
      </c>
      <c r="Z219" s="166" t="s">
        <v>68</v>
      </c>
      <c r="AA219" s="166" t="s">
        <v>68</v>
      </c>
      <c r="AB219" s="170" t="s">
        <v>43</v>
      </c>
      <c r="AC219" s="170" t="s">
        <v>43</v>
      </c>
      <c r="AD219" s="170" t="s">
        <v>98</v>
      </c>
      <c r="AE219" s="166" t="s">
        <v>379</v>
      </c>
      <c r="AF219" s="171" t="s">
        <v>327</v>
      </c>
      <c r="AG219" s="201" t="s">
        <v>496</v>
      </c>
      <c r="AH219" s="172" t="s">
        <v>164</v>
      </c>
      <c r="AI219" s="34"/>
      <c r="AN219" s="25"/>
      <c r="AO219" s="25"/>
      <c r="AR219" s="25"/>
      <c r="AS219" s="25"/>
      <c r="AT219" s="25"/>
    </row>
    <row r="220" spans="1:46" ht="11.25" hidden="1">
      <c r="A220" s="31">
        <v>1</v>
      </c>
      <c r="B220" s="165" t="s">
        <v>84</v>
      </c>
      <c r="C220" s="166">
        <v>0</v>
      </c>
      <c r="D220" s="166">
        <v>26</v>
      </c>
      <c r="E220" s="166">
        <v>-0.3</v>
      </c>
      <c r="F220" s="166">
        <v>26</v>
      </c>
      <c r="G220" s="167">
        <v>1</v>
      </c>
      <c r="H220" s="168">
        <v>2.5000000000000001E-3</v>
      </c>
      <c r="I220" s="166">
        <v>50</v>
      </c>
      <c r="J220" s="167">
        <v>80</v>
      </c>
      <c r="K220" s="166">
        <v>0.5</v>
      </c>
      <c r="L220" s="167">
        <v>110</v>
      </c>
      <c r="M220" s="166">
        <v>12</v>
      </c>
      <c r="N220" s="167">
        <v>96.5</v>
      </c>
      <c r="O220" s="166">
        <v>3.3</v>
      </c>
      <c r="P220" s="166">
        <v>2.7</v>
      </c>
      <c r="Q220" s="166">
        <v>5.5</v>
      </c>
      <c r="R220" s="166">
        <v>0.45</v>
      </c>
      <c r="S220" s="166">
        <v>10</v>
      </c>
      <c r="T220" s="166">
        <v>2</v>
      </c>
      <c r="U220" s="167" t="s">
        <v>68</v>
      </c>
      <c r="V220" s="166" t="s">
        <v>68</v>
      </c>
      <c r="W220" s="166" t="s">
        <v>68</v>
      </c>
      <c r="X220" s="166" t="s">
        <v>68</v>
      </c>
      <c r="Y220" s="166">
        <v>13</v>
      </c>
      <c r="Z220" s="166">
        <v>154</v>
      </c>
      <c r="AA220" s="166" t="s">
        <v>85</v>
      </c>
      <c r="AB220" s="170" t="s">
        <v>43</v>
      </c>
      <c r="AC220" s="170" t="s">
        <v>43</v>
      </c>
      <c r="AD220" s="170" t="s">
        <v>100</v>
      </c>
      <c r="AE220" s="166" t="s">
        <v>404</v>
      </c>
      <c r="AF220" s="174" t="s">
        <v>327</v>
      </c>
      <c r="AG220" s="202" t="s">
        <v>496</v>
      </c>
      <c r="AH220" s="172" t="s">
        <v>166</v>
      </c>
      <c r="AI220" s="34"/>
      <c r="AN220" s="25"/>
      <c r="AO220" s="25"/>
      <c r="AR220" s="25"/>
      <c r="AS220" s="25"/>
      <c r="AT220" s="25"/>
    </row>
    <row r="221" spans="1:46" ht="22.5" hidden="1">
      <c r="A221" s="31">
        <v>1</v>
      </c>
      <c r="B221" s="165" t="s">
        <v>405</v>
      </c>
      <c r="C221" s="166">
        <v>-0.2</v>
      </c>
      <c r="D221" s="166">
        <v>26</v>
      </c>
      <c r="E221" s="166">
        <v>-0.3</v>
      </c>
      <c r="F221" s="166">
        <v>26</v>
      </c>
      <c r="G221" s="167">
        <v>20</v>
      </c>
      <c r="H221" s="168">
        <v>0.01</v>
      </c>
      <c r="I221" s="166">
        <v>20</v>
      </c>
      <c r="J221" s="167">
        <v>500</v>
      </c>
      <c r="K221" s="166">
        <v>1</v>
      </c>
      <c r="L221" s="167">
        <v>84</v>
      </c>
      <c r="M221" s="166">
        <v>12</v>
      </c>
      <c r="N221" s="167">
        <v>87.95880017344075</v>
      </c>
      <c r="O221" s="166">
        <v>5</v>
      </c>
      <c r="P221" s="166">
        <v>2.7</v>
      </c>
      <c r="Q221" s="166">
        <v>5.5</v>
      </c>
      <c r="R221" s="166">
        <v>0.45</v>
      </c>
      <c r="S221" s="166">
        <v>80</v>
      </c>
      <c r="T221" s="166" t="s">
        <v>68</v>
      </c>
      <c r="U221" s="167">
        <v>350</v>
      </c>
      <c r="V221" s="166">
        <v>2</v>
      </c>
      <c r="W221" s="166">
        <v>5</v>
      </c>
      <c r="X221" s="166">
        <v>-0.05</v>
      </c>
      <c r="Y221" s="166" t="s">
        <v>68</v>
      </c>
      <c r="Z221" s="166" t="s">
        <v>68</v>
      </c>
      <c r="AA221" s="166" t="s">
        <v>68</v>
      </c>
      <c r="AB221" s="170" t="s">
        <v>43</v>
      </c>
      <c r="AC221" s="170" t="s">
        <v>44</v>
      </c>
      <c r="AD221" s="170" t="s">
        <v>99</v>
      </c>
      <c r="AE221" s="166" t="s">
        <v>381</v>
      </c>
      <c r="AF221" s="171" t="s">
        <v>327</v>
      </c>
      <c r="AG221" s="201" t="s">
        <v>496</v>
      </c>
      <c r="AH221" s="173" t="s">
        <v>337</v>
      </c>
      <c r="AI221" s="34"/>
      <c r="AN221" s="25"/>
      <c r="AO221" s="25"/>
      <c r="AR221" s="25"/>
      <c r="AS221" s="25"/>
      <c r="AT221" s="25"/>
    </row>
    <row r="222" spans="1:46" ht="22.5" hidden="1">
      <c r="A222" s="31">
        <v>1</v>
      </c>
      <c r="B222" s="165" t="s">
        <v>457</v>
      </c>
      <c r="C222" s="166">
        <v>-0.2</v>
      </c>
      <c r="D222" s="166">
        <v>26</v>
      </c>
      <c r="E222" s="166">
        <v>-0.3</v>
      </c>
      <c r="F222" s="166">
        <v>26</v>
      </c>
      <c r="G222" s="167">
        <v>20</v>
      </c>
      <c r="H222" s="168">
        <v>0.01</v>
      </c>
      <c r="I222" s="166">
        <v>20</v>
      </c>
      <c r="J222" s="167">
        <v>150</v>
      </c>
      <c r="K222" s="166">
        <v>1</v>
      </c>
      <c r="L222" s="167">
        <v>84</v>
      </c>
      <c r="M222" s="166">
        <v>0</v>
      </c>
      <c r="N222" s="167">
        <v>87.95880017344075</v>
      </c>
      <c r="O222" s="166">
        <v>5</v>
      </c>
      <c r="P222" s="166">
        <v>2.7</v>
      </c>
      <c r="Q222" s="166">
        <v>5.5</v>
      </c>
      <c r="R222" s="166">
        <v>0.45</v>
      </c>
      <c r="S222" s="166">
        <v>80</v>
      </c>
      <c r="T222" s="166" t="s">
        <v>68</v>
      </c>
      <c r="U222" s="167">
        <v>350</v>
      </c>
      <c r="V222" s="166">
        <v>2</v>
      </c>
      <c r="W222" s="166">
        <v>5</v>
      </c>
      <c r="X222" s="166">
        <v>-0.05</v>
      </c>
      <c r="Y222" s="166" t="s">
        <v>68</v>
      </c>
      <c r="Z222" s="166" t="s">
        <v>68</v>
      </c>
      <c r="AA222" s="166" t="s">
        <v>68</v>
      </c>
      <c r="AB222" s="170" t="s">
        <v>43</v>
      </c>
      <c r="AC222" s="170" t="s">
        <v>44</v>
      </c>
      <c r="AD222" s="170" t="s">
        <v>99</v>
      </c>
      <c r="AE222" s="166" t="s">
        <v>381</v>
      </c>
      <c r="AF222" s="171" t="s">
        <v>327</v>
      </c>
      <c r="AG222" s="201" t="s">
        <v>496</v>
      </c>
      <c r="AH222" s="173" t="s">
        <v>337</v>
      </c>
      <c r="AI222" s="34"/>
      <c r="AN222" s="25"/>
      <c r="AO222" s="25"/>
      <c r="AR222" s="25"/>
      <c r="AS222" s="25"/>
      <c r="AT222" s="25"/>
    </row>
    <row r="223" spans="1:46" ht="22.5" hidden="1">
      <c r="A223" s="31">
        <v>1</v>
      </c>
      <c r="B223" s="165" t="s">
        <v>406</v>
      </c>
      <c r="C223" s="166">
        <v>-0.2</v>
      </c>
      <c r="D223" s="166">
        <v>26</v>
      </c>
      <c r="E223" s="166">
        <v>-0.3</v>
      </c>
      <c r="F223" s="166">
        <v>26</v>
      </c>
      <c r="G223" s="167">
        <v>50</v>
      </c>
      <c r="H223" s="168">
        <v>0.01</v>
      </c>
      <c r="I223" s="166">
        <v>20</v>
      </c>
      <c r="J223" s="167">
        <v>500</v>
      </c>
      <c r="K223" s="166">
        <v>1</v>
      </c>
      <c r="L223" s="167">
        <v>84</v>
      </c>
      <c r="M223" s="166">
        <v>12</v>
      </c>
      <c r="N223" s="167">
        <v>87.95880017344075</v>
      </c>
      <c r="O223" s="166">
        <v>5</v>
      </c>
      <c r="P223" s="166">
        <v>2.7</v>
      </c>
      <c r="Q223" s="166">
        <v>5.5</v>
      </c>
      <c r="R223" s="166">
        <v>0.45</v>
      </c>
      <c r="S223" s="166">
        <v>80</v>
      </c>
      <c r="T223" s="166" t="s">
        <v>68</v>
      </c>
      <c r="U223" s="167">
        <v>210</v>
      </c>
      <c r="V223" s="166">
        <v>2</v>
      </c>
      <c r="W223" s="166">
        <v>5</v>
      </c>
      <c r="X223" s="166">
        <v>-0.05</v>
      </c>
      <c r="Y223" s="166" t="s">
        <v>68</v>
      </c>
      <c r="Z223" s="166" t="s">
        <v>68</v>
      </c>
      <c r="AA223" s="166" t="s">
        <v>68</v>
      </c>
      <c r="AB223" s="170" t="s">
        <v>43</v>
      </c>
      <c r="AC223" s="170" t="s">
        <v>44</v>
      </c>
      <c r="AD223" s="170" t="s">
        <v>99</v>
      </c>
      <c r="AE223" s="166" t="s">
        <v>381</v>
      </c>
      <c r="AF223" s="171" t="s">
        <v>327</v>
      </c>
      <c r="AG223" s="201" t="s">
        <v>496</v>
      </c>
      <c r="AH223" s="173" t="s">
        <v>337</v>
      </c>
      <c r="AI223" s="34"/>
      <c r="AN223" s="25"/>
      <c r="AO223" s="25"/>
      <c r="AR223" s="25"/>
      <c r="AS223" s="25"/>
      <c r="AT223" s="25"/>
    </row>
    <row r="224" spans="1:46" ht="22.5" hidden="1">
      <c r="A224" s="31">
        <v>1</v>
      </c>
      <c r="B224" s="165" t="s">
        <v>458</v>
      </c>
      <c r="C224" s="166">
        <v>-0.2</v>
      </c>
      <c r="D224" s="166">
        <v>26</v>
      </c>
      <c r="E224" s="166">
        <v>-0.3</v>
      </c>
      <c r="F224" s="166">
        <v>26</v>
      </c>
      <c r="G224" s="167">
        <v>50</v>
      </c>
      <c r="H224" s="168">
        <v>0.01</v>
      </c>
      <c r="I224" s="166">
        <v>20</v>
      </c>
      <c r="J224" s="167">
        <v>150</v>
      </c>
      <c r="K224" s="166">
        <v>1</v>
      </c>
      <c r="L224" s="167">
        <v>84</v>
      </c>
      <c r="M224" s="166">
        <v>0</v>
      </c>
      <c r="N224" s="167">
        <v>87.95880017344075</v>
      </c>
      <c r="O224" s="166">
        <v>5</v>
      </c>
      <c r="P224" s="166">
        <v>2.7</v>
      </c>
      <c r="Q224" s="166">
        <v>5.5</v>
      </c>
      <c r="R224" s="166">
        <v>0.45</v>
      </c>
      <c r="S224" s="166">
        <v>80</v>
      </c>
      <c r="T224" s="166" t="s">
        <v>68</v>
      </c>
      <c r="U224" s="167">
        <v>210</v>
      </c>
      <c r="V224" s="166">
        <v>2</v>
      </c>
      <c r="W224" s="166">
        <v>5</v>
      </c>
      <c r="X224" s="166">
        <v>-0.05</v>
      </c>
      <c r="Y224" s="166" t="s">
        <v>68</v>
      </c>
      <c r="Z224" s="166" t="s">
        <v>68</v>
      </c>
      <c r="AA224" s="166" t="s">
        <v>68</v>
      </c>
      <c r="AB224" s="170" t="s">
        <v>43</v>
      </c>
      <c r="AC224" s="170" t="s">
        <v>44</v>
      </c>
      <c r="AD224" s="170" t="s">
        <v>99</v>
      </c>
      <c r="AE224" s="166" t="s">
        <v>381</v>
      </c>
      <c r="AF224" s="171" t="s">
        <v>327</v>
      </c>
      <c r="AG224" s="201" t="s">
        <v>496</v>
      </c>
      <c r="AH224" s="173" t="s">
        <v>337</v>
      </c>
      <c r="AI224" s="34"/>
      <c r="AN224" s="25"/>
      <c r="AO224" s="25"/>
      <c r="AR224" s="25"/>
      <c r="AS224" s="25"/>
      <c r="AT224" s="25"/>
    </row>
    <row r="225" spans="1:46" ht="22.5" hidden="1">
      <c r="A225" s="31">
        <v>1</v>
      </c>
      <c r="B225" s="165" t="s">
        <v>407</v>
      </c>
      <c r="C225" s="166">
        <v>-0.2</v>
      </c>
      <c r="D225" s="166">
        <v>26</v>
      </c>
      <c r="E225" s="166">
        <v>-0.3</v>
      </c>
      <c r="F225" s="166">
        <v>26</v>
      </c>
      <c r="G225" s="167">
        <v>100</v>
      </c>
      <c r="H225" s="168">
        <v>0.01</v>
      </c>
      <c r="I225" s="166">
        <v>20</v>
      </c>
      <c r="J225" s="167">
        <v>500</v>
      </c>
      <c r="K225" s="166">
        <v>1</v>
      </c>
      <c r="L225" s="167">
        <v>84</v>
      </c>
      <c r="M225" s="166">
        <v>12</v>
      </c>
      <c r="N225" s="167">
        <v>87.95880017344075</v>
      </c>
      <c r="O225" s="166">
        <v>5</v>
      </c>
      <c r="P225" s="166">
        <v>2.7</v>
      </c>
      <c r="Q225" s="166">
        <v>5.5</v>
      </c>
      <c r="R225" s="166">
        <v>0.45</v>
      </c>
      <c r="S225" s="166">
        <v>80</v>
      </c>
      <c r="T225" s="166" t="s">
        <v>68</v>
      </c>
      <c r="U225" s="167">
        <v>150</v>
      </c>
      <c r="V225" s="166">
        <v>2</v>
      </c>
      <c r="W225" s="166">
        <v>5</v>
      </c>
      <c r="X225" s="166">
        <v>-0.05</v>
      </c>
      <c r="Y225" s="166" t="s">
        <v>68</v>
      </c>
      <c r="Z225" s="166" t="s">
        <v>68</v>
      </c>
      <c r="AA225" s="166" t="s">
        <v>68</v>
      </c>
      <c r="AB225" s="170" t="s">
        <v>43</v>
      </c>
      <c r="AC225" s="170" t="s">
        <v>44</v>
      </c>
      <c r="AD225" s="170" t="s">
        <v>99</v>
      </c>
      <c r="AE225" s="166" t="s">
        <v>381</v>
      </c>
      <c r="AF225" s="171" t="s">
        <v>327</v>
      </c>
      <c r="AG225" s="201" t="s">
        <v>496</v>
      </c>
      <c r="AH225" s="173" t="s">
        <v>337</v>
      </c>
      <c r="AI225" s="34"/>
      <c r="AN225" s="25"/>
      <c r="AO225" s="25"/>
      <c r="AR225" s="25"/>
      <c r="AS225" s="25"/>
      <c r="AT225" s="25"/>
    </row>
    <row r="226" spans="1:46" ht="22.5" hidden="1">
      <c r="A226" s="31">
        <v>1</v>
      </c>
      <c r="B226" s="165" t="s">
        <v>459</v>
      </c>
      <c r="C226" s="166">
        <v>-0.2</v>
      </c>
      <c r="D226" s="166">
        <v>26</v>
      </c>
      <c r="E226" s="166">
        <v>-0.3</v>
      </c>
      <c r="F226" s="166">
        <v>26</v>
      </c>
      <c r="G226" s="167">
        <v>100</v>
      </c>
      <c r="H226" s="168">
        <v>0.01</v>
      </c>
      <c r="I226" s="166">
        <v>20</v>
      </c>
      <c r="J226" s="167">
        <v>150</v>
      </c>
      <c r="K226" s="166">
        <v>1</v>
      </c>
      <c r="L226" s="167">
        <v>84</v>
      </c>
      <c r="M226" s="166">
        <v>0</v>
      </c>
      <c r="N226" s="167">
        <v>87.95880017344075</v>
      </c>
      <c r="O226" s="166">
        <v>5</v>
      </c>
      <c r="P226" s="166">
        <v>2.7</v>
      </c>
      <c r="Q226" s="166">
        <v>5.5</v>
      </c>
      <c r="R226" s="166">
        <v>0.45</v>
      </c>
      <c r="S226" s="166">
        <v>80</v>
      </c>
      <c r="T226" s="166" t="s">
        <v>68</v>
      </c>
      <c r="U226" s="167">
        <v>150</v>
      </c>
      <c r="V226" s="166">
        <v>2</v>
      </c>
      <c r="W226" s="166">
        <v>5</v>
      </c>
      <c r="X226" s="166">
        <v>-0.05</v>
      </c>
      <c r="Y226" s="166" t="s">
        <v>68</v>
      </c>
      <c r="Z226" s="166" t="s">
        <v>68</v>
      </c>
      <c r="AA226" s="166" t="s">
        <v>68</v>
      </c>
      <c r="AB226" s="170" t="s">
        <v>43</v>
      </c>
      <c r="AC226" s="170" t="s">
        <v>44</v>
      </c>
      <c r="AD226" s="170" t="s">
        <v>99</v>
      </c>
      <c r="AE226" s="166" t="s">
        <v>381</v>
      </c>
      <c r="AF226" s="171" t="s">
        <v>327</v>
      </c>
      <c r="AG226" s="201" t="s">
        <v>496</v>
      </c>
      <c r="AH226" s="173" t="s">
        <v>337</v>
      </c>
      <c r="AI226" s="34"/>
      <c r="AN226" s="25"/>
      <c r="AO226" s="25"/>
      <c r="AR226" s="25"/>
      <c r="AS226" s="25"/>
      <c r="AT226" s="25"/>
    </row>
    <row r="227" spans="1:46" ht="22.5" hidden="1">
      <c r="A227" s="31">
        <v>1</v>
      </c>
      <c r="B227" s="165" t="s">
        <v>408</v>
      </c>
      <c r="C227" s="166">
        <v>-0.2</v>
      </c>
      <c r="D227" s="166">
        <v>26</v>
      </c>
      <c r="E227" s="166">
        <v>-0.3</v>
      </c>
      <c r="F227" s="166">
        <v>26</v>
      </c>
      <c r="G227" s="167">
        <v>200</v>
      </c>
      <c r="H227" s="168">
        <v>0.01</v>
      </c>
      <c r="I227" s="166">
        <v>20</v>
      </c>
      <c r="J227" s="167">
        <v>500</v>
      </c>
      <c r="K227" s="166">
        <v>1</v>
      </c>
      <c r="L227" s="167">
        <v>84</v>
      </c>
      <c r="M227" s="166">
        <v>12</v>
      </c>
      <c r="N227" s="167">
        <v>87.95880017344075</v>
      </c>
      <c r="O227" s="166">
        <v>5</v>
      </c>
      <c r="P227" s="166">
        <v>2.7</v>
      </c>
      <c r="Q227" s="166">
        <v>5.5</v>
      </c>
      <c r="R227" s="166">
        <v>0.45</v>
      </c>
      <c r="S227" s="166">
        <v>80</v>
      </c>
      <c r="T227" s="166" t="s">
        <v>68</v>
      </c>
      <c r="U227" s="167">
        <v>105</v>
      </c>
      <c r="V227" s="166">
        <v>2</v>
      </c>
      <c r="W227" s="166">
        <v>5</v>
      </c>
      <c r="X227" s="166">
        <v>-0.05</v>
      </c>
      <c r="Y227" s="166" t="s">
        <v>68</v>
      </c>
      <c r="Z227" s="166" t="s">
        <v>68</v>
      </c>
      <c r="AA227" s="166" t="s">
        <v>68</v>
      </c>
      <c r="AB227" s="170" t="s">
        <v>43</v>
      </c>
      <c r="AC227" s="170" t="s">
        <v>44</v>
      </c>
      <c r="AD227" s="170" t="s">
        <v>99</v>
      </c>
      <c r="AE227" s="166" t="s">
        <v>381</v>
      </c>
      <c r="AF227" s="171" t="s">
        <v>327</v>
      </c>
      <c r="AG227" s="201" t="s">
        <v>496</v>
      </c>
      <c r="AH227" s="173" t="s">
        <v>337</v>
      </c>
      <c r="AI227" s="34"/>
      <c r="AN227" s="25"/>
      <c r="AO227" s="25"/>
      <c r="AR227" s="25"/>
      <c r="AS227" s="25"/>
      <c r="AT227" s="25"/>
    </row>
    <row r="228" spans="1:46" ht="22.5" hidden="1">
      <c r="A228" s="31">
        <v>1</v>
      </c>
      <c r="B228" s="165" t="s">
        <v>460</v>
      </c>
      <c r="C228" s="166">
        <v>-0.2</v>
      </c>
      <c r="D228" s="166">
        <v>26</v>
      </c>
      <c r="E228" s="166">
        <v>-0.3</v>
      </c>
      <c r="F228" s="166">
        <v>26</v>
      </c>
      <c r="G228" s="167">
        <v>200</v>
      </c>
      <c r="H228" s="168">
        <v>0.01</v>
      </c>
      <c r="I228" s="166">
        <v>20</v>
      </c>
      <c r="J228" s="167">
        <v>150</v>
      </c>
      <c r="K228" s="166">
        <v>1</v>
      </c>
      <c r="L228" s="167">
        <v>84</v>
      </c>
      <c r="M228" s="166">
        <v>0</v>
      </c>
      <c r="N228" s="167">
        <v>87.95880017344075</v>
      </c>
      <c r="O228" s="166">
        <v>5</v>
      </c>
      <c r="P228" s="166">
        <v>2.7</v>
      </c>
      <c r="Q228" s="166">
        <v>5.5</v>
      </c>
      <c r="R228" s="166">
        <v>0.45</v>
      </c>
      <c r="S228" s="166">
        <v>80</v>
      </c>
      <c r="T228" s="166" t="s">
        <v>68</v>
      </c>
      <c r="U228" s="167">
        <v>105</v>
      </c>
      <c r="V228" s="166">
        <v>2</v>
      </c>
      <c r="W228" s="166">
        <v>5</v>
      </c>
      <c r="X228" s="166">
        <v>-0.05</v>
      </c>
      <c r="Y228" s="166" t="s">
        <v>68</v>
      </c>
      <c r="Z228" s="166" t="s">
        <v>68</v>
      </c>
      <c r="AA228" s="166" t="s">
        <v>68</v>
      </c>
      <c r="AB228" s="170" t="s">
        <v>43</v>
      </c>
      <c r="AC228" s="170" t="s">
        <v>44</v>
      </c>
      <c r="AD228" s="170" t="s">
        <v>99</v>
      </c>
      <c r="AE228" s="166" t="s">
        <v>381</v>
      </c>
      <c r="AF228" s="171" t="s">
        <v>327</v>
      </c>
      <c r="AG228" s="201" t="s">
        <v>496</v>
      </c>
      <c r="AH228" s="173" t="s">
        <v>337</v>
      </c>
      <c r="AN228" s="25"/>
      <c r="AO228" s="25"/>
      <c r="AR228" s="25"/>
      <c r="AS228" s="25"/>
      <c r="AT228" s="25"/>
    </row>
    <row r="229" spans="1:46" ht="11.25" hidden="1">
      <c r="A229" s="31">
        <v>1</v>
      </c>
      <c r="B229" s="165" t="s">
        <v>429</v>
      </c>
      <c r="C229" s="166">
        <v>-0.2</v>
      </c>
      <c r="D229" s="166">
        <v>26</v>
      </c>
      <c r="E229" s="166">
        <v>-0.3</v>
      </c>
      <c r="F229" s="166">
        <v>26</v>
      </c>
      <c r="G229" s="167">
        <v>20</v>
      </c>
      <c r="H229" s="168">
        <v>8.0000000000000002E-3</v>
      </c>
      <c r="I229" s="166">
        <v>20</v>
      </c>
      <c r="J229" s="167">
        <v>500</v>
      </c>
      <c r="K229" s="166">
        <v>1</v>
      </c>
      <c r="L229" s="167">
        <v>84</v>
      </c>
      <c r="M229" s="166">
        <v>12</v>
      </c>
      <c r="N229" s="167">
        <v>87.95880017344075</v>
      </c>
      <c r="O229" s="166">
        <v>5</v>
      </c>
      <c r="P229" s="166">
        <v>2.7</v>
      </c>
      <c r="Q229" s="166">
        <v>5.5</v>
      </c>
      <c r="R229" s="169">
        <v>1</v>
      </c>
      <c r="S229" s="166">
        <v>80</v>
      </c>
      <c r="T229" s="166" t="s">
        <v>68</v>
      </c>
      <c r="U229" s="167">
        <v>350</v>
      </c>
      <c r="V229" s="166">
        <v>2</v>
      </c>
      <c r="W229" s="166">
        <v>5</v>
      </c>
      <c r="X229" s="166">
        <v>-0.03</v>
      </c>
      <c r="Y229" s="166" t="s">
        <v>68</v>
      </c>
      <c r="Z229" s="166" t="s">
        <v>68</v>
      </c>
      <c r="AA229" s="166" t="s">
        <v>68</v>
      </c>
      <c r="AB229" s="170" t="s">
        <v>43</v>
      </c>
      <c r="AC229" s="170" t="s">
        <v>44</v>
      </c>
      <c r="AD229" s="170" t="s">
        <v>44</v>
      </c>
      <c r="AE229" s="166" t="s">
        <v>403</v>
      </c>
      <c r="AF229" s="171" t="s">
        <v>327</v>
      </c>
      <c r="AG229" s="201" t="s">
        <v>496</v>
      </c>
      <c r="AH229" s="172" t="s">
        <v>164</v>
      </c>
      <c r="AN229" s="25"/>
      <c r="AO229" s="25"/>
      <c r="AR229" s="25"/>
      <c r="AS229" s="25"/>
      <c r="AT229" s="25"/>
    </row>
    <row r="230" spans="1:46" ht="11.25" hidden="1">
      <c r="A230" s="31">
        <v>1</v>
      </c>
      <c r="B230" s="165" t="s">
        <v>461</v>
      </c>
      <c r="C230" s="166">
        <v>-0.2</v>
      </c>
      <c r="D230" s="166">
        <v>26</v>
      </c>
      <c r="E230" s="166">
        <v>-0.3</v>
      </c>
      <c r="F230" s="166">
        <v>26</v>
      </c>
      <c r="G230" s="167">
        <v>20</v>
      </c>
      <c r="H230" s="168">
        <v>8.0000000000000002E-3</v>
      </c>
      <c r="I230" s="166">
        <v>20</v>
      </c>
      <c r="J230" s="167">
        <v>150</v>
      </c>
      <c r="K230" s="166">
        <v>1</v>
      </c>
      <c r="L230" s="167">
        <v>84</v>
      </c>
      <c r="M230" s="166">
        <v>0</v>
      </c>
      <c r="N230" s="167">
        <v>87.95880017344075</v>
      </c>
      <c r="O230" s="166">
        <v>5</v>
      </c>
      <c r="P230" s="166">
        <v>2.7</v>
      </c>
      <c r="Q230" s="166">
        <v>5.5</v>
      </c>
      <c r="R230" s="169">
        <v>1</v>
      </c>
      <c r="S230" s="166">
        <v>80</v>
      </c>
      <c r="T230" s="166" t="s">
        <v>68</v>
      </c>
      <c r="U230" s="167">
        <v>350</v>
      </c>
      <c r="V230" s="166">
        <v>2</v>
      </c>
      <c r="W230" s="166">
        <v>5</v>
      </c>
      <c r="X230" s="166">
        <v>-0.03</v>
      </c>
      <c r="Y230" s="166" t="s">
        <v>68</v>
      </c>
      <c r="Z230" s="166" t="s">
        <v>68</v>
      </c>
      <c r="AA230" s="166" t="s">
        <v>68</v>
      </c>
      <c r="AB230" s="170" t="s">
        <v>43</v>
      </c>
      <c r="AC230" s="170" t="s">
        <v>44</v>
      </c>
      <c r="AD230" s="170" t="s">
        <v>44</v>
      </c>
      <c r="AE230" s="166" t="s">
        <v>403</v>
      </c>
      <c r="AF230" s="171" t="s">
        <v>327</v>
      </c>
      <c r="AG230" s="201" t="s">
        <v>496</v>
      </c>
      <c r="AH230" s="172" t="s">
        <v>164</v>
      </c>
      <c r="AN230" s="25"/>
      <c r="AO230" s="25"/>
      <c r="AR230" s="25"/>
      <c r="AS230" s="25"/>
      <c r="AT230" s="25"/>
    </row>
    <row r="231" spans="1:46" ht="11.25" hidden="1">
      <c r="A231" s="31">
        <v>1</v>
      </c>
      <c r="B231" s="165" t="s">
        <v>430</v>
      </c>
      <c r="C231" s="166">
        <v>-0.2</v>
      </c>
      <c r="D231" s="166">
        <v>26</v>
      </c>
      <c r="E231" s="166">
        <v>-0.3</v>
      </c>
      <c r="F231" s="166">
        <v>26</v>
      </c>
      <c r="G231" s="167">
        <v>50</v>
      </c>
      <c r="H231" s="168">
        <v>8.0000000000000002E-3</v>
      </c>
      <c r="I231" s="166">
        <v>20</v>
      </c>
      <c r="J231" s="167">
        <v>500</v>
      </c>
      <c r="K231" s="166">
        <v>1</v>
      </c>
      <c r="L231" s="167">
        <v>84</v>
      </c>
      <c r="M231" s="166">
        <v>12</v>
      </c>
      <c r="N231" s="167">
        <v>87.95880017344075</v>
      </c>
      <c r="O231" s="166">
        <v>5</v>
      </c>
      <c r="P231" s="166">
        <v>2.7</v>
      </c>
      <c r="Q231" s="166">
        <v>5.5</v>
      </c>
      <c r="R231" s="169">
        <v>1</v>
      </c>
      <c r="S231" s="166">
        <v>80</v>
      </c>
      <c r="T231" s="166" t="s">
        <v>68</v>
      </c>
      <c r="U231" s="167">
        <v>210</v>
      </c>
      <c r="V231" s="166">
        <v>2</v>
      </c>
      <c r="W231" s="166">
        <v>5</v>
      </c>
      <c r="X231" s="166">
        <v>-0.03</v>
      </c>
      <c r="Y231" s="166" t="s">
        <v>68</v>
      </c>
      <c r="Z231" s="166" t="s">
        <v>68</v>
      </c>
      <c r="AA231" s="166" t="s">
        <v>68</v>
      </c>
      <c r="AB231" s="170" t="s">
        <v>43</v>
      </c>
      <c r="AC231" s="170" t="s">
        <v>44</v>
      </c>
      <c r="AD231" s="170" t="s">
        <v>44</v>
      </c>
      <c r="AE231" s="166" t="s">
        <v>403</v>
      </c>
      <c r="AF231" s="171" t="s">
        <v>327</v>
      </c>
      <c r="AG231" s="201" t="s">
        <v>496</v>
      </c>
      <c r="AH231" s="172" t="s">
        <v>164</v>
      </c>
      <c r="AN231" s="25"/>
      <c r="AO231" s="25"/>
      <c r="AR231" s="25"/>
      <c r="AS231" s="25"/>
      <c r="AT231" s="25"/>
    </row>
    <row r="232" spans="1:46" ht="11.25" hidden="1">
      <c r="A232" s="31">
        <v>1</v>
      </c>
      <c r="B232" s="165" t="s">
        <v>462</v>
      </c>
      <c r="C232" s="166">
        <v>-0.2</v>
      </c>
      <c r="D232" s="166">
        <v>26</v>
      </c>
      <c r="E232" s="166">
        <v>-0.3</v>
      </c>
      <c r="F232" s="166">
        <v>26</v>
      </c>
      <c r="G232" s="167">
        <v>50</v>
      </c>
      <c r="H232" s="168">
        <v>8.0000000000000002E-3</v>
      </c>
      <c r="I232" s="166">
        <v>20</v>
      </c>
      <c r="J232" s="167">
        <v>150</v>
      </c>
      <c r="K232" s="166">
        <v>1</v>
      </c>
      <c r="L232" s="167">
        <v>84</v>
      </c>
      <c r="M232" s="166">
        <v>0</v>
      </c>
      <c r="N232" s="167">
        <v>87.95880017344075</v>
      </c>
      <c r="O232" s="166">
        <v>5</v>
      </c>
      <c r="P232" s="166">
        <v>2.7</v>
      </c>
      <c r="Q232" s="166">
        <v>5.5</v>
      </c>
      <c r="R232" s="169">
        <v>1</v>
      </c>
      <c r="S232" s="166">
        <v>80</v>
      </c>
      <c r="T232" s="166" t="s">
        <v>68</v>
      </c>
      <c r="U232" s="167">
        <v>210</v>
      </c>
      <c r="V232" s="166">
        <v>2</v>
      </c>
      <c r="W232" s="166">
        <v>5</v>
      </c>
      <c r="X232" s="166">
        <v>-0.03</v>
      </c>
      <c r="Y232" s="166" t="s">
        <v>68</v>
      </c>
      <c r="Z232" s="166" t="s">
        <v>68</v>
      </c>
      <c r="AA232" s="166" t="s">
        <v>68</v>
      </c>
      <c r="AB232" s="170" t="s">
        <v>43</v>
      </c>
      <c r="AC232" s="170" t="s">
        <v>44</v>
      </c>
      <c r="AD232" s="170" t="s">
        <v>44</v>
      </c>
      <c r="AE232" s="166" t="s">
        <v>403</v>
      </c>
      <c r="AF232" s="171" t="s">
        <v>327</v>
      </c>
      <c r="AG232" s="201" t="s">
        <v>496</v>
      </c>
      <c r="AH232" s="172" t="s">
        <v>164</v>
      </c>
      <c r="AN232" s="25"/>
      <c r="AO232" s="25"/>
      <c r="AR232" s="25"/>
      <c r="AS232" s="25"/>
      <c r="AT232" s="25"/>
    </row>
    <row r="233" spans="1:46" ht="11.25" hidden="1">
      <c r="A233" s="31">
        <v>1</v>
      </c>
      <c r="B233" s="165" t="s">
        <v>431</v>
      </c>
      <c r="C233" s="166">
        <v>-0.2</v>
      </c>
      <c r="D233" s="166">
        <v>26</v>
      </c>
      <c r="E233" s="166">
        <v>-0.3</v>
      </c>
      <c r="F233" s="166">
        <v>26</v>
      </c>
      <c r="G233" s="167">
        <v>100</v>
      </c>
      <c r="H233" s="168">
        <v>8.0000000000000002E-3</v>
      </c>
      <c r="I233" s="166">
        <v>20</v>
      </c>
      <c r="J233" s="167">
        <v>500</v>
      </c>
      <c r="K233" s="166">
        <v>1</v>
      </c>
      <c r="L233" s="167">
        <v>84</v>
      </c>
      <c r="M233" s="166">
        <v>12</v>
      </c>
      <c r="N233" s="167">
        <v>87.95880017344075</v>
      </c>
      <c r="O233" s="166">
        <v>5</v>
      </c>
      <c r="P233" s="166">
        <v>2.7</v>
      </c>
      <c r="Q233" s="166">
        <v>5.5</v>
      </c>
      <c r="R233" s="169">
        <v>1</v>
      </c>
      <c r="S233" s="166">
        <v>80</v>
      </c>
      <c r="T233" s="166" t="s">
        <v>68</v>
      </c>
      <c r="U233" s="167">
        <v>150</v>
      </c>
      <c r="V233" s="166">
        <v>2</v>
      </c>
      <c r="W233" s="166">
        <v>5</v>
      </c>
      <c r="X233" s="166">
        <v>-0.03</v>
      </c>
      <c r="Y233" s="166" t="s">
        <v>68</v>
      </c>
      <c r="Z233" s="166" t="s">
        <v>68</v>
      </c>
      <c r="AA233" s="166" t="s">
        <v>68</v>
      </c>
      <c r="AB233" s="170" t="s">
        <v>43</v>
      </c>
      <c r="AC233" s="170" t="s">
        <v>44</v>
      </c>
      <c r="AD233" s="170" t="s">
        <v>44</v>
      </c>
      <c r="AE233" s="166" t="s">
        <v>403</v>
      </c>
      <c r="AF233" s="171" t="s">
        <v>327</v>
      </c>
      <c r="AG233" s="201" t="s">
        <v>496</v>
      </c>
      <c r="AH233" s="172" t="s">
        <v>164</v>
      </c>
      <c r="AN233" s="25"/>
      <c r="AO233" s="25"/>
      <c r="AR233" s="25"/>
      <c r="AS233" s="25"/>
      <c r="AT233" s="25"/>
    </row>
    <row r="234" spans="1:46" ht="11.25" hidden="1">
      <c r="A234" s="31">
        <v>1</v>
      </c>
      <c r="B234" s="165" t="s">
        <v>463</v>
      </c>
      <c r="C234" s="166">
        <v>-0.2</v>
      </c>
      <c r="D234" s="166">
        <v>26</v>
      </c>
      <c r="E234" s="166">
        <v>-0.3</v>
      </c>
      <c r="F234" s="166">
        <v>26</v>
      </c>
      <c r="G234" s="167">
        <v>100</v>
      </c>
      <c r="H234" s="168">
        <v>8.0000000000000002E-3</v>
      </c>
      <c r="I234" s="166">
        <v>20</v>
      </c>
      <c r="J234" s="167">
        <v>150</v>
      </c>
      <c r="K234" s="166">
        <v>1</v>
      </c>
      <c r="L234" s="167">
        <v>84</v>
      </c>
      <c r="M234" s="166">
        <v>0</v>
      </c>
      <c r="N234" s="167">
        <v>87.95880017344075</v>
      </c>
      <c r="O234" s="166">
        <v>5</v>
      </c>
      <c r="P234" s="166">
        <v>2.7</v>
      </c>
      <c r="Q234" s="166">
        <v>5.5</v>
      </c>
      <c r="R234" s="169">
        <v>1</v>
      </c>
      <c r="S234" s="166">
        <v>80</v>
      </c>
      <c r="T234" s="166" t="s">
        <v>68</v>
      </c>
      <c r="U234" s="167">
        <v>150</v>
      </c>
      <c r="V234" s="166">
        <v>2</v>
      </c>
      <c r="W234" s="166">
        <v>5</v>
      </c>
      <c r="X234" s="166">
        <v>-0.03</v>
      </c>
      <c r="Y234" s="166" t="s">
        <v>68</v>
      </c>
      <c r="Z234" s="166" t="s">
        <v>68</v>
      </c>
      <c r="AA234" s="166" t="s">
        <v>68</v>
      </c>
      <c r="AB234" s="170" t="s">
        <v>43</v>
      </c>
      <c r="AC234" s="170" t="s">
        <v>44</v>
      </c>
      <c r="AD234" s="170" t="s">
        <v>44</v>
      </c>
      <c r="AE234" s="166" t="s">
        <v>403</v>
      </c>
      <c r="AF234" s="171" t="s">
        <v>327</v>
      </c>
      <c r="AG234" s="201" t="s">
        <v>496</v>
      </c>
      <c r="AH234" s="172" t="s">
        <v>164</v>
      </c>
      <c r="AN234" s="25"/>
      <c r="AO234" s="25"/>
      <c r="AR234" s="25"/>
      <c r="AS234" s="25"/>
      <c r="AT234" s="25"/>
    </row>
    <row r="235" spans="1:46" ht="11.25" hidden="1">
      <c r="A235" s="31">
        <v>1</v>
      </c>
      <c r="B235" s="165" t="s">
        <v>432</v>
      </c>
      <c r="C235" s="166">
        <v>-0.2</v>
      </c>
      <c r="D235" s="166">
        <v>26</v>
      </c>
      <c r="E235" s="166">
        <v>-0.3</v>
      </c>
      <c r="F235" s="166">
        <v>26</v>
      </c>
      <c r="G235" s="167">
        <v>200</v>
      </c>
      <c r="H235" s="168">
        <v>8.0000000000000002E-3</v>
      </c>
      <c r="I235" s="166">
        <v>20</v>
      </c>
      <c r="J235" s="167">
        <v>500</v>
      </c>
      <c r="K235" s="166">
        <v>1</v>
      </c>
      <c r="L235" s="167">
        <v>84</v>
      </c>
      <c r="M235" s="166">
        <v>12</v>
      </c>
      <c r="N235" s="167">
        <v>87.95880017344075</v>
      </c>
      <c r="O235" s="166">
        <v>5</v>
      </c>
      <c r="P235" s="166">
        <v>2.7</v>
      </c>
      <c r="Q235" s="166">
        <v>5.5</v>
      </c>
      <c r="R235" s="169">
        <v>1</v>
      </c>
      <c r="S235" s="166">
        <v>80</v>
      </c>
      <c r="T235" s="166" t="s">
        <v>68</v>
      </c>
      <c r="U235" s="167">
        <v>105</v>
      </c>
      <c r="V235" s="166">
        <v>2</v>
      </c>
      <c r="W235" s="166">
        <v>5</v>
      </c>
      <c r="X235" s="166">
        <v>-0.03</v>
      </c>
      <c r="Y235" s="166" t="s">
        <v>68</v>
      </c>
      <c r="Z235" s="166" t="s">
        <v>68</v>
      </c>
      <c r="AA235" s="166" t="s">
        <v>68</v>
      </c>
      <c r="AB235" s="170" t="s">
        <v>43</v>
      </c>
      <c r="AC235" s="170" t="s">
        <v>44</v>
      </c>
      <c r="AD235" s="170" t="s">
        <v>44</v>
      </c>
      <c r="AE235" s="166" t="s">
        <v>403</v>
      </c>
      <c r="AF235" s="171" t="s">
        <v>327</v>
      </c>
      <c r="AG235" s="201" t="s">
        <v>496</v>
      </c>
      <c r="AH235" s="172" t="s">
        <v>164</v>
      </c>
      <c r="AN235" s="25"/>
      <c r="AO235" s="25"/>
      <c r="AR235" s="25"/>
      <c r="AS235" s="25"/>
      <c r="AT235" s="25"/>
    </row>
    <row r="236" spans="1:46" ht="11.25" hidden="1">
      <c r="A236" s="31">
        <v>1</v>
      </c>
      <c r="B236" s="165" t="s">
        <v>464</v>
      </c>
      <c r="C236" s="166">
        <v>-0.2</v>
      </c>
      <c r="D236" s="166">
        <v>26</v>
      </c>
      <c r="E236" s="166">
        <v>-0.3</v>
      </c>
      <c r="F236" s="166">
        <v>26</v>
      </c>
      <c r="G236" s="167">
        <v>200</v>
      </c>
      <c r="H236" s="168">
        <v>8.0000000000000002E-3</v>
      </c>
      <c r="I236" s="166">
        <v>20</v>
      </c>
      <c r="J236" s="167">
        <v>150</v>
      </c>
      <c r="K236" s="166">
        <v>1</v>
      </c>
      <c r="L236" s="167">
        <v>84</v>
      </c>
      <c r="M236" s="166">
        <v>0</v>
      </c>
      <c r="N236" s="167">
        <v>87.95880017344075</v>
      </c>
      <c r="O236" s="166">
        <v>5</v>
      </c>
      <c r="P236" s="166">
        <v>2.7</v>
      </c>
      <c r="Q236" s="166">
        <v>5.5</v>
      </c>
      <c r="R236" s="169">
        <v>1</v>
      </c>
      <c r="S236" s="166">
        <v>80</v>
      </c>
      <c r="T236" s="166" t="s">
        <v>68</v>
      </c>
      <c r="U236" s="167">
        <v>105</v>
      </c>
      <c r="V236" s="166">
        <v>2</v>
      </c>
      <c r="W236" s="166">
        <v>5</v>
      </c>
      <c r="X236" s="166">
        <v>-0.03</v>
      </c>
      <c r="Y236" s="166" t="s">
        <v>68</v>
      </c>
      <c r="Z236" s="166" t="s">
        <v>68</v>
      </c>
      <c r="AA236" s="166" t="s">
        <v>68</v>
      </c>
      <c r="AB236" s="170" t="s">
        <v>43</v>
      </c>
      <c r="AC236" s="170" t="s">
        <v>44</v>
      </c>
      <c r="AD236" s="170" t="s">
        <v>44</v>
      </c>
      <c r="AE236" s="166" t="s">
        <v>403</v>
      </c>
      <c r="AF236" s="171" t="s">
        <v>327</v>
      </c>
      <c r="AG236" s="201" t="s">
        <v>496</v>
      </c>
      <c r="AH236" s="172" t="s">
        <v>164</v>
      </c>
      <c r="AN236" s="25"/>
      <c r="AO236" s="25"/>
      <c r="AR236" s="25"/>
      <c r="AS236" s="25"/>
      <c r="AT236" s="25"/>
    </row>
    <row r="237" spans="1:46" ht="11.25" hidden="1">
      <c r="A237" s="31">
        <v>1</v>
      </c>
      <c r="B237" s="165" t="s">
        <v>433</v>
      </c>
      <c r="C237" s="166">
        <v>-0.2</v>
      </c>
      <c r="D237" s="166">
        <v>26</v>
      </c>
      <c r="E237" s="166">
        <v>-0.3</v>
      </c>
      <c r="F237" s="166">
        <v>26</v>
      </c>
      <c r="G237" s="167">
        <v>20</v>
      </c>
      <c r="H237" s="168">
        <v>8.0000000000000002E-3</v>
      </c>
      <c r="I237" s="166">
        <v>20</v>
      </c>
      <c r="J237" s="167">
        <v>500</v>
      </c>
      <c r="K237" s="166">
        <v>1</v>
      </c>
      <c r="L237" s="167">
        <v>84</v>
      </c>
      <c r="M237" s="166">
        <v>12</v>
      </c>
      <c r="N237" s="167">
        <v>87.95880017344075</v>
      </c>
      <c r="O237" s="166">
        <v>5</v>
      </c>
      <c r="P237" s="166">
        <v>2.7</v>
      </c>
      <c r="Q237" s="166">
        <v>5.5</v>
      </c>
      <c r="R237" s="169">
        <v>1</v>
      </c>
      <c r="S237" s="166">
        <v>80</v>
      </c>
      <c r="T237" s="166" t="s">
        <v>68</v>
      </c>
      <c r="U237" s="167">
        <v>350</v>
      </c>
      <c r="V237" s="166">
        <v>2</v>
      </c>
      <c r="W237" s="166">
        <v>5</v>
      </c>
      <c r="X237" s="166">
        <v>-0.03</v>
      </c>
      <c r="Y237" s="166" t="s">
        <v>68</v>
      </c>
      <c r="Z237" s="166" t="s">
        <v>68</v>
      </c>
      <c r="AA237" s="166" t="s">
        <v>68</v>
      </c>
      <c r="AB237" s="170" t="s">
        <v>43</v>
      </c>
      <c r="AC237" s="170" t="s">
        <v>43</v>
      </c>
      <c r="AD237" s="170" t="s">
        <v>44</v>
      </c>
      <c r="AE237" s="166" t="s">
        <v>403</v>
      </c>
      <c r="AF237" s="171" t="s">
        <v>327</v>
      </c>
      <c r="AG237" s="201" t="s">
        <v>496</v>
      </c>
      <c r="AH237" s="172" t="s">
        <v>385</v>
      </c>
      <c r="AN237" s="25"/>
      <c r="AO237" s="25"/>
      <c r="AR237" s="25"/>
      <c r="AS237" s="25"/>
      <c r="AT237" s="25"/>
    </row>
    <row r="238" spans="1:46" ht="11.25" hidden="1">
      <c r="A238" s="31">
        <v>1</v>
      </c>
      <c r="B238" s="165" t="s">
        <v>465</v>
      </c>
      <c r="C238" s="166">
        <v>-0.2</v>
      </c>
      <c r="D238" s="166">
        <v>26</v>
      </c>
      <c r="E238" s="166">
        <v>-0.3</v>
      </c>
      <c r="F238" s="166">
        <v>26</v>
      </c>
      <c r="G238" s="167">
        <v>20</v>
      </c>
      <c r="H238" s="168">
        <v>8.0000000000000002E-3</v>
      </c>
      <c r="I238" s="166">
        <v>20</v>
      </c>
      <c r="J238" s="167">
        <v>150</v>
      </c>
      <c r="K238" s="166">
        <v>1</v>
      </c>
      <c r="L238" s="167">
        <v>84</v>
      </c>
      <c r="M238" s="166">
        <v>0</v>
      </c>
      <c r="N238" s="167">
        <v>87.95880017344075</v>
      </c>
      <c r="O238" s="166">
        <v>5</v>
      </c>
      <c r="P238" s="166">
        <v>2.7</v>
      </c>
      <c r="Q238" s="166">
        <v>5.5</v>
      </c>
      <c r="R238" s="169">
        <v>1</v>
      </c>
      <c r="S238" s="166">
        <v>80</v>
      </c>
      <c r="T238" s="166" t="s">
        <v>68</v>
      </c>
      <c r="U238" s="167">
        <v>350</v>
      </c>
      <c r="V238" s="166">
        <v>2</v>
      </c>
      <c r="W238" s="166">
        <v>5</v>
      </c>
      <c r="X238" s="166">
        <v>-0.03</v>
      </c>
      <c r="Y238" s="166" t="s">
        <v>68</v>
      </c>
      <c r="Z238" s="166" t="s">
        <v>68</v>
      </c>
      <c r="AA238" s="166" t="s">
        <v>68</v>
      </c>
      <c r="AB238" s="170" t="s">
        <v>43</v>
      </c>
      <c r="AC238" s="170" t="s">
        <v>43</v>
      </c>
      <c r="AD238" s="170" t="s">
        <v>44</v>
      </c>
      <c r="AE238" s="166" t="s">
        <v>403</v>
      </c>
      <c r="AF238" s="171" t="s">
        <v>327</v>
      </c>
      <c r="AG238" s="201" t="s">
        <v>496</v>
      </c>
      <c r="AH238" s="172" t="s">
        <v>385</v>
      </c>
      <c r="AN238" s="25"/>
      <c r="AO238" s="25"/>
      <c r="AR238" s="25"/>
      <c r="AS238" s="25"/>
      <c r="AT238" s="25"/>
    </row>
    <row r="239" spans="1:46" ht="11.25" hidden="1">
      <c r="A239" s="31">
        <v>1</v>
      </c>
      <c r="B239" s="165" t="s">
        <v>434</v>
      </c>
      <c r="C239" s="166">
        <v>-0.2</v>
      </c>
      <c r="D239" s="166">
        <v>26</v>
      </c>
      <c r="E239" s="166">
        <v>-0.3</v>
      </c>
      <c r="F239" s="166">
        <v>26</v>
      </c>
      <c r="G239" s="167">
        <v>50</v>
      </c>
      <c r="H239" s="168">
        <v>8.0000000000000002E-3</v>
      </c>
      <c r="I239" s="166">
        <v>20</v>
      </c>
      <c r="J239" s="167">
        <v>500</v>
      </c>
      <c r="K239" s="166">
        <v>1</v>
      </c>
      <c r="L239" s="167">
        <v>84</v>
      </c>
      <c r="M239" s="166">
        <v>12</v>
      </c>
      <c r="N239" s="167">
        <v>87.95880017344075</v>
      </c>
      <c r="O239" s="166">
        <v>5</v>
      </c>
      <c r="P239" s="166">
        <v>2.7</v>
      </c>
      <c r="Q239" s="166">
        <v>5.5</v>
      </c>
      <c r="R239" s="169">
        <v>1</v>
      </c>
      <c r="S239" s="166">
        <v>80</v>
      </c>
      <c r="T239" s="166" t="s">
        <v>68</v>
      </c>
      <c r="U239" s="167">
        <v>210</v>
      </c>
      <c r="V239" s="166">
        <v>2</v>
      </c>
      <c r="W239" s="166">
        <v>5</v>
      </c>
      <c r="X239" s="166">
        <v>-0.03</v>
      </c>
      <c r="Y239" s="166" t="s">
        <v>68</v>
      </c>
      <c r="Z239" s="166" t="s">
        <v>68</v>
      </c>
      <c r="AA239" s="166" t="s">
        <v>68</v>
      </c>
      <c r="AB239" s="170" t="s">
        <v>43</v>
      </c>
      <c r="AC239" s="170" t="s">
        <v>43</v>
      </c>
      <c r="AD239" s="170" t="s">
        <v>44</v>
      </c>
      <c r="AE239" s="166" t="s">
        <v>403</v>
      </c>
      <c r="AF239" s="171" t="s">
        <v>327</v>
      </c>
      <c r="AG239" s="201" t="s">
        <v>496</v>
      </c>
      <c r="AH239" s="172" t="s">
        <v>385</v>
      </c>
      <c r="AN239" s="25"/>
      <c r="AO239" s="25"/>
      <c r="AR239" s="25"/>
      <c r="AS239" s="25"/>
      <c r="AT239" s="25"/>
    </row>
    <row r="240" spans="1:46" ht="11.25" hidden="1">
      <c r="A240" s="31">
        <v>1</v>
      </c>
      <c r="B240" s="165" t="s">
        <v>466</v>
      </c>
      <c r="C240" s="166">
        <v>-0.2</v>
      </c>
      <c r="D240" s="166">
        <v>26</v>
      </c>
      <c r="E240" s="166">
        <v>-0.3</v>
      </c>
      <c r="F240" s="166">
        <v>26</v>
      </c>
      <c r="G240" s="167">
        <v>50</v>
      </c>
      <c r="H240" s="168">
        <v>8.0000000000000002E-3</v>
      </c>
      <c r="I240" s="166">
        <v>20</v>
      </c>
      <c r="J240" s="167">
        <v>150</v>
      </c>
      <c r="K240" s="166">
        <v>1</v>
      </c>
      <c r="L240" s="167">
        <v>84</v>
      </c>
      <c r="M240" s="166">
        <v>0</v>
      </c>
      <c r="N240" s="167">
        <v>87.95880017344075</v>
      </c>
      <c r="O240" s="166">
        <v>5</v>
      </c>
      <c r="P240" s="166">
        <v>2.7</v>
      </c>
      <c r="Q240" s="166">
        <v>5.5</v>
      </c>
      <c r="R240" s="169">
        <v>1</v>
      </c>
      <c r="S240" s="166">
        <v>80</v>
      </c>
      <c r="T240" s="166" t="s">
        <v>68</v>
      </c>
      <c r="U240" s="167">
        <v>210</v>
      </c>
      <c r="V240" s="166">
        <v>2</v>
      </c>
      <c r="W240" s="166">
        <v>5</v>
      </c>
      <c r="X240" s="166">
        <v>-0.03</v>
      </c>
      <c r="Y240" s="166" t="s">
        <v>68</v>
      </c>
      <c r="Z240" s="166" t="s">
        <v>68</v>
      </c>
      <c r="AA240" s="166" t="s">
        <v>68</v>
      </c>
      <c r="AB240" s="170" t="s">
        <v>43</v>
      </c>
      <c r="AC240" s="170" t="s">
        <v>43</v>
      </c>
      <c r="AD240" s="170" t="s">
        <v>44</v>
      </c>
      <c r="AE240" s="166" t="s">
        <v>403</v>
      </c>
      <c r="AF240" s="171" t="s">
        <v>327</v>
      </c>
      <c r="AG240" s="201" t="s">
        <v>496</v>
      </c>
      <c r="AH240" s="172" t="s">
        <v>385</v>
      </c>
      <c r="AN240" s="25"/>
      <c r="AO240" s="25"/>
      <c r="AR240" s="25"/>
      <c r="AS240" s="25"/>
      <c r="AT240" s="25"/>
    </row>
    <row r="241" spans="1:46" ht="11.25" hidden="1">
      <c r="A241" s="31">
        <v>1</v>
      </c>
      <c r="B241" s="165" t="s">
        <v>435</v>
      </c>
      <c r="C241" s="166">
        <v>-0.2</v>
      </c>
      <c r="D241" s="166">
        <v>26</v>
      </c>
      <c r="E241" s="166">
        <v>-0.3</v>
      </c>
      <c r="F241" s="166">
        <v>26</v>
      </c>
      <c r="G241" s="167">
        <v>100</v>
      </c>
      <c r="H241" s="168">
        <v>8.0000000000000002E-3</v>
      </c>
      <c r="I241" s="166">
        <v>20</v>
      </c>
      <c r="J241" s="167">
        <v>500</v>
      </c>
      <c r="K241" s="166">
        <v>1</v>
      </c>
      <c r="L241" s="167">
        <v>84</v>
      </c>
      <c r="M241" s="166">
        <v>12</v>
      </c>
      <c r="N241" s="167">
        <v>87.95880017344075</v>
      </c>
      <c r="O241" s="166">
        <v>5</v>
      </c>
      <c r="P241" s="166">
        <v>2.7</v>
      </c>
      <c r="Q241" s="166">
        <v>5.5</v>
      </c>
      <c r="R241" s="169">
        <v>1</v>
      </c>
      <c r="S241" s="166">
        <v>80</v>
      </c>
      <c r="T241" s="166" t="s">
        <v>68</v>
      </c>
      <c r="U241" s="167">
        <v>150</v>
      </c>
      <c r="V241" s="166">
        <v>2</v>
      </c>
      <c r="W241" s="166">
        <v>5</v>
      </c>
      <c r="X241" s="166">
        <v>-0.03</v>
      </c>
      <c r="Y241" s="166" t="s">
        <v>68</v>
      </c>
      <c r="Z241" s="166" t="s">
        <v>68</v>
      </c>
      <c r="AA241" s="166" t="s">
        <v>68</v>
      </c>
      <c r="AB241" s="170" t="s">
        <v>43</v>
      </c>
      <c r="AC241" s="170" t="s">
        <v>43</v>
      </c>
      <c r="AD241" s="170" t="s">
        <v>44</v>
      </c>
      <c r="AE241" s="166" t="s">
        <v>403</v>
      </c>
      <c r="AF241" s="171" t="s">
        <v>327</v>
      </c>
      <c r="AG241" s="201" t="s">
        <v>496</v>
      </c>
      <c r="AH241" s="172" t="s">
        <v>385</v>
      </c>
      <c r="AN241" s="25"/>
      <c r="AO241" s="25"/>
      <c r="AR241" s="25"/>
      <c r="AS241" s="25"/>
      <c r="AT241" s="25"/>
    </row>
    <row r="242" spans="1:46" ht="11.25" hidden="1">
      <c r="A242" s="31">
        <v>1</v>
      </c>
      <c r="B242" s="165" t="s">
        <v>467</v>
      </c>
      <c r="C242" s="166">
        <v>-0.2</v>
      </c>
      <c r="D242" s="166">
        <v>26</v>
      </c>
      <c r="E242" s="166">
        <v>-0.3</v>
      </c>
      <c r="F242" s="166">
        <v>26</v>
      </c>
      <c r="G242" s="167">
        <v>100</v>
      </c>
      <c r="H242" s="168">
        <v>8.0000000000000002E-3</v>
      </c>
      <c r="I242" s="166">
        <v>20</v>
      </c>
      <c r="J242" s="167">
        <v>150</v>
      </c>
      <c r="K242" s="166">
        <v>1</v>
      </c>
      <c r="L242" s="167">
        <v>84</v>
      </c>
      <c r="M242" s="166">
        <v>0</v>
      </c>
      <c r="N242" s="167">
        <v>87.95880017344075</v>
      </c>
      <c r="O242" s="166">
        <v>5</v>
      </c>
      <c r="P242" s="166">
        <v>2.7</v>
      </c>
      <c r="Q242" s="166">
        <v>5.5</v>
      </c>
      <c r="R242" s="169">
        <v>1</v>
      </c>
      <c r="S242" s="166">
        <v>80</v>
      </c>
      <c r="T242" s="166" t="s">
        <v>68</v>
      </c>
      <c r="U242" s="167">
        <v>150</v>
      </c>
      <c r="V242" s="166">
        <v>2</v>
      </c>
      <c r="W242" s="166">
        <v>5</v>
      </c>
      <c r="X242" s="166">
        <v>-0.03</v>
      </c>
      <c r="Y242" s="166" t="s">
        <v>68</v>
      </c>
      <c r="Z242" s="166" t="s">
        <v>68</v>
      </c>
      <c r="AA242" s="166" t="s">
        <v>68</v>
      </c>
      <c r="AB242" s="170" t="s">
        <v>43</v>
      </c>
      <c r="AC242" s="170" t="s">
        <v>43</v>
      </c>
      <c r="AD242" s="170" t="s">
        <v>44</v>
      </c>
      <c r="AE242" s="166" t="s">
        <v>403</v>
      </c>
      <c r="AF242" s="171" t="s">
        <v>327</v>
      </c>
      <c r="AG242" s="201" t="s">
        <v>496</v>
      </c>
      <c r="AH242" s="172" t="s">
        <v>385</v>
      </c>
      <c r="AN242" s="25"/>
      <c r="AO242" s="25"/>
      <c r="AR242" s="25"/>
      <c r="AS242" s="25"/>
      <c r="AT242" s="25"/>
    </row>
    <row r="243" spans="1:46" ht="11.25" hidden="1">
      <c r="A243" s="31">
        <v>1</v>
      </c>
      <c r="B243" s="165" t="s">
        <v>436</v>
      </c>
      <c r="C243" s="166">
        <v>-0.2</v>
      </c>
      <c r="D243" s="166">
        <v>26</v>
      </c>
      <c r="E243" s="166">
        <v>-0.3</v>
      </c>
      <c r="F243" s="166">
        <v>26</v>
      </c>
      <c r="G243" s="167">
        <v>200</v>
      </c>
      <c r="H243" s="168">
        <v>8.0000000000000002E-3</v>
      </c>
      <c r="I243" s="166">
        <v>20</v>
      </c>
      <c r="J243" s="167">
        <v>500</v>
      </c>
      <c r="K243" s="166">
        <v>1</v>
      </c>
      <c r="L243" s="167">
        <v>84</v>
      </c>
      <c r="M243" s="166">
        <v>12</v>
      </c>
      <c r="N243" s="167">
        <v>87.95880017344075</v>
      </c>
      <c r="O243" s="166">
        <v>5</v>
      </c>
      <c r="P243" s="166">
        <v>2.7</v>
      </c>
      <c r="Q243" s="166">
        <v>5.5</v>
      </c>
      <c r="R243" s="169">
        <v>1</v>
      </c>
      <c r="S243" s="166">
        <v>80</v>
      </c>
      <c r="T243" s="166" t="s">
        <v>68</v>
      </c>
      <c r="U243" s="167">
        <v>105</v>
      </c>
      <c r="V243" s="166">
        <v>2</v>
      </c>
      <c r="W243" s="166">
        <v>5</v>
      </c>
      <c r="X243" s="166">
        <v>-0.03</v>
      </c>
      <c r="Y243" s="166" t="s">
        <v>68</v>
      </c>
      <c r="Z243" s="166" t="s">
        <v>68</v>
      </c>
      <c r="AA243" s="166" t="s">
        <v>68</v>
      </c>
      <c r="AB243" s="170" t="s">
        <v>43</v>
      </c>
      <c r="AC243" s="170" t="s">
        <v>43</v>
      </c>
      <c r="AD243" s="170" t="s">
        <v>44</v>
      </c>
      <c r="AE243" s="166" t="s">
        <v>403</v>
      </c>
      <c r="AF243" s="171" t="s">
        <v>327</v>
      </c>
      <c r="AG243" s="201" t="s">
        <v>496</v>
      </c>
      <c r="AH243" s="172" t="s">
        <v>385</v>
      </c>
      <c r="AN243" s="25"/>
      <c r="AO243" s="25"/>
      <c r="AR243" s="25"/>
      <c r="AS243" s="25"/>
      <c r="AT243" s="25"/>
    </row>
    <row r="244" spans="1:46" ht="11.25" hidden="1">
      <c r="A244" s="31">
        <v>1</v>
      </c>
      <c r="B244" s="165" t="s">
        <v>204</v>
      </c>
      <c r="C244" s="166">
        <v>-0.2</v>
      </c>
      <c r="D244" s="166">
        <v>26</v>
      </c>
      <c r="E244" s="166">
        <v>-0.3</v>
      </c>
      <c r="F244" s="166">
        <v>26</v>
      </c>
      <c r="G244" s="167">
        <v>200</v>
      </c>
      <c r="H244" s="168">
        <v>8.0000000000000002E-3</v>
      </c>
      <c r="I244" s="166">
        <v>20</v>
      </c>
      <c r="J244" s="167">
        <v>150</v>
      </c>
      <c r="K244" s="166">
        <v>1</v>
      </c>
      <c r="L244" s="167">
        <v>84</v>
      </c>
      <c r="M244" s="166">
        <v>0</v>
      </c>
      <c r="N244" s="167">
        <v>87.95880017344075</v>
      </c>
      <c r="O244" s="166">
        <v>5</v>
      </c>
      <c r="P244" s="166">
        <v>2.7</v>
      </c>
      <c r="Q244" s="166">
        <v>5.5</v>
      </c>
      <c r="R244" s="169">
        <v>1</v>
      </c>
      <c r="S244" s="166">
        <v>80</v>
      </c>
      <c r="T244" s="166" t="s">
        <v>68</v>
      </c>
      <c r="U244" s="167">
        <v>105</v>
      </c>
      <c r="V244" s="166">
        <v>2</v>
      </c>
      <c r="W244" s="166">
        <v>5</v>
      </c>
      <c r="X244" s="166">
        <v>-0.03</v>
      </c>
      <c r="Y244" s="166" t="s">
        <v>68</v>
      </c>
      <c r="Z244" s="166" t="s">
        <v>68</v>
      </c>
      <c r="AA244" s="166" t="s">
        <v>68</v>
      </c>
      <c r="AB244" s="170" t="s">
        <v>43</v>
      </c>
      <c r="AC244" s="170" t="s">
        <v>43</v>
      </c>
      <c r="AD244" s="170" t="s">
        <v>44</v>
      </c>
      <c r="AE244" s="166" t="s">
        <v>403</v>
      </c>
      <c r="AF244" s="171" t="s">
        <v>327</v>
      </c>
      <c r="AG244" s="201" t="s">
        <v>496</v>
      </c>
      <c r="AH244" s="172" t="s">
        <v>385</v>
      </c>
      <c r="AN244" s="25"/>
      <c r="AO244" s="25"/>
      <c r="AR244" s="25"/>
      <c r="AS244" s="25"/>
      <c r="AT244" s="25"/>
    </row>
    <row r="245" spans="1:46" ht="11.25" hidden="1">
      <c r="A245" s="31">
        <v>1</v>
      </c>
      <c r="B245" s="165" t="s">
        <v>503</v>
      </c>
      <c r="C245" s="182">
        <v>2.7</v>
      </c>
      <c r="D245" s="166">
        <v>120</v>
      </c>
      <c r="E245" s="183">
        <v>-20</v>
      </c>
      <c r="F245" s="157">
        <v>122</v>
      </c>
      <c r="G245" s="167">
        <v>20</v>
      </c>
      <c r="H245" s="168">
        <v>1E-3</v>
      </c>
      <c r="I245" s="166">
        <v>5</v>
      </c>
      <c r="J245" s="157">
        <v>32</v>
      </c>
      <c r="K245" s="157">
        <v>0.2</v>
      </c>
      <c r="L245" s="184">
        <v>140</v>
      </c>
      <c r="M245" s="167">
        <v>48</v>
      </c>
      <c r="N245" s="184">
        <v>126</v>
      </c>
      <c r="O245" s="167">
        <v>5</v>
      </c>
      <c r="P245" s="166">
        <v>2.7</v>
      </c>
      <c r="Q245" s="166">
        <v>20</v>
      </c>
      <c r="R245" s="166">
        <v>1.8</v>
      </c>
      <c r="S245" s="166">
        <v>20</v>
      </c>
      <c r="T245" s="166" t="s">
        <v>68</v>
      </c>
      <c r="U245" s="167">
        <v>1100</v>
      </c>
      <c r="V245" s="158">
        <v>2</v>
      </c>
      <c r="W245" s="158">
        <v>25</v>
      </c>
      <c r="X245" s="166">
        <v>-0.2</v>
      </c>
      <c r="Y245" s="157" t="s">
        <v>68</v>
      </c>
      <c r="Z245" s="157" t="s">
        <v>68</v>
      </c>
      <c r="AA245" s="166" t="s">
        <v>68</v>
      </c>
      <c r="AB245" s="157" t="s">
        <v>44</v>
      </c>
      <c r="AC245" s="157" t="s">
        <v>44</v>
      </c>
      <c r="AD245" s="157" t="s">
        <v>44</v>
      </c>
      <c r="AE245" s="166" t="s">
        <v>403</v>
      </c>
      <c r="AF245" s="170" t="s">
        <v>68</v>
      </c>
      <c r="AG245" s="205" t="s">
        <v>496</v>
      </c>
      <c r="AH245" s="172" t="s">
        <v>157</v>
      </c>
      <c r="AN245" s="25"/>
      <c r="AO245" s="25"/>
      <c r="AR245" s="25"/>
      <c r="AS245" s="25"/>
      <c r="AT245" s="25"/>
    </row>
    <row r="246" spans="1:46" ht="11.25" hidden="1">
      <c r="A246" s="31">
        <v>1</v>
      </c>
      <c r="B246" s="165" t="s">
        <v>504</v>
      </c>
      <c r="C246" s="182">
        <v>2.7</v>
      </c>
      <c r="D246" s="166">
        <v>120</v>
      </c>
      <c r="E246" s="183">
        <v>-20</v>
      </c>
      <c r="F246" s="157">
        <v>122</v>
      </c>
      <c r="G246" s="167">
        <v>50</v>
      </c>
      <c r="H246" s="168">
        <v>1E-3</v>
      </c>
      <c r="I246" s="166">
        <v>5</v>
      </c>
      <c r="J246" s="157">
        <v>20</v>
      </c>
      <c r="K246" s="157">
        <v>0.2</v>
      </c>
      <c r="L246" s="184">
        <v>140</v>
      </c>
      <c r="M246" s="167">
        <v>48</v>
      </c>
      <c r="N246" s="184">
        <v>126</v>
      </c>
      <c r="O246" s="167">
        <v>5</v>
      </c>
      <c r="P246" s="166">
        <v>2.7</v>
      </c>
      <c r="Q246" s="166">
        <v>20</v>
      </c>
      <c r="R246" s="166">
        <v>1.8</v>
      </c>
      <c r="S246" s="166">
        <v>20</v>
      </c>
      <c r="T246" s="166" t="s">
        <v>68</v>
      </c>
      <c r="U246" s="167">
        <v>1100</v>
      </c>
      <c r="V246" s="158">
        <v>2</v>
      </c>
      <c r="W246" s="158">
        <v>25</v>
      </c>
      <c r="X246" s="166">
        <v>-0.2</v>
      </c>
      <c r="Y246" s="157" t="s">
        <v>68</v>
      </c>
      <c r="Z246" s="157" t="s">
        <v>68</v>
      </c>
      <c r="AA246" s="166" t="s">
        <v>68</v>
      </c>
      <c r="AB246" s="157" t="s">
        <v>44</v>
      </c>
      <c r="AC246" s="157" t="s">
        <v>44</v>
      </c>
      <c r="AD246" s="157" t="s">
        <v>44</v>
      </c>
      <c r="AE246" s="166" t="s">
        <v>403</v>
      </c>
      <c r="AF246" s="170" t="s">
        <v>68</v>
      </c>
      <c r="AG246" s="205" t="s">
        <v>496</v>
      </c>
      <c r="AH246" s="172" t="s">
        <v>157</v>
      </c>
      <c r="AN246" s="25"/>
      <c r="AO246" s="25"/>
      <c r="AR246" s="25"/>
      <c r="AS246" s="25"/>
      <c r="AT246" s="25"/>
    </row>
    <row r="247" spans="1:46" ht="11.25" hidden="1">
      <c r="A247" s="31">
        <v>1</v>
      </c>
      <c r="B247" s="165" t="s">
        <v>505</v>
      </c>
      <c r="C247" s="182">
        <v>2.7</v>
      </c>
      <c r="D247" s="166">
        <v>120</v>
      </c>
      <c r="E247" s="183">
        <v>-20</v>
      </c>
      <c r="F247" s="157">
        <v>122</v>
      </c>
      <c r="G247" s="167">
        <v>100</v>
      </c>
      <c r="H247" s="168">
        <v>1E-3</v>
      </c>
      <c r="I247" s="166">
        <v>5</v>
      </c>
      <c r="J247" s="157">
        <v>15</v>
      </c>
      <c r="K247" s="157">
        <v>0.2</v>
      </c>
      <c r="L247" s="184">
        <v>140</v>
      </c>
      <c r="M247" s="167">
        <v>48</v>
      </c>
      <c r="N247" s="184">
        <v>126</v>
      </c>
      <c r="O247" s="167">
        <v>5</v>
      </c>
      <c r="P247" s="166">
        <v>2.7</v>
      </c>
      <c r="Q247" s="166">
        <v>20</v>
      </c>
      <c r="R247" s="166">
        <v>1.8</v>
      </c>
      <c r="S247" s="166">
        <v>20</v>
      </c>
      <c r="T247" s="166" t="s">
        <v>68</v>
      </c>
      <c r="U247" s="167">
        <v>900</v>
      </c>
      <c r="V247" s="158">
        <v>2</v>
      </c>
      <c r="W247" s="158">
        <v>25</v>
      </c>
      <c r="X247" s="166">
        <v>-0.2</v>
      </c>
      <c r="Y247" s="157" t="s">
        <v>68</v>
      </c>
      <c r="Z247" s="157" t="s">
        <v>68</v>
      </c>
      <c r="AA247" s="166" t="s">
        <v>68</v>
      </c>
      <c r="AB247" s="157" t="s">
        <v>44</v>
      </c>
      <c r="AC247" s="157" t="s">
        <v>44</v>
      </c>
      <c r="AD247" s="157" t="s">
        <v>44</v>
      </c>
      <c r="AE247" s="166" t="s">
        <v>403</v>
      </c>
      <c r="AF247" s="170" t="s">
        <v>68</v>
      </c>
      <c r="AG247" s="205" t="s">
        <v>496</v>
      </c>
      <c r="AH247" s="172" t="s">
        <v>157</v>
      </c>
      <c r="AN247" s="25"/>
      <c r="AO247" s="25"/>
      <c r="AR247" s="25"/>
      <c r="AS247" s="25"/>
      <c r="AT247" s="25"/>
    </row>
    <row r="248" spans="1:46" ht="11.25" hidden="1">
      <c r="A248" s="31">
        <v>1</v>
      </c>
      <c r="B248" s="165" t="s">
        <v>506</v>
      </c>
      <c r="C248" s="182">
        <v>2.7</v>
      </c>
      <c r="D248" s="166">
        <v>120</v>
      </c>
      <c r="E248" s="183">
        <v>-20</v>
      </c>
      <c r="F248" s="157">
        <v>122</v>
      </c>
      <c r="G248" s="167">
        <v>200</v>
      </c>
      <c r="H248" s="168">
        <v>1.5E-3</v>
      </c>
      <c r="I248" s="166">
        <v>5</v>
      </c>
      <c r="J248" s="157">
        <v>12</v>
      </c>
      <c r="K248" s="157">
        <v>0.2</v>
      </c>
      <c r="L248" s="184">
        <v>140</v>
      </c>
      <c r="M248" s="167">
        <v>48</v>
      </c>
      <c r="N248" s="184">
        <v>126</v>
      </c>
      <c r="O248" s="167">
        <v>5</v>
      </c>
      <c r="P248" s="166">
        <v>2.7</v>
      </c>
      <c r="Q248" s="166">
        <v>20</v>
      </c>
      <c r="R248" s="166">
        <v>1.8</v>
      </c>
      <c r="S248" s="166">
        <v>20</v>
      </c>
      <c r="T248" s="166" t="s">
        <v>68</v>
      </c>
      <c r="U248" s="167">
        <v>850</v>
      </c>
      <c r="V248" s="158">
        <v>2</v>
      </c>
      <c r="W248" s="158">
        <v>25</v>
      </c>
      <c r="X248" s="166">
        <v>-0.2</v>
      </c>
      <c r="Y248" s="157" t="s">
        <v>68</v>
      </c>
      <c r="Z248" s="157" t="s">
        <v>68</v>
      </c>
      <c r="AA248" s="166" t="s">
        <v>68</v>
      </c>
      <c r="AB248" s="157" t="s">
        <v>44</v>
      </c>
      <c r="AC248" s="157" t="s">
        <v>44</v>
      </c>
      <c r="AD248" s="157" t="s">
        <v>44</v>
      </c>
      <c r="AE248" s="166" t="s">
        <v>403</v>
      </c>
      <c r="AF248" s="170" t="s">
        <v>68</v>
      </c>
      <c r="AG248" s="205" t="s">
        <v>496</v>
      </c>
      <c r="AH248" s="172" t="s">
        <v>157</v>
      </c>
      <c r="AN248" s="25"/>
      <c r="AO248" s="25"/>
      <c r="AR248" s="25"/>
      <c r="AS248" s="25"/>
      <c r="AT248" s="25"/>
    </row>
    <row r="249" spans="1:46" ht="11.25" hidden="1">
      <c r="A249" s="31">
        <v>1</v>
      </c>
      <c r="B249" s="165" t="s">
        <v>507</v>
      </c>
      <c r="C249" s="182">
        <v>2.7</v>
      </c>
      <c r="D249" s="166">
        <v>120</v>
      </c>
      <c r="E249" s="183">
        <v>-20</v>
      </c>
      <c r="F249" s="157">
        <v>122</v>
      </c>
      <c r="G249" s="167">
        <v>500</v>
      </c>
      <c r="H249" s="168">
        <v>1.5E-3</v>
      </c>
      <c r="I249" s="166">
        <v>5</v>
      </c>
      <c r="J249" s="157">
        <v>12</v>
      </c>
      <c r="K249" s="157">
        <v>0.2</v>
      </c>
      <c r="L249" s="184">
        <v>140</v>
      </c>
      <c r="M249" s="167">
        <v>48</v>
      </c>
      <c r="N249" s="184">
        <v>126</v>
      </c>
      <c r="O249" s="167">
        <v>5</v>
      </c>
      <c r="P249" s="166">
        <v>2.7</v>
      </c>
      <c r="Q249" s="166">
        <v>20</v>
      </c>
      <c r="R249" s="166">
        <v>1.8</v>
      </c>
      <c r="S249" s="166">
        <v>20</v>
      </c>
      <c r="T249" s="166" t="s">
        <v>68</v>
      </c>
      <c r="U249" s="167">
        <v>800</v>
      </c>
      <c r="V249" s="158">
        <v>2</v>
      </c>
      <c r="W249" s="158">
        <v>25</v>
      </c>
      <c r="X249" s="166">
        <v>-0.2</v>
      </c>
      <c r="Y249" s="157" t="s">
        <v>68</v>
      </c>
      <c r="Z249" s="157" t="s">
        <v>68</v>
      </c>
      <c r="AA249" s="166" t="s">
        <v>68</v>
      </c>
      <c r="AB249" s="157" t="s">
        <v>44</v>
      </c>
      <c r="AC249" s="157" t="s">
        <v>44</v>
      </c>
      <c r="AD249" s="157" t="s">
        <v>44</v>
      </c>
      <c r="AE249" s="166" t="s">
        <v>403</v>
      </c>
      <c r="AF249" s="170" t="s">
        <v>68</v>
      </c>
      <c r="AG249" s="205" t="s">
        <v>496</v>
      </c>
      <c r="AH249" s="172" t="s">
        <v>157</v>
      </c>
      <c r="AN249" s="25"/>
      <c r="AO249" s="25"/>
      <c r="AR249" s="25"/>
      <c r="AS249" s="25"/>
      <c r="AT249" s="25"/>
    </row>
    <row r="250" spans="1:46" ht="45" hidden="1">
      <c r="A250" s="31">
        <v>1</v>
      </c>
      <c r="B250" s="165" t="s">
        <v>360</v>
      </c>
      <c r="C250" s="185">
        <v>-15</v>
      </c>
      <c r="D250" s="185">
        <v>65</v>
      </c>
      <c r="E250" s="181">
        <v>-16</v>
      </c>
      <c r="F250" s="186">
        <v>65</v>
      </c>
      <c r="G250" s="187">
        <v>20</v>
      </c>
      <c r="H250" s="188">
        <v>1.4999999999999999E-2</v>
      </c>
      <c r="I250" s="185">
        <v>150</v>
      </c>
      <c r="J250" s="187">
        <v>2500</v>
      </c>
      <c r="K250" s="185">
        <v>10</v>
      </c>
      <c r="L250" s="187">
        <v>70</v>
      </c>
      <c r="M250" s="185">
        <v>15</v>
      </c>
      <c r="N250" s="187">
        <v>72</v>
      </c>
      <c r="O250" s="185">
        <v>5</v>
      </c>
      <c r="P250" s="185">
        <v>2.7</v>
      </c>
      <c r="Q250" s="185">
        <v>16</v>
      </c>
      <c r="R250" s="185">
        <v>1.2</v>
      </c>
      <c r="S250" s="185">
        <v>8</v>
      </c>
      <c r="T250" s="166" t="s">
        <v>68</v>
      </c>
      <c r="U250" s="187">
        <v>130</v>
      </c>
      <c r="V250" s="185">
        <v>1</v>
      </c>
      <c r="W250" s="185">
        <v>50</v>
      </c>
      <c r="X250" s="185">
        <v>-0.2</v>
      </c>
      <c r="Y250" s="166" t="s">
        <v>68</v>
      </c>
      <c r="Z250" s="166" t="s">
        <v>68</v>
      </c>
      <c r="AA250" s="166" t="s">
        <v>68</v>
      </c>
      <c r="AB250" s="170" t="s">
        <v>43</v>
      </c>
      <c r="AC250" s="170" t="s">
        <v>44</v>
      </c>
      <c r="AD250" s="170" t="s">
        <v>44</v>
      </c>
      <c r="AE250" s="170" t="s">
        <v>361</v>
      </c>
      <c r="AF250" s="170" t="s">
        <v>68</v>
      </c>
      <c r="AG250" s="202" t="s">
        <v>499</v>
      </c>
      <c r="AH250" s="172" t="s">
        <v>163</v>
      </c>
      <c r="AN250" s="25"/>
      <c r="AO250" s="25"/>
      <c r="AR250" s="25"/>
      <c r="AS250" s="25"/>
      <c r="AT250" s="25"/>
    </row>
    <row r="251" spans="1:46" ht="11.25" hidden="1">
      <c r="A251" s="31">
        <v>1</v>
      </c>
      <c r="B251" s="165" t="s">
        <v>517</v>
      </c>
      <c r="C251" s="185">
        <v>-2</v>
      </c>
      <c r="D251" s="185">
        <v>40</v>
      </c>
      <c r="E251" s="181">
        <v>-12</v>
      </c>
      <c r="F251" s="186">
        <v>50</v>
      </c>
      <c r="G251" s="187">
        <v>14</v>
      </c>
      <c r="H251" s="188">
        <v>0.01</v>
      </c>
      <c r="I251" s="185">
        <v>25</v>
      </c>
      <c r="J251" s="187">
        <v>2000</v>
      </c>
      <c r="K251" s="185">
        <v>15</v>
      </c>
      <c r="L251" s="187">
        <v>80</v>
      </c>
      <c r="M251" s="166" t="s">
        <v>518</v>
      </c>
      <c r="N251" s="187">
        <v>70</v>
      </c>
      <c r="O251" s="185">
        <v>5</v>
      </c>
      <c r="P251" s="185">
        <v>4.5</v>
      </c>
      <c r="Q251" s="185">
        <v>5.5</v>
      </c>
      <c r="R251" s="185">
        <v>0.55000000000000004</v>
      </c>
      <c r="S251" s="185">
        <v>275</v>
      </c>
      <c r="T251" s="166" t="s">
        <v>68</v>
      </c>
      <c r="U251" s="187">
        <v>90</v>
      </c>
      <c r="V251" s="185">
        <v>0.7</v>
      </c>
      <c r="W251" s="185">
        <v>30</v>
      </c>
      <c r="X251" s="185">
        <v>-0.05</v>
      </c>
      <c r="Y251" s="166" t="s">
        <v>68</v>
      </c>
      <c r="Z251" s="166" t="s">
        <v>68</v>
      </c>
      <c r="AA251" s="166" t="s">
        <v>68</v>
      </c>
      <c r="AB251" s="170" t="s">
        <v>43</v>
      </c>
      <c r="AC251" s="170" t="s">
        <v>44</v>
      </c>
      <c r="AD251" s="170" t="s">
        <v>44</v>
      </c>
      <c r="AE251" s="166" t="s">
        <v>95</v>
      </c>
      <c r="AF251" s="171" t="s">
        <v>327</v>
      </c>
      <c r="AG251" s="202" t="s">
        <v>496</v>
      </c>
      <c r="AH251" s="172" t="s">
        <v>160</v>
      </c>
      <c r="AN251" s="25"/>
      <c r="AO251" s="25"/>
      <c r="AR251" s="25"/>
      <c r="AS251" s="25"/>
      <c r="AT251" s="25"/>
    </row>
    <row r="252" spans="1:46" ht="11.25" hidden="1">
      <c r="A252" s="31">
        <v>1</v>
      </c>
      <c r="B252" s="165" t="s">
        <v>206</v>
      </c>
      <c r="C252" s="166">
        <v>4</v>
      </c>
      <c r="D252" s="166">
        <v>76</v>
      </c>
      <c r="E252" s="166">
        <v>-0.3</v>
      </c>
      <c r="F252" s="166">
        <v>85</v>
      </c>
      <c r="G252" s="167">
        <v>60</v>
      </c>
      <c r="H252" s="168">
        <v>6.0000000000000001E-3</v>
      </c>
      <c r="I252" s="166">
        <v>20</v>
      </c>
      <c r="J252" s="167">
        <v>265</v>
      </c>
      <c r="K252" s="166">
        <f>(900-265)/100</f>
        <v>6.35</v>
      </c>
      <c r="L252" s="167">
        <v>100</v>
      </c>
      <c r="M252" s="166">
        <v>48</v>
      </c>
      <c r="N252" s="167">
        <v>100</v>
      </c>
      <c r="O252" s="166">
        <v>48</v>
      </c>
      <c r="P252" s="166">
        <v>4.5</v>
      </c>
      <c r="Q252" s="166">
        <v>76</v>
      </c>
      <c r="R252" s="166">
        <v>0.155</v>
      </c>
      <c r="S252" s="166">
        <v>6.3</v>
      </c>
      <c r="T252" s="166" t="s">
        <v>68</v>
      </c>
      <c r="U252" s="167">
        <v>270</v>
      </c>
      <c r="V252" s="166">
        <v>1</v>
      </c>
      <c r="W252" s="166">
        <v>55</v>
      </c>
      <c r="X252" s="166">
        <v>-0.5</v>
      </c>
      <c r="Y252" s="166" t="s">
        <v>68</v>
      </c>
      <c r="Z252" s="166" t="s">
        <v>68</v>
      </c>
      <c r="AA252" s="166" t="s">
        <v>68</v>
      </c>
      <c r="AB252" s="170" t="s">
        <v>44</v>
      </c>
      <c r="AC252" s="170" t="s">
        <v>44</v>
      </c>
      <c r="AD252" s="170" t="s">
        <v>44</v>
      </c>
      <c r="AE252" s="166"/>
      <c r="AF252" s="171" t="s">
        <v>327</v>
      </c>
      <c r="AG252" s="201" t="s">
        <v>496</v>
      </c>
      <c r="AH252" s="172" t="s">
        <v>160</v>
      </c>
      <c r="AN252" s="25"/>
      <c r="AO252" s="25"/>
      <c r="AR252" s="25"/>
      <c r="AS252" s="25"/>
      <c r="AT252" s="25"/>
    </row>
    <row r="253" spans="1:46" ht="11.25" hidden="1">
      <c r="A253" s="31">
        <v>1</v>
      </c>
      <c r="B253" s="165" t="s">
        <v>205</v>
      </c>
      <c r="C253" s="166">
        <v>4</v>
      </c>
      <c r="D253" s="166">
        <v>76</v>
      </c>
      <c r="E253" s="166">
        <v>-0.3</v>
      </c>
      <c r="F253" s="166">
        <v>85</v>
      </c>
      <c r="G253" s="167">
        <v>20</v>
      </c>
      <c r="H253" s="168">
        <v>6.0000000000000001E-3</v>
      </c>
      <c r="I253" s="166">
        <v>20</v>
      </c>
      <c r="J253" s="167">
        <v>265</v>
      </c>
      <c r="K253" s="166">
        <f>(900-265)/100</f>
        <v>6.35</v>
      </c>
      <c r="L253" s="167">
        <v>100</v>
      </c>
      <c r="M253" s="166">
        <v>48</v>
      </c>
      <c r="N253" s="167">
        <v>100</v>
      </c>
      <c r="O253" s="166">
        <v>48</v>
      </c>
      <c r="P253" s="166">
        <v>4.5</v>
      </c>
      <c r="Q253" s="166">
        <v>76</v>
      </c>
      <c r="R253" s="166">
        <v>0.155</v>
      </c>
      <c r="S253" s="166">
        <v>6.3</v>
      </c>
      <c r="T253" s="166" t="s">
        <v>68</v>
      </c>
      <c r="U253" s="167">
        <v>270</v>
      </c>
      <c r="V253" s="166">
        <v>1</v>
      </c>
      <c r="W253" s="166">
        <v>55</v>
      </c>
      <c r="X253" s="166">
        <v>-0.5</v>
      </c>
      <c r="Y253" s="166" t="s">
        <v>68</v>
      </c>
      <c r="Z253" s="166" t="s">
        <v>68</v>
      </c>
      <c r="AA253" s="166" t="s">
        <v>68</v>
      </c>
      <c r="AB253" s="170" t="s">
        <v>44</v>
      </c>
      <c r="AC253" s="170" t="s">
        <v>44</v>
      </c>
      <c r="AD253" s="170" t="s">
        <v>44</v>
      </c>
      <c r="AE253" s="166"/>
      <c r="AF253" s="171" t="s">
        <v>327</v>
      </c>
      <c r="AG253" s="201" t="s">
        <v>496</v>
      </c>
      <c r="AH253" s="172" t="s">
        <v>160</v>
      </c>
      <c r="AN253" s="25"/>
      <c r="AO253" s="25"/>
      <c r="AR253" s="25"/>
      <c r="AS253" s="25"/>
      <c r="AT253" s="25"/>
    </row>
    <row r="254" spans="1:46" ht="11.25" hidden="1">
      <c r="A254" s="31">
        <v>1</v>
      </c>
      <c r="B254" s="165" t="s">
        <v>209</v>
      </c>
      <c r="C254" s="166">
        <v>4</v>
      </c>
      <c r="D254" s="166">
        <v>76</v>
      </c>
      <c r="E254" s="166">
        <v>-0.3</v>
      </c>
      <c r="F254" s="166">
        <v>85</v>
      </c>
      <c r="G254" s="167">
        <v>100</v>
      </c>
      <c r="H254" s="168">
        <v>6.0000000000000001E-3</v>
      </c>
      <c r="I254" s="166">
        <v>20</v>
      </c>
      <c r="J254" s="167">
        <v>265</v>
      </c>
      <c r="K254" s="166">
        <f>(900-265)/100</f>
        <v>6.35</v>
      </c>
      <c r="L254" s="167">
        <v>100</v>
      </c>
      <c r="M254" s="166">
        <v>48</v>
      </c>
      <c r="N254" s="167">
        <v>100</v>
      </c>
      <c r="O254" s="166">
        <v>48</v>
      </c>
      <c r="P254" s="166">
        <v>4.5</v>
      </c>
      <c r="Q254" s="166">
        <v>76</v>
      </c>
      <c r="R254" s="166">
        <v>0.155</v>
      </c>
      <c r="S254" s="166">
        <v>6.3</v>
      </c>
      <c r="T254" s="166" t="s">
        <v>68</v>
      </c>
      <c r="U254" s="167">
        <v>270</v>
      </c>
      <c r="V254" s="166">
        <v>1</v>
      </c>
      <c r="W254" s="166">
        <v>55</v>
      </c>
      <c r="X254" s="166">
        <v>-0.5</v>
      </c>
      <c r="Y254" s="166" t="s">
        <v>68</v>
      </c>
      <c r="Z254" s="166" t="s">
        <v>68</v>
      </c>
      <c r="AA254" s="166" t="s">
        <v>68</v>
      </c>
      <c r="AB254" s="170" t="s">
        <v>44</v>
      </c>
      <c r="AC254" s="170" t="s">
        <v>43</v>
      </c>
      <c r="AD254" s="170" t="s">
        <v>44</v>
      </c>
      <c r="AE254" s="166"/>
      <c r="AF254" s="171" t="s">
        <v>327</v>
      </c>
      <c r="AG254" s="201" t="s">
        <v>496</v>
      </c>
      <c r="AH254" s="172" t="s">
        <v>160</v>
      </c>
      <c r="AN254" s="25"/>
      <c r="AO254" s="25"/>
      <c r="AR254" s="25"/>
      <c r="AS254" s="25"/>
      <c r="AT254" s="25"/>
    </row>
    <row r="255" spans="1:46" ht="11.25" hidden="1">
      <c r="A255" s="31">
        <v>1</v>
      </c>
      <c r="B255" s="165" t="s">
        <v>208</v>
      </c>
      <c r="C255" s="166">
        <v>4</v>
      </c>
      <c r="D255" s="166">
        <v>76</v>
      </c>
      <c r="E255" s="166">
        <v>-0.3</v>
      </c>
      <c r="F255" s="166">
        <v>85</v>
      </c>
      <c r="G255" s="167">
        <v>60</v>
      </c>
      <c r="H255" s="168">
        <v>6.0000000000000001E-3</v>
      </c>
      <c r="I255" s="166">
        <v>20</v>
      </c>
      <c r="J255" s="167">
        <v>265</v>
      </c>
      <c r="K255" s="166">
        <f>(900-265)/100</f>
        <v>6.35</v>
      </c>
      <c r="L255" s="167">
        <v>100</v>
      </c>
      <c r="M255" s="166">
        <v>48</v>
      </c>
      <c r="N255" s="167">
        <v>100</v>
      </c>
      <c r="O255" s="166">
        <v>48</v>
      </c>
      <c r="P255" s="166">
        <v>4.5</v>
      </c>
      <c r="Q255" s="166">
        <v>76</v>
      </c>
      <c r="R255" s="166">
        <v>0.155</v>
      </c>
      <c r="S255" s="166">
        <v>6.3</v>
      </c>
      <c r="T255" s="166" t="s">
        <v>68</v>
      </c>
      <c r="U255" s="167">
        <v>270</v>
      </c>
      <c r="V255" s="166">
        <v>1</v>
      </c>
      <c r="W255" s="166">
        <v>55</v>
      </c>
      <c r="X255" s="166">
        <v>-0.5</v>
      </c>
      <c r="Y255" s="166" t="s">
        <v>68</v>
      </c>
      <c r="Z255" s="166" t="s">
        <v>68</v>
      </c>
      <c r="AA255" s="166" t="s">
        <v>68</v>
      </c>
      <c r="AB255" s="170" t="s">
        <v>44</v>
      </c>
      <c r="AC255" s="170" t="s">
        <v>43</v>
      </c>
      <c r="AD255" s="170" t="s">
        <v>44</v>
      </c>
      <c r="AE255" s="166"/>
      <c r="AF255" s="171" t="s">
        <v>327</v>
      </c>
      <c r="AG255" s="201" t="s">
        <v>496</v>
      </c>
      <c r="AH255" s="172" t="s">
        <v>160</v>
      </c>
      <c r="AN255" s="25"/>
      <c r="AO255" s="25"/>
      <c r="AR255" s="25"/>
      <c r="AS255" s="25"/>
      <c r="AT255" s="25"/>
    </row>
    <row r="256" spans="1:46" ht="11.25" hidden="1">
      <c r="A256" s="31">
        <v>1</v>
      </c>
      <c r="B256" s="165" t="s">
        <v>207</v>
      </c>
      <c r="C256" s="166">
        <v>4</v>
      </c>
      <c r="D256" s="166">
        <v>76</v>
      </c>
      <c r="E256" s="166">
        <v>-0.3</v>
      </c>
      <c r="F256" s="166">
        <v>85</v>
      </c>
      <c r="G256" s="167">
        <v>20</v>
      </c>
      <c r="H256" s="168">
        <v>6.0000000000000001E-3</v>
      </c>
      <c r="I256" s="166">
        <v>20</v>
      </c>
      <c r="J256" s="167">
        <v>265</v>
      </c>
      <c r="K256" s="166">
        <f>(900-265)/100</f>
        <v>6.35</v>
      </c>
      <c r="L256" s="167">
        <v>100</v>
      </c>
      <c r="M256" s="166">
        <v>48</v>
      </c>
      <c r="N256" s="167">
        <v>100</v>
      </c>
      <c r="O256" s="166">
        <v>48</v>
      </c>
      <c r="P256" s="166">
        <v>4.5</v>
      </c>
      <c r="Q256" s="166">
        <v>76</v>
      </c>
      <c r="R256" s="166">
        <v>0.155</v>
      </c>
      <c r="S256" s="166">
        <v>6.3</v>
      </c>
      <c r="T256" s="166" t="s">
        <v>68</v>
      </c>
      <c r="U256" s="167">
        <v>270</v>
      </c>
      <c r="V256" s="166">
        <v>1</v>
      </c>
      <c r="W256" s="166">
        <v>55</v>
      </c>
      <c r="X256" s="166">
        <v>-0.5</v>
      </c>
      <c r="Y256" s="166" t="s">
        <v>68</v>
      </c>
      <c r="Z256" s="166" t="s">
        <v>68</v>
      </c>
      <c r="AA256" s="166" t="s">
        <v>68</v>
      </c>
      <c r="AB256" s="170" t="s">
        <v>44</v>
      </c>
      <c r="AC256" s="170" t="s">
        <v>43</v>
      </c>
      <c r="AD256" s="170" t="s">
        <v>44</v>
      </c>
      <c r="AE256" s="166"/>
      <c r="AF256" s="171" t="s">
        <v>327</v>
      </c>
      <c r="AG256" s="201" t="s">
        <v>496</v>
      </c>
      <c r="AH256" s="172" t="s">
        <v>160</v>
      </c>
      <c r="AN256" s="25"/>
      <c r="AO256" s="25"/>
      <c r="AR256" s="25"/>
      <c r="AS256" s="25"/>
      <c r="AT256" s="25"/>
    </row>
    <row r="257" spans="1:46" ht="22.5" hidden="1">
      <c r="A257" s="31">
        <v>1</v>
      </c>
      <c r="B257" s="165" t="s">
        <v>1</v>
      </c>
      <c r="C257" s="166">
        <v>-22</v>
      </c>
      <c r="D257" s="166">
        <v>60</v>
      </c>
      <c r="E257" s="166">
        <v>-22</v>
      </c>
      <c r="F257" s="166">
        <v>60</v>
      </c>
      <c r="G257" s="167">
        <v>20</v>
      </c>
      <c r="H257" s="168">
        <v>5.0000000000000001E-3</v>
      </c>
      <c r="I257" s="166">
        <v>20</v>
      </c>
      <c r="J257" s="167">
        <v>1000</v>
      </c>
      <c r="K257" s="166">
        <v>10</v>
      </c>
      <c r="L257" s="167">
        <v>90</v>
      </c>
      <c r="M257" s="166">
        <v>12</v>
      </c>
      <c r="N257" s="167">
        <v>70</v>
      </c>
      <c r="O257" s="166">
        <v>5</v>
      </c>
      <c r="P257" s="166">
        <v>3</v>
      </c>
      <c r="Q257" s="166">
        <v>5.5</v>
      </c>
      <c r="R257" s="166">
        <v>1.5</v>
      </c>
      <c r="S257" s="179">
        <v>200</v>
      </c>
      <c r="T257" s="166" t="s">
        <v>68</v>
      </c>
      <c r="U257" s="167">
        <v>60</v>
      </c>
      <c r="V257" s="166">
        <v>0.4</v>
      </c>
      <c r="W257" s="166">
        <v>20</v>
      </c>
      <c r="X257" s="166">
        <v>-0.02</v>
      </c>
      <c r="Y257" s="166" t="s">
        <v>68</v>
      </c>
      <c r="Z257" s="166" t="s">
        <v>68</v>
      </c>
      <c r="AA257" s="166" t="s">
        <v>68</v>
      </c>
      <c r="AB257" s="170" t="s">
        <v>43</v>
      </c>
      <c r="AC257" s="170" t="s">
        <v>43</v>
      </c>
      <c r="AD257" s="170" t="s">
        <v>44</v>
      </c>
      <c r="AE257" s="166" t="s">
        <v>95</v>
      </c>
      <c r="AF257" s="171" t="s">
        <v>515</v>
      </c>
      <c r="AG257" s="203" t="s">
        <v>516</v>
      </c>
      <c r="AH257" s="172" t="s">
        <v>162</v>
      </c>
      <c r="AN257" s="25"/>
      <c r="AO257" s="25"/>
      <c r="AR257" s="25"/>
      <c r="AS257" s="25"/>
      <c r="AT257" s="25"/>
    </row>
    <row r="258" spans="1:46" ht="22.5" hidden="1">
      <c r="A258" s="31">
        <v>1</v>
      </c>
      <c r="B258" s="165" t="s">
        <v>46</v>
      </c>
      <c r="C258" s="166">
        <v>-22</v>
      </c>
      <c r="D258" s="166">
        <v>60</v>
      </c>
      <c r="E258" s="166">
        <v>-22</v>
      </c>
      <c r="F258" s="166">
        <v>60</v>
      </c>
      <c r="G258" s="167">
        <v>50</v>
      </c>
      <c r="H258" s="168">
        <v>5.0000000000000001E-3</v>
      </c>
      <c r="I258" s="166">
        <v>20</v>
      </c>
      <c r="J258" s="167">
        <v>1000</v>
      </c>
      <c r="K258" s="166">
        <v>10</v>
      </c>
      <c r="L258" s="167">
        <v>90</v>
      </c>
      <c r="M258" s="166">
        <v>12</v>
      </c>
      <c r="N258" s="167">
        <v>70</v>
      </c>
      <c r="O258" s="166">
        <v>5</v>
      </c>
      <c r="P258" s="166">
        <v>3</v>
      </c>
      <c r="Q258" s="166">
        <v>5.5</v>
      </c>
      <c r="R258" s="166">
        <v>1.5</v>
      </c>
      <c r="S258" s="179">
        <v>200</v>
      </c>
      <c r="T258" s="166" t="s">
        <v>68</v>
      </c>
      <c r="U258" s="167">
        <v>60</v>
      </c>
      <c r="V258" s="166">
        <v>0.4</v>
      </c>
      <c r="W258" s="166">
        <v>40</v>
      </c>
      <c r="X258" s="166">
        <v>-0.02</v>
      </c>
      <c r="Y258" s="166" t="s">
        <v>68</v>
      </c>
      <c r="Z258" s="166" t="s">
        <v>68</v>
      </c>
      <c r="AA258" s="166" t="s">
        <v>68</v>
      </c>
      <c r="AB258" s="170" t="s">
        <v>43</v>
      </c>
      <c r="AC258" s="170" t="s">
        <v>43</v>
      </c>
      <c r="AD258" s="170" t="s">
        <v>44</v>
      </c>
      <c r="AE258" s="166" t="s">
        <v>95</v>
      </c>
      <c r="AF258" s="171" t="s">
        <v>327</v>
      </c>
      <c r="AG258" s="201" t="s">
        <v>496</v>
      </c>
      <c r="AH258" s="173" t="s">
        <v>332</v>
      </c>
      <c r="AN258" s="25"/>
      <c r="AO258" s="25"/>
      <c r="AR258" s="25"/>
      <c r="AS258" s="25"/>
      <c r="AT258" s="25"/>
    </row>
    <row r="259" spans="1:46" ht="22.5" hidden="1">
      <c r="A259" s="31">
        <v>1</v>
      </c>
      <c r="B259" s="165" t="s">
        <v>47</v>
      </c>
      <c r="C259" s="166">
        <v>-22</v>
      </c>
      <c r="D259" s="166">
        <v>60</v>
      </c>
      <c r="E259" s="166">
        <v>-22</v>
      </c>
      <c r="F259" s="166">
        <v>60</v>
      </c>
      <c r="G259" s="167">
        <v>100</v>
      </c>
      <c r="H259" s="168">
        <v>5.0000000000000001E-3</v>
      </c>
      <c r="I259" s="166">
        <v>20</v>
      </c>
      <c r="J259" s="167">
        <v>1000</v>
      </c>
      <c r="K259" s="166">
        <v>10</v>
      </c>
      <c r="L259" s="167">
        <v>90</v>
      </c>
      <c r="M259" s="166">
        <v>12</v>
      </c>
      <c r="N259" s="167">
        <v>70</v>
      </c>
      <c r="O259" s="166">
        <v>5</v>
      </c>
      <c r="P259" s="166">
        <v>3</v>
      </c>
      <c r="Q259" s="166">
        <v>5.5</v>
      </c>
      <c r="R259" s="166">
        <v>1.5</v>
      </c>
      <c r="S259" s="179">
        <v>200</v>
      </c>
      <c r="T259" s="166" t="s">
        <v>68</v>
      </c>
      <c r="U259" s="167">
        <v>60</v>
      </c>
      <c r="V259" s="166">
        <v>0.4</v>
      </c>
      <c r="W259" s="166">
        <v>80</v>
      </c>
      <c r="X259" s="166">
        <v>-0.02</v>
      </c>
      <c r="Y259" s="166" t="s">
        <v>68</v>
      </c>
      <c r="Z259" s="166" t="s">
        <v>68</v>
      </c>
      <c r="AA259" s="166" t="s">
        <v>68</v>
      </c>
      <c r="AB259" s="170" t="s">
        <v>43</v>
      </c>
      <c r="AC259" s="170" t="s">
        <v>43</v>
      </c>
      <c r="AD259" s="170" t="s">
        <v>44</v>
      </c>
      <c r="AE259" s="166" t="s">
        <v>95</v>
      </c>
      <c r="AF259" s="171" t="s">
        <v>327</v>
      </c>
      <c r="AG259" s="201" t="s">
        <v>496</v>
      </c>
      <c r="AH259" s="173" t="s">
        <v>332</v>
      </c>
      <c r="AN259" s="25"/>
      <c r="AO259" s="25"/>
      <c r="AR259" s="25"/>
      <c r="AS259" s="25"/>
      <c r="AT259" s="25"/>
    </row>
    <row r="260" spans="1:46" ht="11.25" hidden="1">
      <c r="A260" s="31">
        <v>1</v>
      </c>
      <c r="B260" s="165" t="s">
        <v>211</v>
      </c>
      <c r="C260" s="166">
        <v>-2</v>
      </c>
      <c r="D260" s="166">
        <v>42</v>
      </c>
      <c r="E260" s="166">
        <v>-6</v>
      </c>
      <c r="F260" s="166">
        <v>60</v>
      </c>
      <c r="G260" s="167">
        <v>50</v>
      </c>
      <c r="H260" s="168">
        <v>2.5000000000000001E-3</v>
      </c>
      <c r="I260" s="166">
        <v>26.2</v>
      </c>
      <c r="J260" s="167">
        <v>900</v>
      </c>
      <c r="K260" s="166">
        <v>2.6</v>
      </c>
      <c r="L260" s="167">
        <v>95</v>
      </c>
      <c r="M260" s="166">
        <v>2.1</v>
      </c>
      <c r="N260" s="167">
        <v>85</v>
      </c>
      <c r="O260" s="166">
        <v>5</v>
      </c>
      <c r="P260" s="166">
        <v>2.7</v>
      </c>
      <c r="Q260" s="166">
        <v>12</v>
      </c>
      <c r="R260" s="166">
        <v>3</v>
      </c>
      <c r="S260" s="166">
        <v>13</v>
      </c>
      <c r="T260" s="166" t="s">
        <v>68</v>
      </c>
      <c r="U260" s="167">
        <v>450</v>
      </c>
      <c r="V260" s="166">
        <v>1.4</v>
      </c>
      <c r="W260" s="166">
        <v>40</v>
      </c>
      <c r="X260" s="166">
        <v>-0.05</v>
      </c>
      <c r="Y260" s="166" t="s">
        <v>68</v>
      </c>
      <c r="Z260" s="166" t="s">
        <v>68</v>
      </c>
      <c r="AA260" s="166" t="s">
        <v>68</v>
      </c>
      <c r="AB260" s="170" t="s">
        <v>43</v>
      </c>
      <c r="AC260" s="170" t="s">
        <v>44</v>
      </c>
      <c r="AD260" s="170" t="s">
        <v>44</v>
      </c>
      <c r="AE260" s="166"/>
      <c r="AF260" s="171" t="s">
        <v>327</v>
      </c>
      <c r="AG260" s="201" t="s">
        <v>496</v>
      </c>
      <c r="AH260" s="172" t="s">
        <v>156</v>
      </c>
      <c r="AN260" s="25"/>
      <c r="AO260" s="25"/>
      <c r="AR260" s="25"/>
      <c r="AS260" s="25"/>
      <c r="AT260" s="25"/>
    </row>
    <row r="261" spans="1:46" ht="11.25" hidden="1">
      <c r="A261" s="31">
        <v>1</v>
      </c>
      <c r="B261" s="165" t="s">
        <v>212</v>
      </c>
      <c r="C261" s="166">
        <v>-2</v>
      </c>
      <c r="D261" s="166">
        <v>42</v>
      </c>
      <c r="E261" s="166">
        <v>-6</v>
      </c>
      <c r="F261" s="166">
        <v>60</v>
      </c>
      <c r="G261" s="167">
        <v>100</v>
      </c>
      <c r="H261" s="168">
        <v>2.5000000000000001E-3</v>
      </c>
      <c r="I261" s="166">
        <v>26.2</v>
      </c>
      <c r="J261" s="167">
        <v>900</v>
      </c>
      <c r="K261" s="166">
        <v>2.6</v>
      </c>
      <c r="L261" s="167">
        <v>95</v>
      </c>
      <c r="M261" s="166">
        <v>2.1</v>
      </c>
      <c r="N261" s="167">
        <v>85</v>
      </c>
      <c r="O261" s="166">
        <v>5</v>
      </c>
      <c r="P261" s="166">
        <v>2.7</v>
      </c>
      <c r="Q261" s="166">
        <v>12</v>
      </c>
      <c r="R261" s="166">
        <v>3</v>
      </c>
      <c r="S261" s="166">
        <v>13</v>
      </c>
      <c r="T261" s="166" t="s">
        <v>68</v>
      </c>
      <c r="U261" s="167">
        <v>230</v>
      </c>
      <c r="V261" s="166">
        <v>1.4</v>
      </c>
      <c r="W261" s="166">
        <v>80</v>
      </c>
      <c r="X261" s="166">
        <v>-0.05</v>
      </c>
      <c r="Y261" s="166" t="s">
        <v>68</v>
      </c>
      <c r="Z261" s="166" t="s">
        <v>68</v>
      </c>
      <c r="AA261" s="166" t="s">
        <v>68</v>
      </c>
      <c r="AB261" s="170" t="s">
        <v>43</v>
      </c>
      <c r="AC261" s="170" t="s">
        <v>44</v>
      </c>
      <c r="AD261" s="170" t="s">
        <v>44</v>
      </c>
      <c r="AE261" s="166"/>
      <c r="AF261" s="171" t="s">
        <v>327</v>
      </c>
      <c r="AG261" s="201" t="s">
        <v>496</v>
      </c>
      <c r="AH261" s="172" t="s">
        <v>156</v>
      </c>
      <c r="AN261" s="25"/>
      <c r="AO261" s="25"/>
      <c r="AR261" s="25"/>
      <c r="AS261" s="25"/>
      <c r="AT261" s="25"/>
    </row>
    <row r="262" spans="1:46" ht="11.25" hidden="1">
      <c r="A262" s="31">
        <v>1</v>
      </c>
      <c r="B262" s="165" t="s">
        <v>109</v>
      </c>
      <c r="C262" s="166">
        <v>-2</v>
      </c>
      <c r="D262" s="166">
        <v>76</v>
      </c>
      <c r="E262" s="166">
        <v>-6</v>
      </c>
      <c r="F262" s="166">
        <v>80</v>
      </c>
      <c r="G262" s="167">
        <v>50</v>
      </c>
      <c r="H262" s="168">
        <v>2.5000000000000001E-3</v>
      </c>
      <c r="I262" s="166">
        <v>26.2</v>
      </c>
      <c r="J262" s="167">
        <v>900</v>
      </c>
      <c r="K262" s="166">
        <v>2.6</v>
      </c>
      <c r="L262" s="167">
        <v>95</v>
      </c>
      <c r="M262" s="166">
        <v>2.1</v>
      </c>
      <c r="N262" s="167">
        <v>85</v>
      </c>
      <c r="O262" s="166">
        <v>5</v>
      </c>
      <c r="P262" s="166">
        <v>2.7</v>
      </c>
      <c r="Q262" s="166">
        <v>12</v>
      </c>
      <c r="R262" s="166">
        <v>3</v>
      </c>
      <c r="S262" s="166">
        <v>13</v>
      </c>
      <c r="T262" s="166" t="s">
        <v>68</v>
      </c>
      <c r="U262" s="167">
        <v>450</v>
      </c>
      <c r="V262" s="166">
        <v>1.4</v>
      </c>
      <c r="W262" s="166">
        <v>40</v>
      </c>
      <c r="X262" s="166">
        <v>-0.05</v>
      </c>
      <c r="Y262" s="166" t="s">
        <v>68</v>
      </c>
      <c r="Z262" s="166" t="s">
        <v>68</v>
      </c>
      <c r="AA262" s="166" t="s">
        <v>68</v>
      </c>
      <c r="AB262" s="170" t="s">
        <v>43</v>
      </c>
      <c r="AC262" s="170" t="s">
        <v>44</v>
      </c>
      <c r="AD262" s="170" t="s">
        <v>44</v>
      </c>
      <c r="AE262" s="166"/>
      <c r="AF262" s="170" t="s">
        <v>68</v>
      </c>
      <c r="AG262" s="201" t="s">
        <v>496</v>
      </c>
      <c r="AH262" s="172" t="s">
        <v>156</v>
      </c>
      <c r="AN262" s="25"/>
      <c r="AO262" s="25"/>
      <c r="AR262" s="25"/>
      <c r="AS262" s="25"/>
      <c r="AT262" s="25"/>
    </row>
    <row r="263" spans="1:46" ht="11.25" hidden="1">
      <c r="A263" s="31">
        <v>1</v>
      </c>
      <c r="B263" s="165" t="s">
        <v>110</v>
      </c>
      <c r="C263" s="166">
        <v>-2</v>
      </c>
      <c r="D263" s="166">
        <v>76</v>
      </c>
      <c r="E263" s="166">
        <v>-6</v>
      </c>
      <c r="F263" s="166">
        <v>80</v>
      </c>
      <c r="G263" s="167">
        <v>100</v>
      </c>
      <c r="H263" s="168">
        <v>2.5000000000000001E-3</v>
      </c>
      <c r="I263" s="166">
        <v>26.2</v>
      </c>
      <c r="J263" s="167">
        <v>900</v>
      </c>
      <c r="K263" s="166">
        <v>2.6</v>
      </c>
      <c r="L263" s="167">
        <v>95</v>
      </c>
      <c r="M263" s="166">
        <v>2.1</v>
      </c>
      <c r="N263" s="167">
        <v>85</v>
      </c>
      <c r="O263" s="166">
        <v>5</v>
      </c>
      <c r="P263" s="166">
        <v>2.7</v>
      </c>
      <c r="Q263" s="166">
        <v>12</v>
      </c>
      <c r="R263" s="166">
        <v>3</v>
      </c>
      <c r="S263" s="166">
        <v>13</v>
      </c>
      <c r="T263" s="166" t="s">
        <v>68</v>
      </c>
      <c r="U263" s="167">
        <v>230</v>
      </c>
      <c r="V263" s="166">
        <v>1.4</v>
      </c>
      <c r="W263" s="166">
        <v>80</v>
      </c>
      <c r="X263" s="166">
        <v>-0.05</v>
      </c>
      <c r="Y263" s="166" t="s">
        <v>68</v>
      </c>
      <c r="Z263" s="166" t="s">
        <v>68</v>
      </c>
      <c r="AA263" s="166" t="s">
        <v>68</v>
      </c>
      <c r="AB263" s="170" t="s">
        <v>43</v>
      </c>
      <c r="AC263" s="170" t="s">
        <v>44</v>
      </c>
      <c r="AD263" s="170" t="s">
        <v>44</v>
      </c>
      <c r="AE263" s="166"/>
      <c r="AF263" s="170" t="s">
        <v>68</v>
      </c>
      <c r="AG263" s="201" t="s">
        <v>496</v>
      </c>
      <c r="AH263" s="172" t="s">
        <v>156</v>
      </c>
      <c r="AN263" s="25"/>
      <c r="AO263" s="25"/>
      <c r="AR263" s="25"/>
      <c r="AS263" s="25"/>
      <c r="AT263" s="25"/>
    </row>
    <row r="264" spans="1:46" ht="11.25" hidden="1">
      <c r="A264" s="31">
        <v>1</v>
      </c>
      <c r="B264" s="165" t="s">
        <v>108</v>
      </c>
      <c r="C264" s="166">
        <v>-2</v>
      </c>
      <c r="D264" s="166">
        <v>76</v>
      </c>
      <c r="E264" s="166">
        <v>-6</v>
      </c>
      <c r="F264" s="166">
        <v>80</v>
      </c>
      <c r="G264" s="167">
        <v>20</v>
      </c>
      <c r="H264" s="168">
        <v>2.5000000000000001E-3</v>
      </c>
      <c r="I264" s="166">
        <v>26.2</v>
      </c>
      <c r="J264" s="167">
        <v>900</v>
      </c>
      <c r="K264" s="166">
        <v>2.6</v>
      </c>
      <c r="L264" s="167">
        <v>95</v>
      </c>
      <c r="M264" s="166">
        <v>2.1</v>
      </c>
      <c r="N264" s="167">
        <v>85</v>
      </c>
      <c r="O264" s="166">
        <v>5</v>
      </c>
      <c r="P264" s="166">
        <v>2.7</v>
      </c>
      <c r="Q264" s="166">
        <v>12</v>
      </c>
      <c r="R264" s="166">
        <v>3</v>
      </c>
      <c r="S264" s="166">
        <v>113</v>
      </c>
      <c r="T264" s="166" t="s">
        <v>68</v>
      </c>
      <c r="U264" s="167">
        <v>950</v>
      </c>
      <c r="V264" s="166">
        <v>1.4</v>
      </c>
      <c r="W264" s="166">
        <v>18.2</v>
      </c>
      <c r="X264" s="166">
        <v>-0.05</v>
      </c>
      <c r="Y264" s="166" t="s">
        <v>68</v>
      </c>
      <c r="Z264" s="166" t="s">
        <v>68</v>
      </c>
      <c r="AA264" s="166" t="s">
        <v>68</v>
      </c>
      <c r="AB264" s="170" t="s">
        <v>43</v>
      </c>
      <c r="AC264" s="170" t="s">
        <v>44</v>
      </c>
      <c r="AD264" s="170" t="s">
        <v>44</v>
      </c>
      <c r="AE264" s="166"/>
      <c r="AF264" s="170" t="s">
        <v>68</v>
      </c>
      <c r="AG264" s="201" t="s">
        <v>496</v>
      </c>
      <c r="AH264" s="172" t="s">
        <v>156</v>
      </c>
      <c r="AN264" s="25"/>
      <c r="AO264" s="25"/>
      <c r="AR264" s="25"/>
      <c r="AS264" s="25"/>
      <c r="AT264" s="25"/>
    </row>
    <row r="265" spans="1:46" ht="11.25" hidden="1">
      <c r="A265" s="31">
        <v>1</v>
      </c>
      <c r="B265" s="165" t="s">
        <v>210</v>
      </c>
      <c r="C265" s="166">
        <v>-2</v>
      </c>
      <c r="D265" s="166">
        <v>42</v>
      </c>
      <c r="E265" s="166">
        <v>-6</v>
      </c>
      <c r="F265" s="166">
        <v>60</v>
      </c>
      <c r="G265" s="167">
        <v>20</v>
      </c>
      <c r="H265" s="168">
        <v>2.5000000000000001E-3</v>
      </c>
      <c r="I265" s="166">
        <v>26.2</v>
      </c>
      <c r="J265" s="167">
        <v>900</v>
      </c>
      <c r="K265" s="166">
        <v>2.6</v>
      </c>
      <c r="L265" s="167">
        <v>95</v>
      </c>
      <c r="M265" s="166">
        <v>2.1</v>
      </c>
      <c r="N265" s="167">
        <v>85</v>
      </c>
      <c r="O265" s="166">
        <v>5</v>
      </c>
      <c r="P265" s="166">
        <v>2.7</v>
      </c>
      <c r="Q265" s="166">
        <v>12</v>
      </c>
      <c r="R265" s="166">
        <v>3</v>
      </c>
      <c r="S265" s="166">
        <v>13</v>
      </c>
      <c r="T265" s="166" t="s">
        <v>68</v>
      </c>
      <c r="U265" s="167">
        <v>950</v>
      </c>
      <c r="V265" s="166">
        <v>1.4</v>
      </c>
      <c r="W265" s="166">
        <v>18.2</v>
      </c>
      <c r="X265" s="166">
        <v>-0.05</v>
      </c>
      <c r="Y265" s="166" t="s">
        <v>68</v>
      </c>
      <c r="Z265" s="166" t="s">
        <v>68</v>
      </c>
      <c r="AA265" s="166" t="s">
        <v>68</v>
      </c>
      <c r="AB265" s="170" t="s">
        <v>43</v>
      </c>
      <c r="AC265" s="170" t="s">
        <v>44</v>
      </c>
      <c r="AD265" s="170" t="s">
        <v>44</v>
      </c>
      <c r="AE265" s="166"/>
      <c r="AF265" s="171" t="s">
        <v>327</v>
      </c>
      <c r="AG265" s="201" t="s">
        <v>496</v>
      </c>
      <c r="AH265" s="172" t="s">
        <v>156</v>
      </c>
      <c r="AN265" s="25"/>
      <c r="AO265" s="25"/>
      <c r="AR265" s="25"/>
      <c r="AS265" s="25"/>
      <c r="AT265" s="25"/>
    </row>
    <row r="266" spans="1:46" ht="22.5" hidden="1">
      <c r="A266" s="31">
        <v>1</v>
      </c>
      <c r="B266" s="165" t="s">
        <v>82</v>
      </c>
      <c r="C266" s="166">
        <v>-0.2</v>
      </c>
      <c r="D266" s="166">
        <v>2</v>
      </c>
      <c r="E266" s="166">
        <v>-0.3</v>
      </c>
      <c r="F266" s="166">
        <v>5.8</v>
      </c>
      <c r="G266" s="167">
        <v>25</v>
      </c>
      <c r="H266" s="168">
        <v>5.0000000000000001E-3</v>
      </c>
      <c r="I266" s="166">
        <v>25</v>
      </c>
      <c r="J266" s="167">
        <v>32</v>
      </c>
      <c r="K266" s="166">
        <v>0.28000000000000003</v>
      </c>
      <c r="L266" s="167">
        <v>90</v>
      </c>
      <c r="M266" s="166">
        <v>0</v>
      </c>
      <c r="N266" s="167">
        <v>80</v>
      </c>
      <c r="O266" s="166">
        <v>5</v>
      </c>
      <c r="P266" s="166">
        <v>4.5</v>
      </c>
      <c r="Q266" s="166">
        <v>5.5</v>
      </c>
      <c r="R266" s="166">
        <v>13</v>
      </c>
      <c r="S266" s="166">
        <v>0.1</v>
      </c>
      <c r="T266" s="166" t="s">
        <v>68</v>
      </c>
      <c r="U266" s="167" t="s">
        <v>68</v>
      </c>
      <c r="V266" s="166" t="s">
        <v>68</v>
      </c>
      <c r="W266" s="166" t="s">
        <v>68</v>
      </c>
      <c r="X266" s="166" t="s">
        <v>68</v>
      </c>
      <c r="Y266" s="166">
        <v>12</v>
      </c>
      <c r="Z266" s="166">
        <v>8</v>
      </c>
      <c r="AA266" s="166" t="s">
        <v>83</v>
      </c>
      <c r="AB266" s="170" t="s">
        <v>43</v>
      </c>
      <c r="AC266" s="170" t="s">
        <v>44</v>
      </c>
      <c r="AD266" s="170" t="s">
        <v>44</v>
      </c>
      <c r="AE266" s="170" t="s">
        <v>342</v>
      </c>
      <c r="AF266" s="170" t="s">
        <v>68</v>
      </c>
      <c r="AG266" s="202" t="s">
        <v>498</v>
      </c>
      <c r="AH266" s="172" t="s">
        <v>167</v>
      </c>
      <c r="AN266" s="25"/>
      <c r="AO266" s="25"/>
      <c r="AR266" s="25"/>
      <c r="AS266" s="25"/>
      <c r="AT266" s="25"/>
    </row>
    <row r="267" spans="1:46" ht="11.25" hidden="1">
      <c r="A267" s="31"/>
      <c r="B267" s="165"/>
      <c r="C267" s="185"/>
      <c r="D267" s="185"/>
      <c r="E267" s="181"/>
      <c r="F267" s="186"/>
      <c r="G267" s="187"/>
      <c r="H267" s="188"/>
      <c r="I267" s="185"/>
      <c r="J267" s="187"/>
      <c r="K267" s="185"/>
      <c r="L267" s="187"/>
      <c r="M267" s="185"/>
      <c r="N267" s="187"/>
      <c r="O267" s="185"/>
      <c r="P267" s="185"/>
      <c r="Q267" s="185"/>
      <c r="R267" s="185"/>
      <c r="S267" s="185"/>
      <c r="T267" s="185"/>
      <c r="U267" s="187"/>
      <c r="V267" s="185"/>
      <c r="W267" s="185"/>
      <c r="X267" s="185"/>
      <c r="Y267" s="185"/>
      <c r="Z267" s="185"/>
      <c r="AA267" s="185"/>
      <c r="AB267" s="186"/>
      <c r="AC267" s="186"/>
      <c r="AD267" s="186"/>
      <c r="AE267" s="185"/>
      <c r="AF267" s="186"/>
      <c r="AG267" s="206"/>
      <c r="AH267" s="194"/>
      <c r="AN267" s="25"/>
      <c r="AO267" s="25"/>
      <c r="AR267" s="25"/>
      <c r="AS267" s="25"/>
      <c r="AT267" s="25"/>
    </row>
    <row r="268" spans="1:46" ht="11.25" hidden="1">
      <c r="A268" s="31"/>
      <c r="B268" s="165"/>
      <c r="C268" s="185"/>
      <c r="D268" s="185"/>
      <c r="E268" s="181"/>
      <c r="F268" s="186"/>
      <c r="G268" s="187"/>
      <c r="H268" s="188"/>
      <c r="I268" s="185"/>
      <c r="J268" s="187"/>
      <c r="K268" s="185"/>
      <c r="L268" s="187"/>
      <c r="M268" s="185"/>
      <c r="N268" s="187"/>
      <c r="O268" s="185"/>
      <c r="P268" s="185"/>
      <c r="Q268" s="185"/>
      <c r="R268" s="185"/>
      <c r="S268" s="185"/>
      <c r="T268" s="185"/>
      <c r="U268" s="187"/>
      <c r="V268" s="185"/>
      <c r="W268" s="185"/>
      <c r="X268" s="185"/>
      <c r="Y268" s="185"/>
      <c r="Z268" s="185"/>
      <c r="AA268" s="185"/>
      <c r="AB268" s="186"/>
      <c r="AC268" s="186"/>
      <c r="AD268" s="186"/>
      <c r="AE268" s="185"/>
      <c r="AF268" s="186"/>
      <c r="AG268" s="206"/>
      <c r="AH268" s="194"/>
      <c r="AN268" s="25"/>
      <c r="AO268" s="25"/>
      <c r="AR268" s="25"/>
      <c r="AS268" s="25"/>
      <c r="AT268" s="25"/>
    </row>
    <row r="269" spans="1:46" ht="11.25" hidden="1">
      <c r="A269" s="31"/>
      <c r="B269" s="165"/>
      <c r="C269" s="185"/>
      <c r="D269" s="185"/>
      <c r="E269" s="181"/>
      <c r="F269" s="186"/>
      <c r="G269" s="187"/>
      <c r="H269" s="188"/>
      <c r="I269" s="185"/>
      <c r="J269" s="187"/>
      <c r="K269" s="185"/>
      <c r="L269" s="187"/>
      <c r="M269" s="185"/>
      <c r="N269" s="187"/>
      <c r="O269" s="185"/>
      <c r="P269" s="185"/>
      <c r="Q269" s="185"/>
      <c r="R269" s="185"/>
      <c r="S269" s="185"/>
      <c r="T269" s="185"/>
      <c r="U269" s="187"/>
      <c r="V269" s="185"/>
      <c r="W269" s="185"/>
      <c r="X269" s="185"/>
      <c r="Y269" s="185"/>
      <c r="Z269" s="185"/>
      <c r="AA269" s="185"/>
      <c r="AB269" s="186"/>
      <c r="AC269" s="186"/>
      <c r="AD269" s="186"/>
      <c r="AE269" s="185"/>
      <c r="AF269" s="186"/>
      <c r="AG269" s="206"/>
      <c r="AH269" s="194"/>
      <c r="AN269" s="25"/>
      <c r="AO269" s="25"/>
      <c r="AR269" s="25"/>
      <c r="AS269" s="25"/>
      <c r="AT269" s="25"/>
    </row>
    <row r="270" spans="1:46" ht="11.25" hidden="1">
      <c r="A270" s="31"/>
      <c r="B270" s="165"/>
      <c r="C270" s="185"/>
      <c r="D270" s="185"/>
      <c r="E270" s="181"/>
      <c r="F270" s="186"/>
      <c r="G270" s="187"/>
      <c r="H270" s="188"/>
      <c r="I270" s="185"/>
      <c r="J270" s="187"/>
      <c r="K270" s="185"/>
      <c r="L270" s="187"/>
      <c r="M270" s="185"/>
      <c r="N270" s="187"/>
      <c r="O270" s="185"/>
      <c r="P270" s="185"/>
      <c r="Q270" s="185"/>
      <c r="R270" s="185"/>
      <c r="S270" s="185"/>
      <c r="T270" s="185"/>
      <c r="U270" s="187"/>
      <c r="V270" s="185"/>
      <c r="W270" s="185"/>
      <c r="X270" s="185"/>
      <c r="Y270" s="185"/>
      <c r="Z270" s="185"/>
      <c r="AA270" s="185"/>
      <c r="AB270" s="186"/>
      <c r="AC270" s="186"/>
      <c r="AD270" s="186"/>
      <c r="AE270" s="185"/>
      <c r="AF270" s="186"/>
      <c r="AG270" s="206"/>
      <c r="AH270" s="194"/>
      <c r="AN270" s="25"/>
      <c r="AO270" s="25"/>
      <c r="AR270" s="25"/>
      <c r="AS270" s="25"/>
      <c r="AT270" s="25"/>
    </row>
    <row r="271" spans="1:46" ht="11.25" hidden="1">
      <c r="A271" s="31"/>
      <c r="B271" s="165"/>
      <c r="C271" s="185"/>
      <c r="D271" s="185"/>
      <c r="E271" s="181"/>
      <c r="F271" s="186"/>
      <c r="G271" s="187"/>
      <c r="H271" s="188"/>
      <c r="I271" s="185"/>
      <c r="J271" s="187"/>
      <c r="K271" s="185"/>
      <c r="L271" s="187"/>
      <c r="M271" s="185"/>
      <c r="N271" s="187"/>
      <c r="O271" s="185"/>
      <c r="P271" s="185"/>
      <c r="Q271" s="185"/>
      <c r="R271" s="185"/>
      <c r="S271" s="185"/>
      <c r="T271" s="185"/>
      <c r="U271" s="187"/>
      <c r="V271" s="185"/>
      <c r="W271" s="185"/>
      <c r="X271" s="185"/>
      <c r="Y271" s="185"/>
      <c r="Z271" s="185"/>
      <c r="AA271" s="185"/>
      <c r="AB271" s="186"/>
      <c r="AC271" s="186"/>
      <c r="AD271" s="186"/>
      <c r="AE271" s="185"/>
      <c r="AF271" s="186"/>
      <c r="AG271" s="206"/>
      <c r="AH271" s="194"/>
      <c r="AN271" s="25"/>
      <c r="AO271" s="25"/>
      <c r="AR271" s="25"/>
      <c r="AS271" s="25"/>
      <c r="AT271" s="25"/>
    </row>
    <row r="272" spans="1:46" ht="11.25" hidden="1">
      <c r="A272" s="31"/>
      <c r="B272" s="165"/>
      <c r="C272" s="185"/>
      <c r="D272" s="185"/>
      <c r="E272" s="181"/>
      <c r="F272" s="186"/>
      <c r="G272" s="187"/>
      <c r="H272" s="188"/>
      <c r="I272" s="185"/>
      <c r="J272" s="187"/>
      <c r="K272" s="185"/>
      <c r="L272" s="187"/>
      <c r="M272" s="185"/>
      <c r="N272" s="187"/>
      <c r="O272" s="185"/>
      <c r="P272" s="185"/>
      <c r="Q272" s="185"/>
      <c r="R272" s="185"/>
      <c r="S272" s="185"/>
      <c r="T272" s="185"/>
      <c r="U272" s="187"/>
      <c r="V272" s="185"/>
      <c r="W272" s="185"/>
      <c r="X272" s="185"/>
      <c r="Y272" s="185"/>
      <c r="Z272" s="185"/>
      <c r="AA272" s="185"/>
      <c r="AB272" s="186"/>
      <c r="AC272" s="186"/>
      <c r="AD272" s="186"/>
      <c r="AE272" s="185"/>
      <c r="AF272" s="186"/>
      <c r="AG272" s="206"/>
      <c r="AH272" s="194"/>
      <c r="AN272" s="25"/>
      <c r="AO272" s="25"/>
      <c r="AR272" s="25"/>
      <c r="AS272" s="25"/>
      <c r="AT272" s="25"/>
    </row>
    <row r="273" spans="1:46" ht="11.25" hidden="1">
      <c r="A273" s="31"/>
      <c r="B273" s="165"/>
      <c r="C273" s="185"/>
      <c r="D273" s="185"/>
      <c r="E273" s="181"/>
      <c r="F273" s="186"/>
      <c r="G273" s="187"/>
      <c r="H273" s="188"/>
      <c r="I273" s="185"/>
      <c r="J273" s="187"/>
      <c r="K273" s="185"/>
      <c r="L273" s="187"/>
      <c r="M273" s="185"/>
      <c r="N273" s="187"/>
      <c r="O273" s="185"/>
      <c r="P273" s="185"/>
      <c r="Q273" s="185"/>
      <c r="R273" s="185"/>
      <c r="S273" s="185"/>
      <c r="T273" s="185"/>
      <c r="U273" s="187"/>
      <c r="V273" s="185"/>
      <c r="W273" s="185"/>
      <c r="X273" s="185"/>
      <c r="Y273" s="185"/>
      <c r="Z273" s="185"/>
      <c r="AA273" s="185"/>
      <c r="AB273" s="186"/>
      <c r="AC273" s="186"/>
      <c r="AD273" s="186"/>
      <c r="AE273" s="185"/>
      <c r="AF273" s="186"/>
      <c r="AG273" s="206"/>
      <c r="AH273" s="194"/>
      <c r="AN273" s="25"/>
      <c r="AO273" s="25"/>
      <c r="AR273" s="25"/>
      <c r="AS273" s="25"/>
      <c r="AT273" s="25"/>
    </row>
    <row r="274" spans="1:46" ht="11.25" hidden="1">
      <c r="A274" s="31"/>
      <c r="B274" s="165"/>
      <c r="C274" s="185"/>
      <c r="D274" s="185"/>
      <c r="E274" s="181"/>
      <c r="F274" s="186"/>
      <c r="G274" s="187"/>
      <c r="H274" s="188"/>
      <c r="I274" s="185"/>
      <c r="J274" s="187"/>
      <c r="K274" s="185"/>
      <c r="L274" s="187"/>
      <c r="M274" s="185"/>
      <c r="N274" s="187"/>
      <c r="O274" s="185"/>
      <c r="P274" s="185"/>
      <c r="Q274" s="185"/>
      <c r="R274" s="185"/>
      <c r="S274" s="185"/>
      <c r="T274" s="185"/>
      <c r="U274" s="187"/>
      <c r="V274" s="185"/>
      <c r="W274" s="185"/>
      <c r="X274" s="185"/>
      <c r="Y274" s="185"/>
      <c r="Z274" s="185"/>
      <c r="AA274" s="185"/>
      <c r="AB274" s="186"/>
      <c r="AC274" s="186"/>
      <c r="AD274" s="186"/>
      <c r="AE274" s="185"/>
      <c r="AF274" s="186"/>
      <c r="AG274" s="206"/>
      <c r="AH274" s="194"/>
      <c r="AN274" s="25"/>
      <c r="AO274" s="25"/>
      <c r="AR274" s="25"/>
      <c r="AS274" s="25"/>
      <c r="AT274" s="25"/>
    </row>
    <row r="275" spans="1:46" ht="11.25" hidden="1">
      <c r="A275" s="31"/>
      <c r="B275" s="165"/>
      <c r="C275" s="185"/>
      <c r="D275" s="185"/>
      <c r="E275" s="181"/>
      <c r="F275" s="186"/>
      <c r="G275" s="187"/>
      <c r="H275" s="188"/>
      <c r="I275" s="185"/>
      <c r="J275" s="187"/>
      <c r="K275" s="185"/>
      <c r="L275" s="187"/>
      <c r="M275" s="185"/>
      <c r="N275" s="187"/>
      <c r="O275" s="185"/>
      <c r="P275" s="185"/>
      <c r="Q275" s="185"/>
      <c r="R275" s="185"/>
      <c r="S275" s="185"/>
      <c r="T275" s="185"/>
      <c r="U275" s="187"/>
      <c r="V275" s="185"/>
      <c r="W275" s="185"/>
      <c r="X275" s="185"/>
      <c r="Y275" s="185"/>
      <c r="Z275" s="185"/>
      <c r="AA275" s="185"/>
      <c r="AB275" s="186"/>
      <c r="AC275" s="186"/>
      <c r="AD275" s="186"/>
      <c r="AE275" s="185"/>
      <c r="AF275" s="186"/>
      <c r="AG275" s="206"/>
      <c r="AH275" s="194"/>
      <c r="AN275" s="25"/>
      <c r="AO275" s="25"/>
      <c r="AR275" s="25"/>
      <c r="AS275" s="25"/>
      <c r="AT275" s="25"/>
    </row>
    <row r="276" spans="1:46" ht="11.25" hidden="1">
      <c r="A276" s="31"/>
      <c r="B276" s="165"/>
      <c r="C276" s="185"/>
      <c r="D276" s="185"/>
      <c r="E276" s="181"/>
      <c r="F276" s="186"/>
      <c r="G276" s="187"/>
      <c r="H276" s="188"/>
      <c r="I276" s="185"/>
      <c r="J276" s="187"/>
      <c r="K276" s="185"/>
      <c r="L276" s="187"/>
      <c r="M276" s="185"/>
      <c r="N276" s="187"/>
      <c r="O276" s="185"/>
      <c r="P276" s="185"/>
      <c r="Q276" s="185"/>
      <c r="R276" s="185"/>
      <c r="S276" s="185"/>
      <c r="T276" s="185"/>
      <c r="U276" s="187"/>
      <c r="V276" s="185"/>
      <c r="W276" s="185"/>
      <c r="X276" s="185"/>
      <c r="Y276" s="185"/>
      <c r="Z276" s="185"/>
      <c r="AA276" s="185"/>
      <c r="AB276" s="186"/>
      <c r="AC276" s="186"/>
      <c r="AD276" s="186"/>
      <c r="AE276" s="185"/>
      <c r="AF276" s="186"/>
      <c r="AG276" s="206"/>
      <c r="AH276" s="194"/>
      <c r="AN276" s="25"/>
      <c r="AO276" s="25"/>
      <c r="AR276" s="25"/>
      <c r="AS276" s="25"/>
      <c r="AT276" s="25"/>
    </row>
    <row r="277" spans="1:46" ht="11.25" hidden="1">
      <c r="A277" s="31"/>
      <c r="B277" s="165"/>
      <c r="C277" s="185"/>
      <c r="D277" s="185"/>
      <c r="E277" s="181"/>
      <c r="F277" s="186"/>
      <c r="G277" s="187"/>
      <c r="H277" s="188"/>
      <c r="I277" s="185"/>
      <c r="J277" s="187"/>
      <c r="K277" s="185"/>
      <c r="L277" s="187"/>
      <c r="M277" s="185"/>
      <c r="N277" s="187"/>
      <c r="O277" s="185"/>
      <c r="P277" s="185"/>
      <c r="Q277" s="185"/>
      <c r="R277" s="185"/>
      <c r="S277" s="185"/>
      <c r="T277" s="185"/>
      <c r="U277" s="187"/>
      <c r="V277" s="185"/>
      <c r="W277" s="185"/>
      <c r="X277" s="185"/>
      <c r="Y277" s="185"/>
      <c r="Z277" s="185"/>
      <c r="AA277" s="185"/>
      <c r="AB277" s="186"/>
      <c r="AC277" s="186"/>
      <c r="AD277" s="186"/>
      <c r="AE277" s="185"/>
      <c r="AF277" s="186"/>
      <c r="AG277" s="206"/>
      <c r="AH277" s="194"/>
      <c r="AN277" s="25"/>
      <c r="AO277" s="25"/>
      <c r="AR277" s="25"/>
      <c r="AS277" s="25"/>
      <c r="AT277" s="25"/>
    </row>
    <row r="278" spans="1:46" ht="11.25" hidden="1">
      <c r="A278" s="31"/>
      <c r="B278" s="165"/>
      <c r="C278" s="185"/>
      <c r="D278" s="185"/>
      <c r="E278" s="181"/>
      <c r="F278" s="186"/>
      <c r="G278" s="187"/>
      <c r="H278" s="188"/>
      <c r="I278" s="185"/>
      <c r="J278" s="187"/>
      <c r="K278" s="185"/>
      <c r="L278" s="187"/>
      <c r="M278" s="185"/>
      <c r="N278" s="187"/>
      <c r="O278" s="185"/>
      <c r="P278" s="185"/>
      <c r="Q278" s="185"/>
      <c r="R278" s="185"/>
      <c r="S278" s="185"/>
      <c r="T278" s="185"/>
      <c r="U278" s="187"/>
      <c r="V278" s="185"/>
      <c r="W278" s="185"/>
      <c r="X278" s="185"/>
      <c r="Y278" s="185"/>
      <c r="Z278" s="185"/>
      <c r="AA278" s="185"/>
      <c r="AB278" s="186"/>
      <c r="AC278" s="186"/>
      <c r="AD278" s="186"/>
      <c r="AE278" s="185"/>
      <c r="AF278" s="186"/>
      <c r="AG278" s="206"/>
      <c r="AH278" s="194"/>
      <c r="AN278" s="25"/>
      <c r="AO278" s="25"/>
      <c r="AR278" s="25"/>
      <c r="AS278" s="25"/>
      <c r="AT278" s="25"/>
    </row>
    <row r="279" spans="1:46" ht="11.25" hidden="1">
      <c r="A279" s="31"/>
      <c r="B279" s="165"/>
      <c r="C279" s="185"/>
      <c r="D279" s="185"/>
      <c r="E279" s="181"/>
      <c r="F279" s="186"/>
      <c r="G279" s="187"/>
      <c r="H279" s="188"/>
      <c r="I279" s="185"/>
      <c r="J279" s="187"/>
      <c r="K279" s="185"/>
      <c r="L279" s="187"/>
      <c r="M279" s="185"/>
      <c r="N279" s="187"/>
      <c r="O279" s="185"/>
      <c r="P279" s="185"/>
      <c r="Q279" s="185"/>
      <c r="R279" s="185"/>
      <c r="S279" s="185"/>
      <c r="T279" s="185"/>
      <c r="U279" s="187"/>
      <c r="V279" s="185"/>
      <c r="W279" s="185"/>
      <c r="X279" s="185"/>
      <c r="Y279" s="185"/>
      <c r="Z279" s="185"/>
      <c r="AA279" s="185"/>
      <c r="AB279" s="186"/>
      <c r="AC279" s="186"/>
      <c r="AD279" s="186"/>
      <c r="AE279" s="185"/>
      <c r="AF279" s="186"/>
      <c r="AG279" s="206"/>
      <c r="AH279" s="194"/>
      <c r="AN279" s="25"/>
      <c r="AO279" s="25"/>
      <c r="AR279" s="25"/>
      <c r="AS279" s="25"/>
      <c r="AT279" s="25"/>
    </row>
    <row r="280" spans="1:46" ht="11.25" hidden="1">
      <c r="A280" s="31"/>
      <c r="B280" s="165"/>
      <c r="C280" s="185"/>
      <c r="D280" s="185"/>
      <c r="E280" s="181"/>
      <c r="F280" s="186"/>
      <c r="G280" s="187"/>
      <c r="H280" s="188"/>
      <c r="I280" s="185"/>
      <c r="J280" s="187"/>
      <c r="K280" s="185"/>
      <c r="L280" s="187"/>
      <c r="M280" s="185"/>
      <c r="N280" s="187"/>
      <c r="O280" s="185"/>
      <c r="P280" s="185"/>
      <c r="Q280" s="185"/>
      <c r="R280" s="185"/>
      <c r="S280" s="185"/>
      <c r="T280" s="185"/>
      <c r="U280" s="187"/>
      <c r="V280" s="185"/>
      <c r="W280" s="185"/>
      <c r="X280" s="185"/>
      <c r="Y280" s="185"/>
      <c r="Z280" s="185"/>
      <c r="AA280" s="185"/>
      <c r="AB280" s="186"/>
      <c r="AC280" s="186"/>
      <c r="AD280" s="186"/>
      <c r="AE280" s="185"/>
      <c r="AF280" s="186"/>
      <c r="AG280" s="206"/>
      <c r="AH280" s="194"/>
      <c r="AN280" s="25"/>
      <c r="AO280" s="25"/>
      <c r="AR280" s="25"/>
      <c r="AS280" s="25"/>
      <c r="AT280" s="25"/>
    </row>
    <row r="281" spans="1:46" ht="11.25" hidden="1">
      <c r="A281" s="31"/>
      <c r="B281" s="165"/>
      <c r="C281" s="185"/>
      <c r="D281" s="185"/>
      <c r="E281" s="181"/>
      <c r="F281" s="186"/>
      <c r="G281" s="187"/>
      <c r="H281" s="188"/>
      <c r="I281" s="185"/>
      <c r="J281" s="187"/>
      <c r="K281" s="185"/>
      <c r="L281" s="187"/>
      <c r="M281" s="185"/>
      <c r="N281" s="187"/>
      <c r="O281" s="185"/>
      <c r="P281" s="185"/>
      <c r="Q281" s="185"/>
      <c r="R281" s="185"/>
      <c r="S281" s="185"/>
      <c r="T281" s="185"/>
      <c r="U281" s="187"/>
      <c r="V281" s="185"/>
      <c r="W281" s="185"/>
      <c r="X281" s="185"/>
      <c r="Y281" s="185"/>
      <c r="Z281" s="185"/>
      <c r="AA281" s="185"/>
      <c r="AB281" s="186"/>
      <c r="AC281" s="186"/>
      <c r="AD281" s="186"/>
      <c r="AE281" s="185"/>
      <c r="AF281" s="186"/>
      <c r="AG281" s="206"/>
      <c r="AH281" s="194"/>
      <c r="AN281" s="25"/>
      <c r="AO281" s="25"/>
      <c r="AR281" s="25"/>
      <c r="AS281" s="25"/>
      <c r="AT281" s="25"/>
    </row>
    <row r="282" spans="1:46" ht="11.25" hidden="1">
      <c r="A282" s="31"/>
      <c r="B282" s="165"/>
      <c r="C282" s="185"/>
      <c r="D282" s="185"/>
      <c r="E282" s="181"/>
      <c r="F282" s="186"/>
      <c r="G282" s="187"/>
      <c r="H282" s="188"/>
      <c r="I282" s="185"/>
      <c r="J282" s="187"/>
      <c r="K282" s="185"/>
      <c r="L282" s="187"/>
      <c r="M282" s="185"/>
      <c r="N282" s="187"/>
      <c r="O282" s="185"/>
      <c r="P282" s="185"/>
      <c r="Q282" s="185"/>
      <c r="R282" s="185"/>
      <c r="S282" s="185"/>
      <c r="T282" s="185"/>
      <c r="U282" s="187"/>
      <c r="V282" s="185"/>
      <c r="W282" s="185"/>
      <c r="X282" s="185"/>
      <c r="Y282" s="185"/>
      <c r="Z282" s="185"/>
      <c r="AA282" s="185"/>
      <c r="AB282" s="186"/>
      <c r="AC282" s="186"/>
      <c r="AD282" s="186"/>
      <c r="AE282" s="185"/>
      <c r="AF282" s="186"/>
      <c r="AG282" s="206"/>
      <c r="AH282" s="194"/>
      <c r="AN282" s="25"/>
      <c r="AO282" s="25"/>
      <c r="AR282" s="25"/>
      <c r="AS282" s="25"/>
      <c r="AT282" s="25"/>
    </row>
    <row r="283" spans="1:46" ht="11.25" hidden="1">
      <c r="A283" s="31"/>
      <c r="B283" s="165"/>
      <c r="C283" s="185"/>
      <c r="D283" s="185"/>
      <c r="E283" s="181"/>
      <c r="F283" s="186"/>
      <c r="G283" s="187"/>
      <c r="H283" s="188"/>
      <c r="I283" s="185"/>
      <c r="J283" s="187"/>
      <c r="K283" s="185"/>
      <c r="L283" s="187"/>
      <c r="M283" s="185"/>
      <c r="N283" s="187"/>
      <c r="O283" s="185"/>
      <c r="P283" s="185"/>
      <c r="Q283" s="185"/>
      <c r="R283" s="185"/>
      <c r="S283" s="185"/>
      <c r="T283" s="185"/>
      <c r="U283" s="187"/>
      <c r="V283" s="185"/>
      <c r="W283" s="185"/>
      <c r="X283" s="185"/>
      <c r="Y283" s="185"/>
      <c r="Z283" s="185"/>
      <c r="AA283" s="185"/>
      <c r="AB283" s="186"/>
      <c r="AC283" s="186"/>
      <c r="AD283" s="186"/>
      <c r="AE283" s="185"/>
      <c r="AF283" s="186"/>
      <c r="AG283" s="206"/>
      <c r="AH283" s="194"/>
      <c r="AN283" s="25"/>
      <c r="AO283" s="25"/>
      <c r="AR283" s="25"/>
      <c r="AS283" s="25"/>
      <c r="AT283" s="25"/>
    </row>
    <row r="284" spans="1:46" ht="11.25" hidden="1">
      <c r="A284" s="31"/>
      <c r="B284" s="165"/>
      <c r="C284" s="185"/>
      <c r="D284" s="185"/>
      <c r="E284" s="181"/>
      <c r="F284" s="186"/>
      <c r="G284" s="187"/>
      <c r="H284" s="188"/>
      <c r="I284" s="185"/>
      <c r="J284" s="187"/>
      <c r="K284" s="185"/>
      <c r="L284" s="187"/>
      <c r="M284" s="185"/>
      <c r="N284" s="187"/>
      <c r="O284" s="185"/>
      <c r="P284" s="185"/>
      <c r="Q284" s="185"/>
      <c r="R284" s="185"/>
      <c r="S284" s="185"/>
      <c r="T284" s="185"/>
      <c r="U284" s="187"/>
      <c r="V284" s="185"/>
      <c r="W284" s="185"/>
      <c r="X284" s="185"/>
      <c r="Y284" s="185"/>
      <c r="Z284" s="185"/>
      <c r="AA284" s="185"/>
      <c r="AB284" s="186"/>
      <c r="AC284" s="186"/>
      <c r="AD284" s="186"/>
      <c r="AE284" s="185"/>
      <c r="AF284" s="186"/>
      <c r="AG284" s="206"/>
      <c r="AH284" s="194"/>
      <c r="AN284" s="25"/>
      <c r="AO284" s="25"/>
      <c r="AR284" s="25"/>
      <c r="AS284" s="25"/>
      <c r="AT284" s="25"/>
    </row>
    <row r="285" spans="1:46" ht="11.25" hidden="1">
      <c r="A285" s="31"/>
      <c r="B285" s="165"/>
      <c r="C285" s="185"/>
      <c r="D285" s="185"/>
      <c r="E285" s="181"/>
      <c r="F285" s="186"/>
      <c r="G285" s="187"/>
      <c r="H285" s="188"/>
      <c r="I285" s="185"/>
      <c r="J285" s="187"/>
      <c r="K285" s="185"/>
      <c r="L285" s="187"/>
      <c r="M285" s="185"/>
      <c r="N285" s="187"/>
      <c r="O285" s="185"/>
      <c r="P285" s="185"/>
      <c r="Q285" s="185"/>
      <c r="R285" s="185"/>
      <c r="S285" s="185"/>
      <c r="T285" s="185"/>
      <c r="U285" s="187"/>
      <c r="V285" s="185"/>
      <c r="W285" s="185"/>
      <c r="X285" s="185"/>
      <c r="Y285" s="185"/>
      <c r="Z285" s="185"/>
      <c r="AA285" s="185"/>
      <c r="AB285" s="186"/>
      <c r="AC285" s="186"/>
      <c r="AD285" s="186"/>
      <c r="AE285" s="185"/>
      <c r="AF285" s="186"/>
      <c r="AG285" s="206"/>
      <c r="AH285" s="194"/>
      <c r="AN285" s="25"/>
      <c r="AO285" s="25"/>
      <c r="AR285" s="25"/>
      <c r="AS285" s="25"/>
      <c r="AT285" s="25"/>
    </row>
    <row r="286" spans="1:46" ht="11.25" hidden="1">
      <c r="A286" s="31"/>
      <c r="B286" s="165"/>
      <c r="C286" s="185"/>
      <c r="D286" s="185"/>
      <c r="E286" s="181"/>
      <c r="F286" s="186"/>
      <c r="G286" s="187"/>
      <c r="H286" s="188"/>
      <c r="I286" s="185"/>
      <c r="J286" s="187"/>
      <c r="K286" s="185"/>
      <c r="L286" s="187"/>
      <c r="M286" s="185"/>
      <c r="N286" s="187"/>
      <c r="O286" s="185"/>
      <c r="P286" s="185"/>
      <c r="Q286" s="185"/>
      <c r="R286" s="185"/>
      <c r="S286" s="185"/>
      <c r="T286" s="185"/>
      <c r="U286" s="187"/>
      <c r="V286" s="185"/>
      <c r="W286" s="185"/>
      <c r="X286" s="185"/>
      <c r="Y286" s="185"/>
      <c r="Z286" s="185"/>
      <c r="AA286" s="185"/>
      <c r="AB286" s="186"/>
      <c r="AC286" s="186"/>
      <c r="AD286" s="186"/>
      <c r="AE286" s="185"/>
      <c r="AF286" s="186"/>
      <c r="AG286" s="206"/>
      <c r="AH286" s="194"/>
      <c r="AN286" s="25"/>
      <c r="AO286" s="25"/>
      <c r="AR286" s="25"/>
      <c r="AS286" s="25"/>
      <c r="AT286" s="25"/>
    </row>
    <row r="287" spans="1:46" ht="11.25" hidden="1">
      <c r="A287" s="31"/>
      <c r="B287" s="165"/>
      <c r="C287" s="185"/>
      <c r="D287" s="185"/>
      <c r="E287" s="181"/>
      <c r="F287" s="186"/>
      <c r="G287" s="187"/>
      <c r="H287" s="188"/>
      <c r="I287" s="185"/>
      <c r="J287" s="187"/>
      <c r="K287" s="185"/>
      <c r="L287" s="187"/>
      <c r="M287" s="185"/>
      <c r="N287" s="187"/>
      <c r="O287" s="185"/>
      <c r="P287" s="185"/>
      <c r="Q287" s="185"/>
      <c r="R287" s="185"/>
      <c r="S287" s="185"/>
      <c r="T287" s="185"/>
      <c r="U287" s="187"/>
      <c r="V287" s="185"/>
      <c r="W287" s="185"/>
      <c r="X287" s="185"/>
      <c r="Y287" s="185"/>
      <c r="Z287" s="185"/>
      <c r="AA287" s="185"/>
      <c r="AB287" s="186"/>
      <c r="AC287" s="186"/>
      <c r="AD287" s="186"/>
      <c r="AE287" s="185"/>
      <c r="AF287" s="186"/>
      <c r="AG287" s="206"/>
      <c r="AH287" s="194"/>
      <c r="AN287" s="25"/>
      <c r="AO287" s="25"/>
      <c r="AR287" s="25"/>
      <c r="AS287" s="25"/>
      <c r="AT287" s="25"/>
    </row>
    <row r="288" spans="1:46" ht="11.25" hidden="1">
      <c r="A288" s="31"/>
      <c r="B288" s="165"/>
      <c r="C288" s="185"/>
      <c r="D288" s="185"/>
      <c r="E288" s="181"/>
      <c r="F288" s="186"/>
      <c r="G288" s="187"/>
      <c r="H288" s="188"/>
      <c r="I288" s="185"/>
      <c r="J288" s="187"/>
      <c r="K288" s="185"/>
      <c r="L288" s="187"/>
      <c r="M288" s="185"/>
      <c r="N288" s="187"/>
      <c r="O288" s="185"/>
      <c r="P288" s="185"/>
      <c r="Q288" s="185"/>
      <c r="R288" s="185"/>
      <c r="S288" s="185"/>
      <c r="T288" s="185"/>
      <c r="U288" s="187"/>
      <c r="V288" s="185"/>
      <c r="W288" s="185"/>
      <c r="X288" s="185"/>
      <c r="Y288" s="185"/>
      <c r="Z288" s="185"/>
      <c r="AA288" s="185"/>
      <c r="AB288" s="186"/>
      <c r="AC288" s="186"/>
      <c r="AD288" s="186"/>
      <c r="AE288" s="185"/>
      <c r="AF288" s="186"/>
      <c r="AG288" s="206"/>
      <c r="AH288" s="194"/>
      <c r="AN288" s="25"/>
      <c r="AO288" s="25"/>
      <c r="AR288" s="25"/>
      <c r="AS288" s="25"/>
      <c r="AT288" s="25"/>
    </row>
    <row r="289" spans="1:46" ht="11.25" hidden="1">
      <c r="A289" s="31"/>
      <c r="B289" s="165"/>
      <c r="C289" s="185"/>
      <c r="D289" s="185"/>
      <c r="E289" s="181"/>
      <c r="F289" s="186"/>
      <c r="G289" s="187"/>
      <c r="H289" s="188"/>
      <c r="I289" s="185"/>
      <c r="J289" s="187"/>
      <c r="K289" s="185"/>
      <c r="L289" s="187"/>
      <c r="M289" s="185"/>
      <c r="N289" s="187"/>
      <c r="O289" s="185"/>
      <c r="P289" s="185"/>
      <c r="Q289" s="185"/>
      <c r="R289" s="185"/>
      <c r="S289" s="185"/>
      <c r="T289" s="185"/>
      <c r="U289" s="187"/>
      <c r="V289" s="185"/>
      <c r="W289" s="185"/>
      <c r="X289" s="185"/>
      <c r="Y289" s="185"/>
      <c r="Z289" s="185"/>
      <c r="AA289" s="185"/>
      <c r="AB289" s="186"/>
      <c r="AC289" s="186"/>
      <c r="AD289" s="186"/>
      <c r="AE289" s="185"/>
      <c r="AF289" s="186"/>
      <c r="AG289" s="206"/>
      <c r="AH289" s="194"/>
      <c r="AN289" s="25"/>
      <c r="AO289" s="25"/>
      <c r="AR289" s="25"/>
      <c r="AS289" s="25"/>
      <c r="AT289" s="25"/>
    </row>
    <row r="290" spans="1:46" ht="11.25" hidden="1">
      <c r="A290" s="31"/>
      <c r="B290" s="165"/>
      <c r="C290" s="185"/>
      <c r="D290" s="185"/>
      <c r="E290" s="181"/>
      <c r="F290" s="186"/>
      <c r="G290" s="187"/>
      <c r="H290" s="188"/>
      <c r="I290" s="185"/>
      <c r="J290" s="187"/>
      <c r="K290" s="185"/>
      <c r="L290" s="187"/>
      <c r="M290" s="185"/>
      <c r="N290" s="187"/>
      <c r="O290" s="185"/>
      <c r="P290" s="185"/>
      <c r="Q290" s="185"/>
      <c r="R290" s="185"/>
      <c r="S290" s="185"/>
      <c r="T290" s="185"/>
      <c r="U290" s="187"/>
      <c r="V290" s="185"/>
      <c r="W290" s="185"/>
      <c r="X290" s="185"/>
      <c r="Y290" s="185"/>
      <c r="Z290" s="185"/>
      <c r="AA290" s="185"/>
      <c r="AB290" s="186"/>
      <c r="AC290" s="186"/>
      <c r="AD290" s="186"/>
      <c r="AE290" s="185"/>
      <c r="AF290" s="186"/>
      <c r="AG290" s="206"/>
      <c r="AH290" s="194"/>
      <c r="AN290" s="25"/>
      <c r="AO290" s="25"/>
      <c r="AR290" s="25"/>
      <c r="AS290" s="25"/>
      <c r="AT290" s="25"/>
    </row>
    <row r="291" spans="1:46" ht="11.25" hidden="1">
      <c r="A291" s="31"/>
      <c r="B291" s="165"/>
      <c r="C291" s="185"/>
      <c r="D291" s="185"/>
      <c r="E291" s="181"/>
      <c r="F291" s="186"/>
      <c r="G291" s="187"/>
      <c r="H291" s="188"/>
      <c r="I291" s="185"/>
      <c r="J291" s="187"/>
      <c r="K291" s="185"/>
      <c r="L291" s="187"/>
      <c r="M291" s="185"/>
      <c r="N291" s="187"/>
      <c r="O291" s="185"/>
      <c r="P291" s="185"/>
      <c r="Q291" s="185"/>
      <c r="R291" s="185"/>
      <c r="S291" s="185"/>
      <c r="T291" s="185"/>
      <c r="U291" s="187"/>
      <c r="V291" s="185"/>
      <c r="W291" s="185"/>
      <c r="X291" s="185"/>
      <c r="Y291" s="185"/>
      <c r="Z291" s="185"/>
      <c r="AA291" s="185"/>
      <c r="AB291" s="186"/>
      <c r="AC291" s="186"/>
      <c r="AD291" s="186"/>
      <c r="AE291" s="185"/>
      <c r="AF291" s="186"/>
      <c r="AG291" s="206"/>
      <c r="AH291" s="194"/>
      <c r="AN291" s="25"/>
      <c r="AO291" s="25"/>
      <c r="AR291" s="25"/>
      <c r="AS291" s="25"/>
      <c r="AT291" s="25"/>
    </row>
    <row r="292" spans="1:46" ht="11.25" hidden="1">
      <c r="A292" s="31"/>
      <c r="B292" s="165"/>
      <c r="C292" s="185"/>
      <c r="D292" s="185"/>
      <c r="E292" s="181"/>
      <c r="F292" s="186"/>
      <c r="G292" s="187"/>
      <c r="H292" s="188"/>
      <c r="I292" s="185"/>
      <c r="J292" s="187"/>
      <c r="K292" s="185"/>
      <c r="L292" s="187"/>
      <c r="M292" s="185"/>
      <c r="N292" s="187"/>
      <c r="O292" s="185"/>
      <c r="P292" s="185"/>
      <c r="Q292" s="185"/>
      <c r="R292" s="185"/>
      <c r="S292" s="185"/>
      <c r="T292" s="185"/>
      <c r="U292" s="187"/>
      <c r="V292" s="185"/>
      <c r="W292" s="185"/>
      <c r="X292" s="185"/>
      <c r="Y292" s="185"/>
      <c r="Z292" s="185"/>
      <c r="AA292" s="185"/>
      <c r="AB292" s="186"/>
      <c r="AC292" s="186"/>
      <c r="AD292" s="186"/>
      <c r="AE292" s="185"/>
      <c r="AF292" s="186"/>
      <c r="AG292" s="206"/>
      <c r="AH292" s="194"/>
      <c r="AN292" s="25"/>
      <c r="AO292" s="25"/>
      <c r="AR292" s="25"/>
      <c r="AS292" s="25"/>
      <c r="AT292" s="25"/>
    </row>
    <row r="293" spans="1:46" ht="11.25" hidden="1">
      <c r="A293" s="31"/>
      <c r="B293" s="165"/>
      <c r="C293" s="185"/>
      <c r="D293" s="185"/>
      <c r="E293" s="181"/>
      <c r="F293" s="186"/>
      <c r="G293" s="187"/>
      <c r="H293" s="188"/>
      <c r="I293" s="185"/>
      <c r="J293" s="187"/>
      <c r="K293" s="185"/>
      <c r="L293" s="187"/>
      <c r="M293" s="185"/>
      <c r="N293" s="187"/>
      <c r="O293" s="185"/>
      <c r="P293" s="185"/>
      <c r="Q293" s="185"/>
      <c r="R293" s="185"/>
      <c r="S293" s="185"/>
      <c r="T293" s="185"/>
      <c r="U293" s="187"/>
      <c r="V293" s="185"/>
      <c r="W293" s="185"/>
      <c r="X293" s="185"/>
      <c r="Y293" s="185"/>
      <c r="Z293" s="185"/>
      <c r="AA293" s="185"/>
      <c r="AB293" s="186"/>
      <c r="AC293" s="186"/>
      <c r="AD293" s="186"/>
      <c r="AE293" s="185"/>
      <c r="AF293" s="186"/>
      <c r="AG293" s="206"/>
      <c r="AH293" s="194"/>
      <c r="AN293" s="25"/>
      <c r="AO293" s="25"/>
      <c r="AR293" s="25"/>
      <c r="AS293" s="25"/>
      <c r="AT293" s="25"/>
    </row>
    <row r="294" spans="1:46" ht="11.25" hidden="1">
      <c r="A294" s="31"/>
      <c r="B294" s="165"/>
      <c r="C294" s="185"/>
      <c r="D294" s="185"/>
      <c r="E294" s="181"/>
      <c r="F294" s="186"/>
      <c r="G294" s="187"/>
      <c r="H294" s="188"/>
      <c r="I294" s="185"/>
      <c r="J294" s="187"/>
      <c r="K294" s="185"/>
      <c r="L294" s="187"/>
      <c r="M294" s="185"/>
      <c r="N294" s="187"/>
      <c r="O294" s="185"/>
      <c r="P294" s="185"/>
      <c r="Q294" s="185"/>
      <c r="R294" s="185"/>
      <c r="S294" s="185"/>
      <c r="T294" s="185"/>
      <c r="U294" s="187"/>
      <c r="V294" s="185"/>
      <c r="W294" s="185"/>
      <c r="X294" s="185"/>
      <c r="Y294" s="185"/>
      <c r="Z294" s="185"/>
      <c r="AA294" s="185"/>
      <c r="AB294" s="186"/>
      <c r="AC294" s="186"/>
      <c r="AD294" s="186"/>
      <c r="AE294" s="185"/>
      <c r="AF294" s="186"/>
      <c r="AG294" s="206"/>
      <c r="AH294" s="194"/>
      <c r="AN294" s="25"/>
      <c r="AO294" s="25"/>
      <c r="AR294" s="25"/>
      <c r="AS294" s="25"/>
      <c r="AT294" s="25"/>
    </row>
    <row r="295" spans="1:46" ht="11.25" hidden="1">
      <c r="A295" s="31"/>
      <c r="B295" s="165"/>
      <c r="C295" s="185"/>
      <c r="D295" s="185"/>
      <c r="E295" s="181"/>
      <c r="F295" s="186"/>
      <c r="G295" s="187"/>
      <c r="H295" s="188"/>
      <c r="I295" s="185"/>
      <c r="J295" s="187"/>
      <c r="K295" s="185"/>
      <c r="L295" s="187"/>
      <c r="M295" s="185"/>
      <c r="N295" s="187"/>
      <c r="O295" s="185"/>
      <c r="P295" s="185"/>
      <c r="Q295" s="185"/>
      <c r="R295" s="185"/>
      <c r="S295" s="185"/>
      <c r="T295" s="185"/>
      <c r="U295" s="187"/>
      <c r="V295" s="185"/>
      <c r="W295" s="185"/>
      <c r="X295" s="185"/>
      <c r="Y295" s="185"/>
      <c r="Z295" s="185"/>
      <c r="AA295" s="185"/>
      <c r="AB295" s="186"/>
      <c r="AC295" s="186"/>
      <c r="AD295" s="186"/>
      <c r="AE295" s="185"/>
      <c r="AF295" s="186"/>
      <c r="AG295" s="206"/>
      <c r="AH295" s="194"/>
      <c r="AN295" s="25"/>
      <c r="AO295" s="25"/>
      <c r="AR295" s="25"/>
      <c r="AS295" s="25"/>
      <c r="AT295" s="25"/>
    </row>
    <row r="296" spans="1:46" ht="11.25" hidden="1">
      <c r="A296" s="31"/>
      <c r="B296" s="165"/>
      <c r="C296" s="185"/>
      <c r="D296" s="185"/>
      <c r="E296" s="181"/>
      <c r="F296" s="186"/>
      <c r="G296" s="187"/>
      <c r="H296" s="188"/>
      <c r="I296" s="185"/>
      <c r="J296" s="187"/>
      <c r="K296" s="185"/>
      <c r="L296" s="187"/>
      <c r="M296" s="185"/>
      <c r="N296" s="187"/>
      <c r="O296" s="185"/>
      <c r="P296" s="185"/>
      <c r="Q296" s="185"/>
      <c r="R296" s="185"/>
      <c r="S296" s="185"/>
      <c r="T296" s="185"/>
      <c r="U296" s="187"/>
      <c r="V296" s="185"/>
      <c r="W296" s="185"/>
      <c r="X296" s="185"/>
      <c r="Y296" s="185"/>
      <c r="Z296" s="185"/>
      <c r="AA296" s="185"/>
      <c r="AB296" s="186"/>
      <c r="AC296" s="186"/>
      <c r="AD296" s="186"/>
      <c r="AE296" s="185"/>
      <c r="AF296" s="186"/>
      <c r="AG296" s="206"/>
      <c r="AH296" s="194"/>
      <c r="AN296" s="25"/>
      <c r="AO296" s="25"/>
      <c r="AR296" s="25"/>
      <c r="AS296" s="25"/>
      <c r="AT296" s="25"/>
    </row>
    <row r="297" spans="1:46" ht="11.25" hidden="1">
      <c r="A297" s="31"/>
      <c r="B297" s="165"/>
      <c r="C297" s="185"/>
      <c r="D297" s="185"/>
      <c r="E297" s="181"/>
      <c r="F297" s="186"/>
      <c r="G297" s="187"/>
      <c r="H297" s="188"/>
      <c r="I297" s="185"/>
      <c r="J297" s="187"/>
      <c r="K297" s="185"/>
      <c r="L297" s="187"/>
      <c r="M297" s="185"/>
      <c r="N297" s="187"/>
      <c r="O297" s="185"/>
      <c r="P297" s="185"/>
      <c r="Q297" s="185"/>
      <c r="R297" s="185"/>
      <c r="S297" s="185"/>
      <c r="T297" s="185"/>
      <c r="U297" s="187"/>
      <c r="V297" s="185"/>
      <c r="W297" s="185"/>
      <c r="X297" s="185"/>
      <c r="Y297" s="185"/>
      <c r="Z297" s="185"/>
      <c r="AA297" s="185"/>
      <c r="AB297" s="186"/>
      <c r="AC297" s="186"/>
      <c r="AD297" s="186"/>
      <c r="AE297" s="185"/>
      <c r="AF297" s="186"/>
      <c r="AG297" s="206"/>
      <c r="AH297" s="194"/>
      <c r="AN297" s="25"/>
      <c r="AO297" s="25"/>
      <c r="AR297" s="25"/>
      <c r="AS297" s="25"/>
      <c r="AT297" s="25"/>
    </row>
    <row r="298" spans="1:46" ht="11.25" hidden="1">
      <c r="A298" s="31"/>
      <c r="B298" s="165"/>
      <c r="C298" s="185"/>
      <c r="D298" s="185"/>
      <c r="E298" s="181"/>
      <c r="F298" s="186"/>
      <c r="G298" s="187"/>
      <c r="H298" s="188"/>
      <c r="I298" s="185"/>
      <c r="J298" s="187"/>
      <c r="K298" s="185"/>
      <c r="L298" s="187"/>
      <c r="M298" s="185"/>
      <c r="N298" s="187"/>
      <c r="O298" s="185"/>
      <c r="P298" s="185"/>
      <c r="Q298" s="185"/>
      <c r="R298" s="185"/>
      <c r="S298" s="185"/>
      <c r="T298" s="185"/>
      <c r="U298" s="187"/>
      <c r="V298" s="185"/>
      <c r="W298" s="185"/>
      <c r="X298" s="185"/>
      <c r="Y298" s="185"/>
      <c r="Z298" s="185"/>
      <c r="AA298" s="185"/>
      <c r="AB298" s="186"/>
      <c r="AC298" s="186"/>
      <c r="AD298" s="186"/>
      <c r="AE298" s="185"/>
      <c r="AF298" s="186"/>
      <c r="AG298" s="206"/>
      <c r="AH298" s="194"/>
      <c r="AN298" s="25"/>
      <c r="AO298" s="25"/>
      <c r="AR298" s="25"/>
      <c r="AS298" s="25"/>
      <c r="AT298" s="25"/>
    </row>
    <row r="299" spans="1:46" ht="11.25" hidden="1">
      <c r="A299" s="31"/>
      <c r="B299" s="165"/>
      <c r="C299" s="185"/>
      <c r="D299" s="185"/>
      <c r="E299" s="181"/>
      <c r="F299" s="186"/>
      <c r="G299" s="187"/>
      <c r="H299" s="188"/>
      <c r="I299" s="185"/>
      <c r="J299" s="187"/>
      <c r="K299" s="185"/>
      <c r="L299" s="187"/>
      <c r="M299" s="185"/>
      <c r="N299" s="187"/>
      <c r="O299" s="185"/>
      <c r="P299" s="185"/>
      <c r="Q299" s="185"/>
      <c r="R299" s="185"/>
      <c r="S299" s="185"/>
      <c r="T299" s="185"/>
      <c r="U299" s="187"/>
      <c r="V299" s="185"/>
      <c r="W299" s="185"/>
      <c r="X299" s="185"/>
      <c r="Y299" s="185"/>
      <c r="Z299" s="185"/>
      <c r="AA299" s="185"/>
      <c r="AB299" s="186"/>
      <c r="AC299" s="186"/>
      <c r="AD299" s="186"/>
      <c r="AE299" s="185"/>
      <c r="AF299" s="186"/>
      <c r="AG299" s="206"/>
      <c r="AH299" s="194"/>
      <c r="AN299" s="25"/>
      <c r="AO299" s="25"/>
      <c r="AR299" s="25"/>
      <c r="AS299" s="25"/>
      <c r="AT299" s="25"/>
    </row>
    <row r="300" spans="1:46" ht="11.25" hidden="1">
      <c r="A300" s="31"/>
      <c r="B300" s="165"/>
      <c r="C300" s="185"/>
      <c r="D300" s="185"/>
      <c r="E300" s="181"/>
      <c r="F300" s="186"/>
      <c r="G300" s="187"/>
      <c r="H300" s="188"/>
      <c r="I300" s="185"/>
      <c r="J300" s="187"/>
      <c r="K300" s="185"/>
      <c r="L300" s="187"/>
      <c r="M300" s="185"/>
      <c r="N300" s="187"/>
      <c r="O300" s="185"/>
      <c r="P300" s="185"/>
      <c r="Q300" s="185"/>
      <c r="R300" s="185"/>
      <c r="S300" s="185"/>
      <c r="T300" s="185"/>
      <c r="U300" s="187"/>
      <c r="V300" s="185"/>
      <c r="W300" s="185"/>
      <c r="X300" s="185"/>
      <c r="Y300" s="185"/>
      <c r="Z300" s="185"/>
      <c r="AA300" s="185"/>
      <c r="AB300" s="186"/>
      <c r="AC300" s="186"/>
      <c r="AD300" s="186"/>
      <c r="AE300" s="185"/>
      <c r="AF300" s="186"/>
      <c r="AG300" s="206"/>
      <c r="AH300" s="194"/>
      <c r="AN300" s="25"/>
      <c r="AO300" s="25"/>
      <c r="AR300" s="25"/>
      <c r="AS300" s="25"/>
      <c r="AT300" s="25"/>
    </row>
    <row r="301" spans="1:46" ht="11.25" hidden="1">
      <c r="A301" s="31"/>
      <c r="B301" s="165"/>
      <c r="C301" s="185"/>
      <c r="D301" s="185"/>
      <c r="E301" s="181"/>
      <c r="F301" s="186"/>
      <c r="G301" s="187"/>
      <c r="H301" s="188"/>
      <c r="I301" s="185"/>
      <c r="J301" s="187"/>
      <c r="K301" s="185"/>
      <c r="L301" s="187"/>
      <c r="M301" s="185"/>
      <c r="N301" s="187"/>
      <c r="O301" s="185"/>
      <c r="P301" s="185"/>
      <c r="Q301" s="185"/>
      <c r="R301" s="185"/>
      <c r="S301" s="185"/>
      <c r="T301" s="185"/>
      <c r="U301" s="187"/>
      <c r="V301" s="185"/>
      <c r="W301" s="185"/>
      <c r="X301" s="185"/>
      <c r="Y301" s="185"/>
      <c r="Z301" s="185"/>
      <c r="AA301" s="185"/>
      <c r="AB301" s="186"/>
      <c r="AC301" s="186"/>
      <c r="AD301" s="186"/>
      <c r="AE301" s="185"/>
      <c r="AF301" s="186"/>
      <c r="AG301" s="206"/>
      <c r="AH301" s="194"/>
      <c r="AN301" s="25"/>
      <c r="AO301" s="25"/>
      <c r="AR301" s="25"/>
      <c r="AS301" s="25"/>
      <c r="AT301" s="25"/>
    </row>
    <row r="302" spans="1:46" ht="11.25" hidden="1">
      <c r="A302" s="31"/>
      <c r="B302" s="165"/>
      <c r="C302" s="185"/>
      <c r="D302" s="185"/>
      <c r="E302" s="181"/>
      <c r="F302" s="186"/>
      <c r="G302" s="187"/>
      <c r="H302" s="188"/>
      <c r="I302" s="185"/>
      <c r="J302" s="187"/>
      <c r="K302" s="185"/>
      <c r="L302" s="187"/>
      <c r="M302" s="185"/>
      <c r="N302" s="187"/>
      <c r="O302" s="185"/>
      <c r="P302" s="185"/>
      <c r="Q302" s="185"/>
      <c r="R302" s="185"/>
      <c r="S302" s="185"/>
      <c r="T302" s="185"/>
      <c r="U302" s="187"/>
      <c r="V302" s="185"/>
      <c r="W302" s="185"/>
      <c r="X302" s="185"/>
      <c r="Y302" s="185"/>
      <c r="Z302" s="185"/>
      <c r="AA302" s="185"/>
      <c r="AB302" s="186"/>
      <c r="AC302" s="186"/>
      <c r="AD302" s="186"/>
      <c r="AE302" s="185"/>
      <c r="AF302" s="186"/>
      <c r="AG302" s="206"/>
      <c r="AH302" s="194"/>
      <c r="AN302" s="25"/>
      <c r="AO302" s="25"/>
      <c r="AR302" s="25"/>
      <c r="AS302" s="25"/>
      <c r="AT302" s="25"/>
    </row>
    <row r="303" spans="1:46" ht="11.25" hidden="1">
      <c r="A303" s="31"/>
      <c r="B303" s="165"/>
      <c r="C303" s="185"/>
      <c r="D303" s="185"/>
      <c r="E303" s="181"/>
      <c r="F303" s="186"/>
      <c r="G303" s="187"/>
      <c r="H303" s="188"/>
      <c r="I303" s="185"/>
      <c r="J303" s="187"/>
      <c r="K303" s="185"/>
      <c r="L303" s="187"/>
      <c r="M303" s="185"/>
      <c r="N303" s="187"/>
      <c r="O303" s="185"/>
      <c r="P303" s="185"/>
      <c r="Q303" s="185"/>
      <c r="R303" s="185"/>
      <c r="S303" s="185"/>
      <c r="T303" s="185"/>
      <c r="U303" s="187"/>
      <c r="V303" s="185"/>
      <c r="W303" s="185"/>
      <c r="X303" s="185"/>
      <c r="Y303" s="185"/>
      <c r="Z303" s="185"/>
      <c r="AA303" s="185"/>
      <c r="AB303" s="186"/>
      <c r="AC303" s="186"/>
      <c r="AD303" s="186"/>
      <c r="AE303" s="185"/>
      <c r="AF303" s="186"/>
      <c r="AG303" s="206"/>
      <c r="AH303" s="194"/>
      <c r="AN303" s="25"/>
      <c r="AO303" s="25"/>
      <c r="AR303" s="25"/>
      <c r="AS303" s="25"/>
      <c r="AT303" s="25"/>
    </row>
    <row r="304" spans="1:46" ht="11.25" hidden="1">
      <c r="A304" s="31"/>
      <c r="B304" s="165"/>
      <c r="C304" s="185"/>
      <c r="D304" s="185"/>
      <c r="E304" s="181"/>
      <c r="F304" s="186"/>
      <c r="G304" s="187"/>
      <c r="H304" s="188"/>
      <c r="I304" s="185"/>
      <c r="J304" s="187"/>
      <c r="K304" s="185"/>
      <c r="L304" s="187"/>
      <c r="M304" s="185"/>
      <c r="N304" s="187"/>
      <c r="O304" s="185"/>
      <c r="P304" s="185"/>
      <c r="Q304" s="185"/>
      <c r="R304" s="185"/>
      <c r="S304" s="185"/>
      <c r="T304" s="185"/>
      <c r="U304" s="187"/>
      <c r="V304" s="185"/>
      <c r="W304" s="185"/>
      <c r="X304" s="185"/>
      <c r="Y304" s="185"/>
      <c r="Z304" s="185"/>
      <c r="AA304" s="185"/>
      <c r="AB304" s="186"/>
      <c r="AC304" s="186"/>
      <c r="AD304" s="186"/>
      <c r="AE304" s="185"/>
      <c r="AF304" s="186"/>
      <c r="AG304" s="206"/>
      <c r="AH304" s="194"/>
      <c r="AN304" s="25"/>
      <c r="AO304" s="25"/>
      <c r="AR304" s="25"/>
      <c r="AS304" s="25"/>
      <c r="AT304" s="25"/>
    </row>
    <row r="305" spans="1:46" ht="11.25" hidden="1">
      <c r="A305" s="31"/>
      <c r="B305" s="165"/>
      <c r="C305" s="185"/>
      <c r="D305" s="185"/>
      <c r="E305" s="181"/>
      <c r="F305" s="186"/>
      <c r="G305" s="187"/>
      <c r="H305" s="188"/>
      <c r="I305" s="185"/>
      <c r="J305" s="187"/>
      <c r="K305" s="185"/>
      <c r="L305" s="187"/>
      <c r="M305" s="185"/>
      <c r="N305" s="187"/>
      <c r="O305" s="185"/>
      <c r="P305" s="185"/>
      <c r="Q305" s="185"/>
      <c r="R305" s="185"/>
      <c r="S305" s="185"/>
      <c r="T305" s="185"/>
      <c r="U305" s="187"/>
      <c r="V305" s="185"/>
      <c r="W305" s="185"/>
      <c r="X305" s="185"/>
      <c r="Y305" s="185"/>
      <c r="Z305" s="185"/>
      <c r="AA305" s="185"/>
      <c r="AB305" s="186"/>
      <c r="AC305" s="186"/>
      <c r="AD305" s="186"/>
      <c r="AE305" s="185"/>
      <c r="AF305" s="186"/>
      <c r="AG305" s="206"/>
      <c r="AH305" s="194"/>
      <c r="AN305" s="25"/>
      <c r="AO305" s="25"/>
      <c r="AR305" s="25"/>
      <c r="AS305" s="25"/>
      <c r="AT305" s="25"/>
    </row>
    <row r="306" spans="1:46" ht="11.25" hidden="1">
      <c r="A306" s="31"/>
      <c r="B306" s="165"/>
      <c r="C306" s="185"/>
      <c r="D306" s="185"/>
      <c r="E306" s="181"/>
      <c r="F306" s="186"/>
      <c r="G306" s="187"/>
      <c r="H306" s="188"/>
      <c r="I306" s="185"/>
      <c r="J306" s="187"/>
      <c r="K306" s="185"/>
      <c r="L306" s="187"/>
      <c r="M306" s="185"/>
      <c r="N306" s="187"/>
      <c r="O306" s="185"/>
      <c r="P306" s="185"/>
      <c r="Q306" s="185"/>
      <c r="R306" s="185"/>
      <c r="S306" s="185"/>
      <c r="T306" s="185"/>
      <c r="U306" s="187"/>
      <c r="V306" s="185"/>
      <c r="W306" s="185"/>
      <c r="X306" s="185"/>
      <c r="Y306" s="185"/>
      <c r="Z306" s="185"/>
      <c r="AA306" s="185"/>
      <c r="AB306" s="186"/>
      <c r="AC306" s="186"/>
      <c r="AD306" s="186"/>
      <c r="AE306" s="185"/>
      <c r="AF306" s="186"/>
      <c r="AG306" s="206"/>
      <c r="AH306" s="194"/>
      <c r="AN306" s="25"/>
      <c r="AO306" s="25"/>
      <c r="AR306" s="25"/>
      <c r="AS306" s="25"/>
      <c r="AT306" s="25"/>
    </row>
    <row r="307" spans="1:46" ht="11.25" hidden="1">
      <c r="A307" s="31"/>
      <c r="B307" s="165"/>
      <c r="C307" s="185"/>
      <c r="D307" s="185"/>
      <c r="E307" s="181"/>
      <c r="F307" s="186"/>
      <c r="G307" s="187"/>
      <c r="H307" s="188"/>
      <c r="I307" s="185"/>
      <c r="J307" s="187"/>
      <c r="K307" s="185"/>
      <c r="L307" s="187"/>
      <c r="M307" s="185"/>
      <c r="N307" s="187"/>
      <c r="O307" s="185"/>
      <c r="P307" s="185"/>
      <c r="Q307" s="185"/>
      <c r="R307" s="185"/>
      <c r="S307" s="185"/>
      <c r="T307" s="185"/>
      <c r="U307" s="187"/>
      <c r="V307" s="185"/>
      <c r="W307" s="185"/>
      <c r="X307" s="185"/>
      <c r="Y307" s="185"/>
      <c r="Z307" s="185"/>
      <c r="AA307" s="185"/>
      <c r="AB307" s="186"/>
      <c r="AC307" s="186"/>
      <c r="AD307" s="186"/>
      <c r="AE307" s="185"/>
      <c r="AF307" s="186"/>
      <c r="AG307" s="206"/>
      <c r="AH307" s="194"/>
      <c r="AN307" s="25"/>
      <c r="AO307" s="25"/>
      <c r="AR307" s="25"/>
      <c r="AS307" s="25"/>
      <c r="AT307" s="25"/>
    </row>
    <row r="308" spans="1:46" ht="11.25" hidden="1">
      <c r="A308" s="31"/>
      <c r="B308" s="165"/>
      <c r="C308" s="185"/>
      <c r="D308" s="185"/>
      <c r="E308" s="181"/>
      <c r="F308" s="186"/>
      <c r="G308" s="187"/>
      <c r="H308" s="188"/>
      <c r="I308" s="185"/>
      <c r="J308" s="187"/>
      <c r="K308" s="185"/>
      <c r="L308" s="187"/>
      <c r="M308" s="185"/>
      <c r="N308" s="187"/>
      <c r="O308" s="185"/>
      <c r="P308" s="185"/>
      <c r="Q308" s="185"/>
      <c r="R308" s="185"/>
      <c r="S308" s="185"/>
      <c r="T308" s="185"/>
      <c r="U308" s="187"/>
      <c r="V308" s="185"/>
      <c r="W308" s="185"/>
      <c r="X308" s="185"/>
      <c r="Y308" s="185"/>
      <c r="Z308" s="185"/>
      <c r="AA308" s="185"/>
      <c r="AB308" s="186"/>
      <c r="AC308" s="186"/>
      <c r="AD308" s="186"/>
      <c r="AE308" s="185"/>
      <c r="AF308" s="186"/>
      <c r="AG308" s="206"/>
      <c r="AH308" s="194"/>
      <c r="AN308" s="25"/>
      <c r="AO308" s="25"/>
      <c r="AR308" s="25"/>
      <c r="AS308" s="25"/>
      <c r="AT308" s="25"/>
    </row>
    <row r="309" spans="1:46" ht="11.25" hidden="1">
      <c r="A309" s="31"/>
      <c r="B309" s="165"/>
      <c r="C309" s="185"/>
      <c r="D309" s="185"/>
      <c r="E309" s="181"/>
      <c r="F309" s="186"/>
      <c r="G309" s="187"/>
      <c r="H309" s="188"/>
      <c r="I309" s="185"/>
      <c r="J309" s="187"/>
      <c r="K309" s="185"/>
      <c r="L309" s="187"/>
      <c r="M309" s="185"/>
      <c r="N309" s="187"/>
      <c r="O309" s="185"/>
      <c r="P309" s="185"/>
      <c r="Q309" s="185"/>
      <c r="R309" s="185"/>
      <c r="S309" s="185"/>
      <c r="T309" s="185"/>
      <c r="U309" s="187"/>
      <c r="V309" s="185"/>
      <c r="W309" s="185"/>
      <c r="X309" s="185"/>
      <c r="Y309" s="185"/>
      <c r="Z309" s="185"/>
      <c r="AA309" s="185"/>
      <c r="AB309" s="186"/>
      <c r="AC309" s="186"/>
      <c r="AD309" s="186"/>
      <c r="AE309" s="185"/>
      <c r="AF309" s="186"/>
      <c r="AG309" s="206"/>
      <c r="AH309" s="194"/>
      <c r="AN309" s="25"/>
      <c r="AO309" s="25"/>
      <c r="AR309" s="25"/>
      <c r="AS309" s="25"/>
      <c r="AT309" s="25"/>
    </row>
    <row r="310" spans="1:46" ht="11.25" hidden="1">
      <c r="A310" s="31"/>
      <c r="B310" s="165"/>
      <c r="C310" s="185"/>
      <c r="D310" s="185"/>
      <c r="E310" s="181"/>
      <c r="F310" s="186"/>
      <c r="G310" s="187"/>
      <c r="H310" s="188"/>
      <c r="I310" s="185"/>
      <c r="J310" s="187"/>
      <c r="K310" s="185"/>
      <c r="L310" s="187"/>
      <c r="M310" s="185"/>
      <c r="N310" s="187"/>
      <c r="O310" s="185"/>
      <c r="P310" s="185"/>
      <c r="Q310" s="185"/>
      <c r="R310" s="185"/>
      <c r="S310" s="185"/>
      <c r="T310" s="185"/>
      <c r="U310" s="187"/>
      <c r="V310" s="185"/>
      <c r="W310" s="185"/>
      <c r="X310" s="185"/>
      <c r="Y310" s="185"/>
      <c r="Z310" s="185"/>
      <c r="AA310" s="185"/>
      <c r="AB310" s="186"/>
      <c r="AC310" s="186"/>
      <c r="AD310" s="186"/>
      <c r="AE310" s="185"/>
      <c r="AF310" s="186"/>
      <c r="AG310" s="206"/>
      <c r="AH310" s="194"/>
      <c r="AN310" s="25"/>
      <c r="AO310" s="25"/>
      <c r="AR310" s="25"/>
      <c r="AS310" s="25"/>
      <c r="AT310" s="25"/>
    </row>
    <row r="311" spans="1:46" ht="11.25" hidden="1">
      <c r="A311" s="31"/>
      <c r="B311" s="165"/>
      <c r="C311" s="185"/>
      <c r="D311" s="185"/>
      <c r="E311" s="181"/>
      <c r="F311" s="186"/>
      <c r="G311" s="187"/>
      <c r="H311" s="188"/>
      <c r="I311" s="185"/>
      <c r="J311" s="187"/>
      <c r="K311" s="185"/>
      <c r="L311" s="187"/>
      <c r="M311" s="185"/>
      <c r="N311" s="187"/>
      <c r="O311" s="185"/>
      <c r="P311" s="185"/>
      <c r="Q311" s="185"/>
      <c r="R311" s="185"/>
      <c r="S311" s="185"/>
      <c r="T311" s="185"/>
      <c r="U311" s="187"/>
      <c r="V311" s="185"/>
      <c r="W311" s="185"/>
      <c r="X311" s="185"/>
      <c r="Y311" s="185"/>
      <c r="Z311" s="185"/>
      <c r="AA311" s="185"/>
      <c r="AB311" s="186"/>
      <c r="AC311" s="186"/>
      <c r="AD311" s="186"/>
      <c r="AE311" s="185"/>
      <c r="AF311" s="186"/>
      <c r="AG311" s="206"/>
      <c r="AH311" s="194"/>
      <c r="AN311" s="25"/>
      <c r="AO311" s="25"/>
      <c r="AR311" s="25"/>
      <c r="AS311" s="25"/>
      <c r="AT311" s="25"/>
    </row>
    <row r="312" spans="1:46" ht="11.25" hidden="1">
      <c r="A312" s="31"/>
      <c r="B312" s="165"/>
      <c r="C312" s="185"/>
      <c r="D312" s="185"/>
      <c r="E312" s="181"/>
      <c r="F312" s="186"/>
      <c r="G312" s="187"/>
      <c r="H312" s="188"/>
      <c r="I312" s="185"/>
      <c r="J312" s="187"/>
      <c r="K312" s="185"/>
      <c r="L312" s="187"/>
      <c r="M312" s="185"/>
      <c r="N312" s="187"/>
      <c r="O312" s="185"/>
      <c r="P312" s="185"/>
      <c r="Q312" s="185"/>
      <c r="R312" s="185"/>
      <c r="S312" s="185"/>
      <c r="T312" s="185"/>
      <c r="U312" s="187"/>
      <c r="V312" s="185"/>
      <c r="W312" s="185"/>
      <c r="X312" s="185"/>
      <c r="Y312" s="185"/>
      <c r="Z312" s="185"/>
      <c r="AA312" s="185"/>
      <c r="AB312" s="186"/>
      <c r="AC312" s="186"/>
      <c r="AD312" s="186"/>
      <c r="AE312" s="185"/>
      <c r="AF312" s="186"/>
      <c r="AG312" s="206"/>
      <c r="AH312" s="194"/>
      <c r="AN312" s="25"/>
      <c r="AO312" s="25"/>
      <c r="AR312" s="25"/>
      <c r="AS312" s="25"/>
      <c r="AT312" s="25"/>
    </row>
    <row r="313" spans="1:46" ht="11.25" hidden="1">
      <c r="A313" s="31"/>
      <c r="B313" s="165"/>
      <c r="C313" s="185"/>
      <c r="D313" s="185"/>
      <c r="E313" s="181"/>
      <c r="F313" s="186"/>
      <c r="G313" s="187"/>
      <c r="H313" s="188"/>
      <c r="I313" s="185"/>
      <c r="J313" s="187"/>
      <c r="K313" s="185"/>
      <c r="L313" s="187"/>
      <c r="M313" s="185"/>
      <c r="N313" s="187"/>
      <c r="O313" s="185"/>
      <c r="P313" s="185"/>
      <c r="Q313" s="185"/>
      <c r="R313" s="185"/>
      <c r="S313" s="185"/>
      <c r="T313" s="185"/>
      <c r="U313" s="187"/>
      <c r="V313" s="185"/>
      <c r="W313" s="185"/>
      <c r="X313" s="185"/>
      <c r="Y313" s="185"/>
      <c r="Z313" s="185"/>
      <c r="AA313" s="185"/>
      <c r="AB313" s="186"/>
      <c r="AC313" s="186"/>
      <c r="AD313" s="186"/>
      <c r="AE313" s="185"/>
      <c r="AF313" s="186"/>
      <c r="AG313" s="206"/>
      <c r="AH313" s="194"/>
      <c r="AN313" s="25"/>
      <c r="AO313" s="25"/>
      <c r="AR313" s="25"/>
      <c r="AS313" s="25"/>
      <c r="AT313" s="25"/>
    </row>
    <row r="314" spans="1:46" ht="11.25" hidden="1">
      <c r="A314" s="31"/>
      <c r="B314" s="165"/>
      <c r="C314" s="185"/>
      <c r="D314" s="185"/>
      <c r="E314" s="181"/>
      <c r="F314" s="186"/>
      <c r="G314" s="187"/>
      <c r="H314" s="188"/>
      <c r="I314" s="185"/>
      <c r="J314" s="187"/>
      <c r="K314" s="185"/>
      <c r="L314" s="187"/>
      <c r="M314" s="185"/>
      <c r="N314" s="187"/>
      <c r="O314" s="185"/>
      <c r="P314" s="185"/>
      <c r="Q314" s="185"/>
      <c r="R314" s="185"/>
      <c r="S314" s="185"/>
      <c r="T314" s="185"/>
      <c r="U314" s="187"/>
      <c r="V314" s="185"/>
      <c r="W314" s="185"/>
      <c r="X314" s="185"/>
      <c r="Y314" s="185"/>
      <c r="Z314" s="185"/>
      <c r="AA314" s="185"/>
      <c r="AB314" s="186"/>
      <c r="AC314" s="186"/>
      <c r="AD314" s="186"/>
      <c r="AE314" s="185"/>
      <c r="AF314" s="186"/>
      <c r="AG314" s="206"/>
      <c r="AH314" s="194"/>
      <c r="AN314" s="25"/>
      <c r="AO314" s="25"/>
      <c r="AR314" s="25"/>
      <c r="AS314" s="25"/>
      <c r="AT314" s="25"/>
    </row>
    <row r="315" spans="1:46" ht="11.25" hidden="1">
      <c r="A315" s="31"/>
      <c r="B315" s="165"/>
      <c r="C315" s="185"/>
      <c r="D315" s="185"/>
      <c r="E315" s="181"/>
      <c r="F315" s="186"/>
      <c r="G315" s="187"/>
      <c r="H315" s="188"/>
      <c r="I315" s="185"/>
      <c r="J315" s="187"/>
      <c r="K315" s="185"/>
      <c r="L315" s="187"/>
      <c r="M315" s="185"/>
      <c r="N315" s="187"/>
      <c r="O315" s="185"/>
      <c r="P315" s="185"/>
      <c r="Q315" s="185"/>
      <c r="R315" s="185"/>
      <c r="S315" s="185"/>
      <c r="T315" s="185"/>
      <c r="U315" s="187"/>
      <c r="V315" s="185"/>
      <c r="W315" s="185"/>
      <c r="X315" s="185"/>
      <c r="Y315" s="185"/>
      <c r="Z315" s="185"/>
      <c r="AA315" s="185"/>
      <c r="AB315" s="186"/>
      <c r="AC315" s="186"/>
      <c r="AD315" s="186"/>
      <c r="AE315" s="185"/>
      <c r="AF315" s="186"/>
      <c r="AG315" s="206"/>
      <c r="AH315" s="194"/>
      <c r="AN315" s="25"/>
      <c r="AO315" s="25"/>
      <c r="AR315" s="25"/>
      <c r="AS315" s="25"/>
      <c r="AT315" s="25"/>
    </row>
    <row r="316" spans="1:46" ht="11.25" hidden="1">
      <c r="A316" s="31"/>
      <c r="B316" s="165"/>
      <c r="C316" s="185"/>
      <c r="D316" s="185"/>
      <c r="E316" s="181"/>
      <c r="F316" s="186"/>
      <c r="G316" s="187"/>
      <c r="H316" s="188"/>
      <c r="I316" s="185"/>
      <c r="J316" s="187"/>
      <c r="K316" s="185"/>
      <c r="L316" s="187"/>
      <c r="M316" s="185"/>
      <c r="N316" s="187"/>
      <c r="O316" s="185"/>
      <c r="P316" s="185"/>
      <c r="Q316" s="185"/>
      <c r="R316" s="185"/>
      <c r="S316" s="185"/>
      <c r="T316" s="185"/>
      <c r="U316" s="187"/>
      <c r="V316" s="185"/>
      <c r="W316" s="185"/>
      <c r="X316" s="185"/>
      <c r="Y316" s="185"/>
      <c r="Z316" s="185"/>
      <c r="AA316" s="185"/>
      <c r="AB316" s="186"/>
      <c r="AC316" s="186"/>
      <c r="AD316" s="186"/>
      <c r="AE316" s="185"/>
      <c r="AF316" s="186"/>
      <c r="AG316" s="206"/>
      <c r="AH316" s="194"/>
      <c r="AN316" s="25"/>
      <c r="AO316" s="25"/>
      <c r="AR316" s="25"/>
      <c r="AS316" s="25"/>
      <c r="AT316" s="25"/>
    </row>
    <row r="317" spans="1:46" ht="11.25" hidden="1">
      <c r="A317" s="31"/>
      <c r="B317" s="165"/>
      <c r="C317" s="185"/>
      <c r="D317" s="185"/>
      <c r="E317" s="181"/>
      <c r="F317" s="186"/>
      <c r="G317" s="187"/>
      <c r="H317" s="188"/>
      <c r="I317" s="185"/>
      <c r="J317" s="187"/>
      <c r="K317" s="185"/>
      <c r="L317" s="187"/>
      <c r="M317" s="185"/>
      <c r="N317" s="187"/>
      <c r="O317" s="185"/>
      <c r="P317" s="185"/>
      <c r="Q317" s="185"/>
      <c r="R317" s="185"/>
      <c r="S317" s="185"/>
      <c r="T317" s="185"/>
      <c r="U317" s="187"/>
      <c r="V317" s="185"/>
      <c r="W317" s="185"/>
      <c r="X317" s="185"/>
      <c r="Y317" s="185"/>
      <c r="Z317" s="185"/>
      <c r="AA317" s="185"/>
      <c r="AB317" s="186"/>
      <c r="AC317" s="186"/>
      <c r="AD317" s="186"/>
      <c r="AE317" s="185"/>
      <c r="AF317" s="186"/>
      <c r="AG317" s="206"/>
      <c r="AH317" s="194"/>
      <c r="AN317" s="25"/>
      <c r="AO317" s="25"/>
      <c r="AR317" s="25"/>
      <c r="AS317" s="25"/>
      <c r="AT317" s="25"/>
    </row>
    <row r="318" spans="1:46" ht="11.25" hidden="1">
      <c r="A318" s="31"/>
      <c r="B318" s="165"/>
      <c r="C318" s="185"/>
      <c r="D318" s="185"/>
      <c r="E318" s="181"/>
      <c r="F318" s="186"/>
      <c r="G318" s="187"/>
      <c r="H318" s="188"/>
      <c r="I318" s="185"/>
      <c r="J318" s="187"/>
      <c r="K318" s="185"/>
      <c r="L318" s="187"/>
      <c r="M318" s="185"/>
      <c r="N318" s="187"/>
      <c r="O318" s="185"/>
      <c r="P318" s="185"/>
      <c r="Q318" s="185"/>
      <c r="R318" s="185"/>
      <c r="S318" s="185"/>
      <c r="T318" s="185"/>
      <c r="U318" s="187"/>
      <c r="V318" s="185"/>
      <c r="W318" s="185"/>
      <c r="X318" s="185"/>
      <c r="Y318" s="185"/>
      <c r="Z318" s="185"/>
      <c r="AA318" s="185"/>
      <c r="AB318" s="186"/>
      <c r="AC318" s="186"/>
      <c r="AD318" s="186"/>
      <c r="AE318" s="185"/>
      <c r="AF318" s="186"/>
      <c r="AG318" s="206"/>
      <c r="AH318" s="194"/>
      <c r="AN318" s="25"/>
      <c r="AO318" s="25"/>
      <c r="AR318" s="25"/>
      <c r="AS318" s="25"/>
      <c r="AT318" s="25"/>
    </row>
    <row r="319" spans="1:46" ht="11.25" hidden="1">
      <c r="A319" s="31"/>
      <c r="B319" s="165"/>
      <c r="C319" s="185"/>
      <c r="D319" s="185"/>
      <c r="E319" s="181"/>
      <c r="F319" s="186"/>
      <c r="G319" s="187"/>
      <c r="H319" s="188"/>
      <c r="I319" s="185"/>
      <c r="J319" s="187"/>
      <c r="K319" s="185"/>
      <c r="L319" s="187"/>
      <c r="M319" s="185"/>
      <c r="N319" s="187"/>
      <c r="O319" s="185"/>
      <c r="P319" s="185"/>
      <c r="Q319" s="185"/>
      <c r="R319" s="185"/>
      <c r="S319" s="185"/>
      <c r="T319" s="185"/>
      <c r="U319" s="187"/>
      <c r="V319" s="185"/>
      <c r="W319" s="185"/>
      <c r="X319" s="185"/>
      <c r="Y319" s="185"/>
      <c r="Z319" s="185"/>
      <c r="AA319" s="185"/>
      <c r="AB319" s="186"/>
      <c r="AC319" s="186"/>
      <c r="AD319" s="186"/>
      <c r="AE319" s="185"/>
      <c r="AF319" s="186"/>
      <c r="AG319" s="206"/>
      <c r="AH319" s="194"/>
      <c r="AN319" s="25"/>
      <c r="AO319" s="25"/>
      <c r="AR319" s="25"/>
      <c r="AS319" s="25"/>
      <c r="AT319" s="25"/>
    </row>
    <row r="320" spans="1:46" ht="11.25" hidden="1">
      <c r="A320" s="31"/>
      <c r="B320" s="165"/>
      <c r="C320" s="185"/>
      <c r="D320" s="185"/>
      <c r="E320" s="181"/>
      <c r="F320" s="186"/>
      <c r="G320" s="187"/>
      <c r="H320" s="188"/>
      <c r="I320" s="185"/>
      <c r="J320" s="187"/>
      <c r="K320" s="185"/>
      <c r="L320" s="187"/>
      <c r="M320" s="185"/>
      <c r="N320" s="187"/>
      <c r="O320" s="185"/>
      <c r="P320" s="185"/>
      <c r="Q320" s="185"/>
      <c r="R320" s="185"/>
      <c r="S320" s="185"/>
      <c r="T320" s="185"/>
      <c r="U320" s="187"/>
      <c r="V320" s="185"/>
      <c r="W320" s="185"/>
      <c r="X320" s="185"/>
      <c r="Y320" s="185"/>
      <c r="Z320" s="185"/>
      <c r="AA320" s="185"/>
      <c r="AB320" s="186"/>
      <c r="AC320" s="186"/>
      <c r="AD320" s="186"/>
      <c r="AE320" s="185"/>
      <c r="AF320" s="186"/>
      <c r="AG320" s="206"/>
      <c r="AH320" s="194"/>
      <c r="AN320" s="25"/>
      <c r="AO320" s="25"/>
      <c r="AR320" s="25"/>
      <c r="AS320" s="25"/>
      <c r="AT320" s="25"/>
    </row>
    <row r="321" spans="1:46" ht="11.25" hidden="1">
      <c r="A321" s="31"/>
      <c r="B321" s="165"/>
      <c r="C321" s="185"/>
      <c r="D321" s="185"/>
      <c r="E321" s="181"/>
      <c r="F321" s="186"/>
      <c r="G321" s="187"/>
      <c r="H321" s="188"/>
      <c r="I321" s="185"/>
      <c r="J321" s="187"/>
      <c r="K321" s="185"/>
      <c r="L321" s="187"/>
      <c r="M321" s="185"/>
      <c r="N321" s="187"/>
      <c r="O321" s="185"/>
      <c r="P321" s="185"/>
      <c r="Q321" s="185"/>
      <c r="R321" s="185"/>
      <c r="S321" s="185"/>
      <c r="T321" s="185"/>
      <c r="U321" s="187"/>
      <c r="V321" s="185"/>
      <c r="W321" s="185"/>
      <c r="X321" s="185"/>
      <c r="Y321" s="185"/>
      <c r="Z321" s="185"/>
      <c r="AA321" s="185"/>
      <c r="AB321" s="186"/>
      <c r="AC321" s="186"/>
      <c r="AD321" s="186"/>
      <c r="AE321" s="185"/>
      <c r="AF321" s="186"/>
      <c r="AG321" s="206"/>
      <c r="AH321" s="194"/>
      <c r="AN321" s="25"/>
      <c r="AO321" s="25"/>
      <c r="AR321" s="25"/>
      <c r="AS321" s="25"/>
      <c r="AT321" s="25"/>
    </row>
    <row r="322" spans="1:46" ht="11.25" hidden="1">
      <c r="A322" s="31"/>
      <c r="B322" s="165"/>
      <c r="C322" s="185"/>
      <c r="D322" s="185"/>
      <c r="E322" s="181"/>
      <c r="F322" s="186"/>
      <c r="G322" s="187"/>
      <c r="H322" s="188"/>
      <c r="I322" s="185"/>
      <c r="J322" s="187"/>
      <c r="K322" s="185"/>
      <c r="L322" s="187"/>
      <c r="M322" s="185"/>
      <c r="N322" s="187"/>
      <c r="O322" s="185"/>
      <c r="P322" s="185"/>
      <c r="Q322" s="185"/>
      <c r="R322" s="185"/>
      <c r="S322" s="185"/>
      <c r="T322" s="185"/>
      <c r="U322" s="187"/>
      <c r="V322" s="185"/>
      <c r="W322" s="185"/>
      <c r="X322" s="185"/>
      <c r="Y322" s="185"/>
      <c r="Z322" s="185"/>
      <c r="AA322" s="185"/>
      <c r="AB322" s="186"/>
      <c r="AC322" s="186"/>
      <c r="AD322" s="186"/>
      <c r="AE322" s="185"/>
      <c r="AF322" s="186"/>
      <c r="AG322" s="206"/>
      <c r="AH322" s="194"/>
      <c r="AN322" s="25"/>
      <c r="AO322" s="25"/>
      <c r="AR322" s="25"/>
      <c r="AS322" s="25"/>
      <c r="AT322" s="25"/>
    </row>
    <row r="323" spans="1:46" ht="11.25" hidden="1">
      <c r="A323" s="31"/>
      <c r="B323" s="165"/>
      <c r="C323" s="185"/>
      <c r="D323" s="185"/>
      <c r="E323" s="181"/>
      <c r="F323" s="186"/>
      <c r="G323" s="187"/>
      <c r="H323" s="188"/>
      <c r="I323" s="185"/>
      <c r="J323" s="187"/>
      <c r="K323" s="185"/>
      <c r="L323" s="187"/>
      <c r="M323" s="185"/>
      <c r="N323" s="187"/>
      <c r="O323" s="185"/>
      <c r="P323" s="185"/>
      <c r="Q323" s="185"/>
      <c r="R323" s="185"/>
      <c r="S323" s="185"/>
      <c r="T323" s="185"/>
      <c r="U323" s="187"/>
      <c r="V323" s="185"/>
      <c r="W323" s="185"/>
      <c r="X323" s="185"/>
      <c r="Y323" s="185"/>
      <c r="Z323" s="185"/>
      <c r="AA323" s="185"/>
      <c r="AB323" s="186"/>
      <c r="AC323" s="186"/>
      <c r="AD323" s="186"/>
      <c r="AE323" s="185"/>
      <c r="AF323" s="186"/>
      <c r="AG323" s="206"/>
      <c r="AH323" s="194"/>
      <c r="AN323" s="25"/>
      <c r="AO323" s="25"/>
      <c r="AR323" s="25"/>
      <c r="AS323" s="25"/>
      <c r="AT323" s="25"/>
    </row>
    <row r="324" spans="1:46" ht="11.25" hidden="1">
      <c r="A324" s="31"/>
      <c r="B324" s="165"/>
      <c r="C324" s="185"/>
      <c r="D324" s="185"/>
      <c r="E324" s="181"/>
      <c r="F324" s="186"/>
      <c r="G324" s="187"/>
      <c r="H324" s="188"/>
      <c r="I324" s="185"/>
      <c r="J324" s="187"/>
      <c r="K324" s="185"/>
      <c r="L324" s="187"/>
      <c r="M324" s="185"/>
      <c r="N324" s="187"/>
      <c r="O324" s="185"/>
      <c r="P324" s="185"/>
      <c r="Q324" s="185"/>
      <c r="R324" s="185"/>
      <c r="S324" s="185"/>
      <c r="T324" s="185"/>
      <c r="U324" s="187"/>
      <c r="V324" s="185"/>
      <c r="W324" s="185"/>
      <c r="X324" s="185"/>
      <c r="Y324" s="185"/>
      <c r="Z324" s="185"/>
      <c r="AA324" s="185"/>
      <c r="AB324" s="186"/>
      <c r="AC324" s="186"/>
      <c r="AD324" s="186"/>
      <c r="AE324" s="185"/>
      <c r="AF324" s="186"/>
      <c r="AG324" s="206"/>
      <c r="AH324" s="194"/>
      <c r="AN324" s="25"/>
      <c r="AO324" s="25"/>
      <c r="AR324" s="25"/>
      <c r="AS324" s="25"/>
      <c r="AT324" s="25"/>
    </row>
    <row r="325" spans="1:46" ht="11.25" hidden="1">
      <c r="A325" s="31"/>
      <c r="B325" s="165"/>
      <c r="C325" s="185"/>
      <c r="D325" s="185"/>
      <c r="E325" s="181"/>
      <c r="F325" s="186"/>
      <c r="G325" s="187"/>
      <c r="H325" s="188"/>
      <c r="I325" s="185"/>
      <c r="J325" s="187"/>
      <c r="K325" s="185"/>
      <c r="L325" s="187"/>
      <c r="M325" s="185"/>
      <c r="N325" s="187"/>
      <c r="O325" s="185"/>
      <c r="P325" s="185"/>
      <c r="Q325" s="185"/>
      <c r="R325" s="185"/>
      <c r="S325" s="185"/>
      <c r="T325" s="185"/>
      <c r="U325" s="187"/>
      <c r="V325" s="185"/>
      <c r="W325" s="185"/>
      <c r="X325" s="185"/>
      <c r="Y325" s="185"/>
      <c r="Z325" s="185"/>
      <c r="AA325" s="185"/>
      <c r="AB325" s="186"/>
      <c r="AC325" s="186"/>
      <c r="AD325" s="186"/>
      <c r="AE325" s="185"/>
      <c r="AF325" s="186"/>
      <c r="AG325" s="206"/>
      <c r="AH325" s="194"/>
      <c r="AN325" s="25"/>
      <c r="AO325" s="25"/>
      <c r="AR325" s="25"/>
      <c r="AS325" s="25"/>
      <c r="AT325" s="25"/>
    </row>
    <row r="326" spans="1:46" ht="11.25" hidden="1">
      <c r="A326" s="31"/>
      <c r="B326" s="165"/>
      <c r="C326" s="185"/>
      <c r="D326" s="185"/>
      <c r="E326" s="181"/>
      <c r="F326" s="186"/>
      <c r="G326" s="187"/>
      <c r="H326" s="188"/>
      <c r="I326" s="185"/>
      <c r="J326" s="187"/>
      <c r="K326" s="185"/>
      <c r="L326" s="187"/>
      <c r="M326" s="185"/>
      <c r="N326" s="187"/>
      <c r="O326" s="185"/>
      <c r="P326" s="185"/>
      <c r="Q326" s="185"/>
      <c r="R326" s="185"/>
      <c r="S326" s="185"/>
      <c r="T326" s="185"/>
      <c r="U326" s="187"/>
      <c r="V326" s="185"/>
      <c r="W326" s="185"/>
      <c r="X326" s="185"/>
      <c r="Y326" s="185"/>
      <c r="Z326" s="185"/>
      <c r="AA326" s="185"/>
      <c r="AB326" s="186"/>
      <c r="AC326" s="186"/>
      <c r="AD326" s="186"/>
      <c r="AE326" s="185"/>
      <c r="AF326" s="186"/>
      <c r="AG326" s="206"/>
      <c r="AH326" s="194"/>
      <c r="AN326" s="25"/>
      <c r="AO326" s="25"/>
      <c r="AR326" s="25"/>
      <c r="AS326" s="25"/>
      <c r="AT326" s="25"/>
    </row>
    <row r="327" spans="1:46" ht="11.25" hidden="1">
      <c r="A327" s="31"/>
      <c r="B327" s="165"/>
      <c r="C327" s="185"/>
      <c r="D327" s="185"/>
      <c r="E327" s="181"/>
      <c r="F327" s="186"/>
      <c r="G327" s="187"/>
      <c r="H327" s="188"/>
      <c r="I327" s="185"/>
      <c r="J327" s="187"/>
      <c r="K327" s="185"/>
      <c r="L327" s="187"/>
      <c r="M327" s="185"/>
      <c r="N327" s="187"/>
      <c r="O327" s="185"/>
      <c r="P327" s="185"/>
      <c r="Q327" s="185"/>
      <c r="R327" s="185"/>
      <c r="S327" s="185"/>
      <c r="T327" s="185"/>
      <c r="U327" s="187"/>
      <c r="V327" s="185"/>
      <c r="W327" s="185"/>
      <c r="X327" s="185"/>
      <c r="Y327" s="185"/>
      <c r="Z327" s="185"/>
      <c r="AA327" s="185"/>
      <c r="AB327" s="186"/>
      <c r="AC327" s="186"/>
      <c r="AD327" s="186"/>
      <c r="AE327" s="185"/>
      <c r="AF327" s="186"/>
      <c r="AG327" s="206"/>
      <c r="AH327" s="194"/>
      <c r="AN327" s="25"/>
      <c r="AO327" s="25"/>
      <c r="AR327" s="25"/>
      <c r="AS327" s="25"/>
      <c r="AT327" s="25"/>
    </row>
    <row r="328" spans="1:46" ht="11.25" hidden="1">
      <c r="A328" s="31"/>
      <c r="B328" s="165"/>
      <c r="C328" s="185"/>
      <c r="D328" s="185"/>
      <c r="E328" s="181"/>
      <c r="F328" s="186"/>
      <c r="G328" s="187"/>
      <c r="H328" s="188"/>
      <c r="I328" s="185"/>
      <c r="J328" s="187"/>
      <c r="K328" s="185"/>
      <c r="L328" s="187"/>
      <c r="M328" s="185"/>
      <c r="N328" s="187"/>
      <c r="O328" s="185"/>
      <c r="P328" s="185"/>
      <c r="Q328" s="185"/>
      <c r="R328" s="185"/>
      <c r="S328" s="185"/>
      <c r="T328" s="185"/>
      <c r="U328" s="187"/>
      <c r="V328" s="185"/>
      <c r="W328" s="185"/>
      <c r="X328" s="185"/>
      <c r="Y328" s="185"/>
      <c r="Z328" s="185"/>
      <c r="AA328" s="185"/>
      <c r="AB328" s="186"/>
      <c r="AC328" s="186"/>
      <c r="AD328" s="186"/>
      <c r="AE328" s="185"/>
      <c r="AF328" s="186"/>
      <c r="AG328" s="206"/>
      <c r="AH328" s="194"/>
      <c r="AN328" s="25"/>
      <c r="AO328" s="25"/>
      <c r="AR328" s="25"/>
      <c r="AS328" s="25"/>
      <c r="AT328" s="25"/>
    </row>
    <row r="329" spans="1:46" ht="11.25" hidden="1">
      <c r="A329" s="31"/>
      <c r="B329" s="165"/>
      <c r="C329" s="185"/>
      <c r="D329" s="185"/>
      <c r="E329" s="181"/>
      <c r="F329" s="186"/>
      <c r="G329" s="187"/>
      <c r="H329" s="188"/>
      <c r="I329" s="185"/>
      <c r="J329" s="187"/>
      <c r="K329" s="185"/>
      <c r="L329" s="187"/>
      <c r="M329" s="185"/>
      <c r="N329" s="187"/>
      <c r="O329" s="185"/>
      <c r="P329" s="185"/>
      <c r="Q329" s="185"/>
      <c r="R329" s="185"/>
      <c r="S329" s="185"/>
      <c r="T329" s="185"/>
      <c r="U329" s="187"/>
      <c r="V329" s="185"/>
      <c r="W329" s="185"/>
      <c r="X329" s="185"/>
      <c r="Y329" s="185"/>
      <c r="Z329" s="185"/>
      <c r="AA329" s="185"/>
      <c r="AB329" s="186"/>
      <c r="AC329" s="186"/>
      <c r="AD329" s="186"/>
      <c r="AE329" s="185"/>
      <c r="AF329" s="186"/>
      <c r="AG329" s="206"/>
      <c r="AH329" s="194"/>
      <c r="AN329" s="25"/>
      <c r="AO329" s="25"/>
      <c r="AR329" s="25"/>
      <c r="AS329" s="25"/>
      <c r="AT329" s="25"/>
    </row>
    <row r="330" spans="1:46" ht="11.25" hidden="1">
      <c r="A330" s="31"/>
      <c r="B330" s="165"/>
      <c r="C330" s="185"/>
      <c r="D330" s="185"/>
      <c r="E330" s="181"/>
      <c r="F330" s="186"/>
      <c r="G330" s="187"/>
      <c r="H330" s="188"/>
      <c r="I330" s="185"/>
      <c r="J330" s="187"/>
      <c r="K330" s="185"/>
      <c r="L330" s="187"/>
      <c r="M330" s="185"/>
      <c r="N330" s="187"/>
      <c r="O330" s="185"/>
      <c r="P330" s="185"/>
      <c r="Q330" s="185"/>
      <c r="R330" s="185"/>
      <c r="S330" s="185"/>
      <c r="T330" s="185"/>
      <c r="U330" s="187"/>
      <c r="V330" s="185"/>
      <c r="W330" s="185"/>
      <c r="X330" s="185"/>
      <c r="Y330" s="185"/>
      <c r="Z330" s="185"/>
      <c r="AA330" s="185"/>
      <c r="AB330" s="186"/>
      <c r="AC330" s="186"/>
      <c r="AD330" s="186"/>
      <c r="AE330" s="185"/>
      <c r="AF330" s="186"/>
      <c r="AG330" s="206"/>
      <c r="AH330" s="194"/>
      <c r="AN330" s="25"/>
      <c r="AO330" s="25"/>
      <c r="AR330" s="25"/>
      <c r="AS330" s="25"/>
      <c r="AT330" s="25"/>
    </row>
    <row r="331" spans="1:46" ht="11.25" hidden="1">
      <c r="A331" s="31"/>
      <c r="B331" s="165"/>
      <c r="C331" s="185"/>
      <c r="D331" s="185"/>
      <c r="E331" s="181"/>
      <c r="F331" s="186"/>
      <c r="G331" s="187"/>
      <c r="H331" s="188"/>
      <c r="I331" s="185"/>
      <c r="J331" s="187"/>
      <c r="K331" s="185"/>
      <c r="L331" s="187"/>
      <c r="M331" s="185"/>
      <c r="N331" s="187"/>
      <c r="O331" s="185"/>
      <c r="P331" s="185"/>
      <c r="Q331" s="185"/>
      <c r="R331" s="185"/>
      <c r="S331" s="185"/>
      <c r="T331" s="185"/>
      <c r="U331" s="187"/>
      <c r="V331" s="185"/>
      <c r="W331" s="185"/>
      <c r="X331" s="185"/>
      <c r="Y331" s="185"/>
      <c r="Z331" s="185"/>
      <c r="AA331" s="185"/>
      <c r="AB331" s="186"/>
      <c r="AC331" s="186"/>
      <c r="AD331" s="186"/>
      <c r="AE331" s="185"/>
      <c r="AF331" s="186"/>
      <c r="AG331" s="206"/>
      <c r="AH331" s="194"/>
      <c r="AN331" s="25"/>
      <c r="AO331" s="25"/>
      <c r="AR331" s="25"/>
      <c r="AS331" s="25"/>
      <c r="AT331" s="25"/>
    </row>
    <row r="332" spans="1:46" ht="11.25" hidden="1">
      <c r="A332" s="31"/>
      <c r="B332" s="165"/>
      <c r="C332" s="185"/>
      <c r="D332" s="185"/>
      <c r="E332" s="181"/>
      <c r="F332" s="186"/>
      <c r="G332" s="187"/>
      <c r="H332" s="188"/>
      <c r="I332" s="185"/>
      <c r="J332" s="187"/>
      <c r="K332" s="185"/>
      <c r="L332" s="187"/>
      <c r="M332" s="185"/>
      <c r="N332" s="187"/>
      <c r="O332" s="185"/>
      <c r="P332" s="185"/>
      <c r="Q332" s="185"/>
      <c r="R332" s="185"/>
      <c r="S332" s="185"/>
      <c r="T332" s="185"/>
      <c r="U332" s="187"/>
      <c r="V332" s="185"/>
      <c r="W332" s="185"/>
      <c r="X332" s="185"/>
      <c r="Y332" s="185"/>
      <c r="Z332" s="185"/>
      <c r="AA332" s="185"/>
      <c r="AB332" s="186"/>
      <c r="AC332" s="186"/>
      <c r="AD332" s="186"/>
      <c r="AE332" s="185"/>
      <c r="AF332" s="186"/>
      <c r="AG332" s="206"/>
      <c r="AH332" s="194"/>
      <c r="AN332" s="25"/>
      <c r="AO332" s="25"/>
      <c r="AR332" s="25"/>
      <c r="AS332" s="25"/>
      <c r="AT332" s="25"/>
    </row>
    <row r="333" spans="1:46" ht="11.25" hidden="1">
      <c r="A333" s="31"/>
      <c r="B333" s="165"/>
      <c r="C333" s="185"/>
      <c r="D333" s="185"/>
      <c r="E333" s="181"/>
      <c r="F333" s="186"/>
      <c r="G333" s="187"/>
      <c r="H333" s="188"/>
      <c r="I333" s="185"/>
      <c r="J333" s="187"/>
      <c r="K333" s="185"/>
      <c r="L333" s="187"/>
      <c r="M333" s="185"/>
      <c r="N333" s="187"/>
      <c r="O333" s="185"/>
      <c r="P333" s="185"/>
      <c r="Q333" s="185"/>
      <c r="R333" s="185"/>
      <c r="S333" s="185"/>
      <c r="T333" s="185"/>
      <c r="U333" s="187"/>
      <c r="V333" s="185"/>
      <c r="W333" s="185"/>
      <c r="X333" s="185"/>
      <c r="Y333" s="185"/>
      <c r="Z333" s="185"/>
      <c r="AA333" s="185"/>
      <c r="AB333" s="186"/>
      <c r="AC333" s="186"/>
      <c r="AD333" s="186"/>
      <c r="AE333" s="185"/>
      <c r="AF333" s="186"/>
      <c r="AG333" s="206"/>
      <c r="AH333" s="194"/>
      <c r="AN333" s="25"/>
      <c r="AO333" s="25"/>
      <c r="AR333" s="25"/>
      <c r="AS333" s="25"/>
      <c r="AT333" s="25"/>
    </row>
    <row r="334" spans="1:46" ht="11.25" hidden="1">
      <c r="A334" s="31"/>
      <c r="B334" s="165"/>
      <c r="C334" s="185"/>
      <c r="D334" s="185"/>
      <c r="E334" s="181"/>
      <c r="F334" s="186"/>
      <c r="G334" s="187"/>
      <c r="H334" s="188"/>
      <c r="I334" s="185"/>
      <c r="J334" s="187"/>
      <c r="K334" s="185"/>
      <c r="L334" s="187"/>
      <c r="M334" s="185"/>
      <c r="N334" s="187"/>
      <c r="O334" s="185"/>
      <c r="P334" s="185"/>
      <c r="Q334" s="185"/>
      <c r="R334" s="185"/>
      <c r="S334" s="185"/>
      <c r="T334" s="185"/>
      <c r="U334" s="187"/>
      <c r="V334" s="185"/>
      <c r="W334" s="185"/>
      <c r="X334" s="185"/>
      <c r="Y334" s="185"/>
      <c r="Z334" s="185"/>
      <c r="AA334" s="185"/>
      <c r="AB334" s="186"/>
      <c r="AC334" s="186"/>
      <c r="AD334" s="186"/>
      <c r="AE334" s="185"/>
      <c r="AF334" s="186"/>
      <c r="AG334" s="206"/>
      <c r="AH334" s="194"/>
      <c r="AN334" s="25"/>
      <c r="AO334" s="25"/>
      <c r="AR334" s="25"/>
      <c r="AS334" s="25"/>
      <c r="AT334" s="25"/>
    </row>
    <row r="335" spans="1:46" ht="11.25" hidden="1">
      <c r="A335" s="31"/>
      <c r="B335" s="165"/>
      <c r="C335" s="185"/>
      <c r="D335" s="185"/>
      <c r="E335" s="181"/>
      <c r="F335" s="186"/>
      <c r="G335" s="187"/>
      <c r="H335" s="188"/>
      <c r="I335" s="185"/>
      <c r="J335" s="187"/>
      <c r="K335" s="185"/>
      <c r="L335" s="187"/>
      <c r="M335" s="185"/>
      <c r="N335" s="187"/>
      <c r="O335" s="185"/>
      <c r="P335" s="185"/>
      <c r="Q335" s="185"/>
      <c r="R335" s="185"/>
      <c r="S335" s="185"/>
      <c r="T335" s="185"/>
      <c r="U335" s="187"/>
      <c r="V335" s="185"/>
      <c r="W335" s="185"/>
      <c r="X335" s="185"/>
      <c r="Y335" s="185"/>
      <c r="Z335" s="185"/>
      <c r="AA335" s="185"/>
      <c r="AB335" s="186"/>
      <c r="AC335" s="186"/>
      <c r="AD335" s="186"/>
      <c r="AE335" s="185"/>
      <c r="AF335" s="186"/>
      <c r="AG335" s="206"/>
      <c r="AH335" s="194"/>
      <c r="AN335" s="25"/>
      <c r="AO335" s="25"/>
      <c r="AR335" s="25"/>
      <c r="AS335" s="25"/>
      <c r="AT335" s="25"/>
    </row>
    <row r="336" spans="1:46" ht="11.25" hidden="1">
      <c r="A336" s="31"/>
      <c r="B336" s="165"/>
      <c r="C336" s="185"/>
      <c r="D336" s="185"/>
      <c r="E336" s="181"/>
      <c r="F336" s="186"/>
      <c r="G336" s="187"/>
      <c r="H336" s="188"/>
      <c r="I336" s="185"/>
      <c r="J336" s="187"/>
      <c r="K336" s="185"/>
      <c r="L336" s="187"/>
      <c r="M336" s="185"/>
      <c r="N336" s="187"/>
      <c r="O336" s="185"/>
      <c r="P336" s="185"/>
      <c r="Q336" s="185"/>
      <c r="R336" s="185"/>
      <c r="S336" s="185"/>
      <c r="T336" s="185"/>
      <c r="U336" s="187"/>
      <c r="V336" s="185"/>
      <c r="W336" s="185"/>
      <c r="X336" s="185"/>
      <c r="Y336" s="185"/>
      <c r="Z336" s="185"/>
      <c r="AA336" s="185"/>
      <c r="AB336" s="186"/>
      <c r="AC336" s="186"/>
      <c r="AD336" s="186"/>
      <c r="AE336" s="185"/>
      <c r="AF336" s="186"/>
      <c r="AG336" s="206"/>
      <c r="AH336" s="194"/>
      <c r="AN336" s="25"/>
      <c r="AO336" s="25"/>
      <c r="AR336" s="25"/>
      <c r="AS336" s="25"/>
      <c r="AT336" s="25"/>
    </row>
    <row r="337" spans="1:50" ht="11.25" hidden="1">
      <c r="A337" s="31"/>
      <c r="B337" s="165"/>
      <c r="C337" s="185"/>
      <c r="D337" s="185"/>
      <c r="E337" s="181"/>
      <c r="F337" s="186"/>
      <c r="G337" s="187"/>
      <c r="H337" s="188"/>
      <c r="I337" s="185"/>
      <c r="J337" s="187"/>
      <c r="K337" s="185"/>
      <c r="L337" s="187"/>
      <c r="M337" s="185"/>
      <c r="N337" s="187"/>
      <c r="O337" s="185"/>
      <c r="P337" s="185"/>
      <c r="Q337" s="185"/>
      <c r="R337" s="185"/>
      <c r="S337" s="185"/>
      <c r="T337" s="185"/>
      <c r="U337" s="187"/>
      <c r="V337" s="185"/>
      <c r="W337" s="185"/>
      <c r="X337" s="185"/>
      <c r="Y337" s="185"/>
      <c r="Z337" s="185"/>
      <c r="AA337" s="185"/>
      <c r="AB337" s="186"/>
      <c r="AC337" s="186"/>
      <c r="AD337" s="186"/>
      <c r="AE337" s="185"/>
      <c r="AF337" s="186"/>
      <c r="AG337" s="206"/>
      <c r="AH337" s="194"/>
      <c r="AN337" s="25"/>
      <c r="AO337" s="25"/>
      <c r="AR337" s="25"/>
      <c r="AS337" s="25"/>
      <c r="AT337" s="25"/>
    </row>
    <row r="338" spans="1:50" ht="11.25" hidden="1">
      <c r="A338" s="31"/>
      <c r="B338" s="165"/>
      <c r="C338" s="185"/>
      <c r="D338" s="185"/>
      <c r="E338" s="181"/>
      <c r="F338" s="186"/>
      <c r="G338" s="187"/>
      <c r="H338" s="188"/>
      <c r="I338" s="185"/>
      <c r="J338" s="187"/>
      <c r="K338" s="185"/>
      <c r="L338" s="187"/>
      <c r="M338" s="185"/>
      <c r="N338" s="187"/>
      <c r="O338" s="185"/>
      <c r="P338" s="185"/>
      <c r="Q338" s="185"/>
      <c r="R338" s="185"/>
      <c r="S338" s="185"/>
      <c r="T338" s="185"/>
      <c r="U338" s="187"/>
      <c r="V338" s="185"/>
      <c r="W338" s="185"/>
      <c r="X338" s="185"/>
      <c r="Y338" s="185"/>
      <c r="Z338" s="185"/>
      <c r="AA338" s="185"/>
      <c r="AB338" s="186"/>
      <c r="AC338" s="186"/>
      <c r="AD338" s="186"/>
      <c r="AE338" s="185"/>
      <c r="AF338" s="186"/>
      <c r="AG338" s="206"/>
      <c r="AH338" s="194"/>
      <c r="AN338" s="25"/>
      <c r="AO338" s="25"/>
      <c r="AR338" s="25"/>
      <c r="AS338" s="25"/>
      <c r="AT338" s="25"/>
    </row>
    <row r="339" spans="1:50" ht="11.25" hidden="1">
      <c r="A339" s="31"/>
      <c r="B339" s="165"/>
      <c r="C339" s="185"/>
      <c r="D339" s="185"/>
      <c r="E339" s="181"/>
      <c r="F339" s="186"/>
      <c r="G339" s="187"/>
      <c r="H339" s="188"/>
      <c r="I339" s="185"/>
      <c r="J339" s="187"/>
      <c r="K339" s="185"/>
      <c r="L339" s="187"/>
      <c r="M339" s="185"/>
      <c r="N339" s="187"/>
      <c r="O339" s="185"/>
      <c r="P339" s="185"/>
      <c r="Q339" s="185"/>
      <c r="R339" s="185"/>
      <c r="S339" s="185"/>
      <c r="T339" s="185"/>
      <c r="U339" s="187"/>
      <c r="V339" s="185"/>
      <c r="W339" s="185"/>
      <c r="X339" s="185"/>
      <c r="Y339" s="185"/>
      <c r="Z339" s="185"/>
      <c r="AA339" s="185"/>
      <c r="AB339" s="186"/>
      <c r="AC339" s="186"/>
      <c r="AD339" s="186"/>
      <c r="AE339" s="185"/>
      <c r="AF339" s="186"/>
      <c r="AG339" s="206"/>
      <c r="AH339" s="194"/>
      <c r="AN339" s="25"/>
      <c r="AO339" s="25"/>
      <c r="AR339" s="25"/>
      <c r="AS339" s="25"/>
      <c r="AT339" s="25"/>
    </row>
    <row r="340" spans="1:50" ht="11.25" hidden="1">
      <c r="A340" s="31"/>
      <c r="B340" s="165"/>
      <c r="C340" s="185"/>
      <c r="D340" s="185"/>
      <c r="E340" s="181"/>
      <c r="F340" s="186"/>
      <c r="G340" s="187"/>
      <c r="H340" s="188"/>
      <c r="I340" s="185"/>
      <c r="J340" s="187"/>
      <c r="K340" s="185"/>
      <c r="L340" s="187"/>
      <c r="M340" s="185"/>
      <c r="N340" s="187"/>
      <c r="O340" s="185"/>
      <c r="P340" s="185"/>
      <c r="Q340" s="185"/>
      <c r="R340" s="185"/>
      <c r="S340" s="185"/>
      <c r="T340" s="185"/>
      <c r="U340" s="187"/>
      <c r="V340" s="185"/>
      <c r="W340" s="185"/>
      <c r="X340" s="185"/>
      <c r="Y340" s="185"/>
      <c r="Z340" s="185"/>
      <c r="AA340" s="185"/>
      <c r="AB340" s="186"/>
      <c r="AC340" s="186"/>
      <c r="AD340" s="186"/>
      <c r="AE340" s="185"/>
      <c r="AF340" s="186"/>
      <c r="AG340" s="206"/>
      <c r="AH340" s="194"/>
      <c r="AN340" s="25"/>
      <c r="AO340" s="25"/>
      <c r="AR340" s="25"/>
      <c r="AS340" s="25"/>
      <c r="AT340" s="25"/>
    </row>
    <row r="341" spans="1:50" ht="11.25" hidden="1">
      <c r="A341" s="31"/>
      <c r="B341" s="165"/>
      <c r="C341" s="185"/>
      <c r="D341" s="185"/>
      <c r="E341" s="181"/>
      <c r="F341" s="186"/>
      <c r="G341" s="187"/>
      <c r="H341" s="188"/>
      <c r="I341" s="185"/>
      <c r="J341" s="187"/>
      <c r="K341" s="185"/>
      <c r="L341" s="187"/>
      <c r="M341" s="185"/>
      <c r="N341" s="187"/>
      <c r="O341" s="185"/>
      <c r="P341" s="185"/>
      <c r="Q341" s="185"/>
      <c r="R341" s="185"/>
      <c r="S341" s="185"/>
      <c r="T341" s="185"/>
      <c r="U341" s="187"/>
      <c r="V341" s="185"/>
      <c r="W341" s="185"/>
      <c r="X341" s="185"/>
      <c r="Y341" s="185"/>
      <c r="Z341" s="185"/>
      <c r="AA341" s="185"/>
      <c r="AB341" s="186"/>
      <c r="AC341" s="186"/>
      <c r="AD341" s="186"/>
      <c r="AE341" s="185"/>
      <c r="AF341" s="186"/>
      <c r="AG341" s="206"/>
      <c r="AH341" s="194"/>
      <c r="AN341" s="25"/>
      <c r="AO341" s="25"/>
      <c r="AR341" s="25"/>
      <c r="AS341" s="25"/>
      <c r="AT341" s="25"/>
    </row>
    <row r="342" spans="1:50" ht="11.25" hidden="1">
      <c r="A342" s="31"/>
      <c r="B342" s="165"/>
      <c r="C342" s="185"/>
      <c r="D342" s="185"/>
      <c r="E342" s="181"/>
      <c r="F342" s="186"/>
      <c r="G342" s="187"/>
      <c r="H342" s="188"/>
      <c r="I342" s="185"/>
      <c r="J342" s="187"/>
      <c r="K342" s="185"/>
      <c r="L342" s="187"/>
      <c r="M342" s="185"/>
      <c r="N342" s="187"/>
      <c r="O342" s="185"/>
      <c r="P342" s="185"/>
      <c r="Q342" s="185"/>
      <c r="R342" s="185"/>
      <c r="S342" s="185"/>
      <c r="T342" s="185"/>
      <c r="U342" s="187"/>
      <c r="V342" s="185"/>
      <c r="W342" s="185"/>
      <c r="X342" s="185"/>
      <c r="Y342" s="185"/>
      <c r="Z342" s="185"/>
      <c r="AA342" s="185"/>
      <c r="AB342" s="186"/>
      <c r="AC342" s="186"/>
      <c r="AD342" s="186"/>
      <c r="AE342" s="185"/>
      <c r="AF342" s="186"/>
      <c r="AG342" s="206"/>
      <c r="AH342" s="194"/>
      <c r="AN342" s="25"/>
      <c r="AO342" s="25"/>
      <c r="AR342" s="25"/>
      <c r="AS342" s="25"/>
      <c r="AT342" s="25"/>
    </row>
    <row r="343" spans="1:50" ht="11.25" hidden="1">
      <c r="A343" s="31"/>
      <c r="B343" s="165"/>
      <c r="C343" s="185"/>
      <c r="D343" s="185"/>
      <c r="E343" s="181"/>
      <c r="F343" s="186"/>
      <c r="G343" s="187"/>
      <c r="H343" s="188"/>
      <c r="I343" s="185"/>
      <c r="J343" s="187"/>
      <c r="K343" s="185"/>
      <c r="L343" s="187"/>
      <c r="M343" s="185"/>
      <c r="N343" s="187"/>
      <c r="O343" s="185"/>
      <c r="P343" s="185"/>
      <c r="Q343" s="185"/>
      <c r="R343" s="185"/>
      <c r="S343" s="185"/>
      <c r="T343" s="185"/>
      <c r="U343" s="187"/>
      <c r="V343" s="185"/>
      <c r="W343" s="185"/>
      <c r="X343" s="185"/>
      <c r="Y343" s="185"/>
      <c r="Z343" s="185"/>
      <c r="AA343" s="185"/>
      <c r="AB343" s="186"/>
      <c r="AC343" s="186"/>
      <c r="AD343" s="186"/>
      <c r="AE343" s="185"/>
      <c r="AF343" s="186"/>
      <c r="AG343" s="206"/>
      <c r="AH343" s="194"/>
      <c r="AN343" s="25"/>
      <c r="AO343" s="25"/>
      <c r="AR343" s="25"/>
      <c r="AS343" s="25"/>
      <c r="AT343" s="25"/>
    </row>
    <row r="344" spans="1:50" ht="11.25" hidden="1">
      <c r="A344" s="31"/>
      <c r="B344" s="165"/>
      <c r="C344" s="185"/>
      <c r="D344" s="185"/>
      <c r="E344" s="181"/>
      <c r="F344" s="186"/>
      <c r="G344" s="187"/>
      <c r="H344" s="188"/>
      <c r="I344" s="185"/>
      <c r="J344" s="187"/>
      <c r="K344" s="185"/>
      <c r="L344" s="187"/>
      <c r="M344" s="185"/>
      <c r="N344" s="187"/>
      <c r="O344" s="185"/>
      <c r="P344" s="185"/>
      <c r="Q344" s="185"/>
      <c r="R344" s="185"/>
      <c r="S344" s="185"/>
      <c r="T344" s="185"/>
      <c r="U344" s="187"/>
      <c r="V344" s="185"/>
      <c r="W344" s="185"/>
      <c r="X344" s="185"/>
      <c r="Y344" s="185"/>
      <c r="Z344" s="185"/>
      <c r="AA344" s="185"/>
      <c r="AB344" s="186"/>
      <c r="AC344" s="186"/>
      <c r="AD344" s="186"/>
      <c r="AE344" s="185"/>
      <c r="AF344" s="186"/>
      <c r="AG344" s="206"/>
      <c r="AH344" s="194"/>
      <c r="AN344" s="25"/>
      <c r="AO344" s="25"/>
      <c r="AR344" s="25"/>
      <c r="AS344" s="25"/>
      <c r="AT344" s="25"/>
    </row>
    <row r="345" spans="1:50" ht="11.25" hidden="1">
      <c r="A345" s="31"/>
      <c r="B345" s="165"/>
      <c r="C345" s="185"/>
      <c r="D345" s="185"/>
      <c r="E345" s="181"/>
      <c r="F345" s="186"/>
      <c r="G345" s="187"/>
      <c r="H345" s="188"/>
      <c r="I345" s="185"/>
      <c r="J345" s="187"/>
      <c r="K345" s="185"/>
      <c r="L345" s="187"/>
      <c r="M345" s="185"/>
      <c r="N345" s="187"/>
      <c r="O345" s="185"/>
      <c r="P345" s="185"/>
      <c r="Q345" s="185"/>
      <c r="R345" s="185"/>
      <c r="S345" s="185"/>
      <c r="T345" s="185"/>
      <c r="U345" s="187"/>
      <c r="V345" s="185"/>
      <c r="W345" s="185"/>
      <c r="X345" s="185"/>
      <c r="Y345" s="185"/>
      <c r="Z345" s="185"/>
      <c r="AA345" s="185"/>
      <c r="AB345" s="186"/>
      <c r="AC345" s="186"/>
      <c r="AD345" s="186"/>
      <c r="AE345" s="185"/>
      <c r="AF345" s="186"/>
      <c r="AG345" s="206"/>
      <c r="AH345" s="194"/>
      <c r="AN345" s="25"/>
      <c r="AO345" s="25"/>
      <c r="AR345" s="25"/>
      <c r="AS345" s="25"/>
      <c r="AT345" s="25"/>
    </row>
    <row r="346" spans="1:50" ht="11.25" hidden="1">
      <c r="A346" s="31"/>
      <c r="B346" s="165"/>
      <c r="C346" s="178"/>
      <c r="D346" s="170"/>
      <c r="E346" s="178"/>
      <c r="F346" s="170"/>
      <c r="G346" s="179"/>
      <c r="H346" s="180"/>
      <c r="I346" s="177"/>
      <c r="J346" s="170"/>
      <c r="K346" s="170"/>
      <c r="L346" s="179"/>
      <c r="M346" s="166"/>
      <c r="N346" s="179"/>
      <c r="O346" s="166"/>
      <c r="P346" s="170"/>
      <c r="Q346" s="170"/>
      <c r="R346" s="170"/>
      <c r="S346" s="170"/>
      <c r="T346" s="170"/>
      <c r="U346" s="179"/>
      <c r="V346" s="170"/>
      <c r="W346" s="170"/>
      <c r="X346" s="170"/>
      <c r="Y346" s="170"/>
      <c r="Z346" s="170"/>
      <c r="AA346" s="170"/>
      <c r="AB346" s="170"/>
      <c r="AC346" s="166"/>
      <c r="AD346" s="170"/>
      <c r="AE346" s="170"/>
      <c r="AF346" s="171"/>
      <c r="AG346" s="204"/>
      <c r="AH346" s="172"/>
      <c r="AN346" s="25"/>
      <c r="AO346" s="25"/>
      <c r="AR346" s="25"/>
      <c r="AS346" s="25"/>
      <c r="AT346" s="25"/>
    </row>
    <row r="347" spans="1:50" ht="11.25" hidden="1">
      <c r="A347" s="31"/>
      <c r="B347" s="165"/>
      <c r="C347" s="178"/>
      <c r="D347" s="170"/>
      <c r="E347" s="178"/>
      <c r="F347" s="170"/>
      <c r="G347" s="179"/>
      <c r="H347" s="180"/>
      <c r="I347" s="177"/>
      <c r="J347" s="170"/>
      <c r="K347" s="170"/>
      <c r="L347" s="179"/>
      <c r="M347" s="166"/>
      <c r="N347" s="179"/>
      <c r="O347" s="166"/>
      <c r="P347" s="170"/>
      <c r="Q347" s="170"/>
      <c r="R347" s="170"/>
      <c r="S347" s="170"/>
      <c r="T347" s="170"/>
      <c r="U347" s="179"/>
      <c r="V347" s="170"/>
      <c r="W347" s="170"/>
      <c r="X347" s="170"/>
      <c r="Y347" s="170"/>
      <c r="Z347" s="170"/>
      <c r="AA347" s="170"/>
      <c r="AB347" s="170"/>
      <c r="AC347" s="166"/>
      <c r="AD347" s="170"/>
      <c r="AE347" s="170"/>
      <c r="AF347" s="171"/>
      <c r="AG347" s="204"/>
      <c r="AH347" s="172"/>
      <c r="AN347" s="25"/>
      <c r="AO347" s="25"/>
      <c r="AR347" s="25"/>
      <c r="AS347" s="25"/>
      <c r="AT347" s="25"/>
    </row>
    <row r="348" spans="1:50" ht="11.25" hidden="1">
      <c r="A348" s="31"/>
      <c r="B348" s="165"/>
      <c r="C348" s="178"/>
      <c r="D348" s="170"/>
      <c r="E348" s="181"/>
      <c r="F348" s="170"/>
      <c r="G348" s="167"/>
      <c r="H348" s="180"/>
      <c r="I348" s="170"/>
      <c r="J348" s="170"/>
      <c r="K348" s="170"/>
      <c r="L348" s="179"/>
      <c r="M348" s="166"/>
      <c r="N348" s="179"/>
      <c r="O348" s="166"/>
      <c r="P348" s="170"/>
      <c r="Q348" s="170"/>
      <c r="R348" s="170"/>
      <c r="S348" s="170"/>
      <c r="T348" s="170"/>
      <c r="U348" s="179"/>
      <c r="V348" s="170"/>
      <c r="W348" s="170"/>
      <c r="X348" s="170"/>
      <c r="Y348" s="170"/>
      <c r="Z348" s="170"/>
      <c r="AA348" s="170"/>
      <c r="AB348" s="170"/>
      <c r="AC348" s="170"/>
      <c r="AD348" s="170"/>
      <c r="AE348" s="170"/>
      <c r="AF348" s="171"/>
      <c r="AG348" s="204"/>
      <c r="AH348" s="172"/>
      <c r="AN348" s="25"/>
      <c r="AO348" s="25"/>
      <c r="AR348" s="25"/>
      <c r="AS348" s="25"/>
      <c r="AT348" s="25"/>
    </row>
    <row r="349" spans="1:50" ht="11.25" hidden="1">
      <c r="A349" s="31"/>
      <c r="B349" s="165"/>
      <c r="C349" s="178"/>
      <c r="D349" s="170"/>
      <c r="E349" s="181"/>
      <c r="F349" s="170"/>
      <c r="G349" s="167"/>
      <c r="H349" s="180"/>
      <c r="I349" s="170"/>
      <c r="J349" s="170"/>
      <c r="K349" s="170"/>
      <c r="L349" s="179"/>
      <c r="M349" s="166"/>
      <c r="N349" s="179"/>
      <c r="O349" s="166"/>
      <c r="P349" s="170"/>
      <c r="Q349" s="170"/>
      <c r="R349" s="170"/>
      <c r="S349" s="170"/>
      <c r="T349" s="170"/>
      <c r="U349" s="179"/>
      <c r="V349" s="170"/>
      <c r="W349" s="170"/>
      <c r="X349" s="170"/>
      <c r="Y349" s="170"/>
      <c r="Z349" s="170"/>
      <c r="AA349" s="170"/>
      <c r="AB349" s="170"/>
      <c r="AC349" s="166"/>
      <c r="AD349" s="170"/>
      <c r="AE349" s="170"/>
      <c r="AF349" s="171"/>
      <c r="AG349" s="204"/>
      <c r="AH349" s="172"/>
      <c r="AN349" s="25"/>
      <c r="AO349" s="25"/>
      <c r="AR349" s="25"/>
      <c r="AS349" s="25"/>
      <c r="AT349" s="25"/>
    </row>
    <row r="350" spans="1:50" ht="11.25" hidden="1">
      <c r="A350" s="31"/>
      <c r="B350" s="165"/>
      <c r="C350" s="178"/>
      <c r="D350" s="170"/>
      <c r="E350" s="178"/>
      <c r="F350" s="170"/>
      <c r="G350" s="179"/>
      <c r="H350" s="180"/>
      <c r="I350" s="170"/>
      <c r="J350" s="170"/>
      <c r="K350" s="170"/>
      <c r="L350" s="179"/>
      <c r="M350" s="166"/>
      <c r="N350" s="179"/>
      <c r="O350" s="166"/>
      <c r="P350" s="170"/>
      <c r="Q350" s="170"/>
      <c r="R350" s="170"/>
      <c r="S350" s="170"/>
      <c r="T350" s="170"/>
      <c r="U350" s="179"/>
      <c r="V350" s="170"/>
      <c r="W350" s="170"/>
      <c r="X350" s="170"/>
      <c r="Y350" s="170"/>
      <c r="Z350" s="170"/>
      <c r="AA350" s="170"/>
      <c r="AB350" s="170"/>
      <c r="AC350" s="166"/>
      <c r="AD350" s="170"/>
      <c r="AE350" s="170"/>
      <c r="AF350" s="171"/>
      <c r="AG350" s="204"/>
      <c r="AH350" s="172"/>
      <c r="AN350" s="25"/>
      <c r="AO350" s="25"/>
      <c r="AR350" s="25"/>
      <c r="AS350" s="25"/>
      <c r="AT350" s="25"/>
    </row>
    <row r="351" spans="1:50">
      <c r="B351" s="33"/>
      <c r="C351" s="25"/>
      <c r="D351" s="34"/>
      <c r="E351" s="34"/>
      <c r="F351" s="34"/>
      <c r="G351" s="35"/>
      <c r="H351" s="35"/>
      <c r="I351" s="35"/>
      <c r="J351" s="25"/>
      <c r="K351" s="34"/>
      <c r="L351" s="35"/>
      <c r="M351" s="34"/>
      <c r="N351" s="34"/>
      <c r="O351" s="37"/>
      <c r="P351" s="35"/>
      <c r="Q351" s="36"/>
      <c r="R351" s="25"/>
      <c r="S351" s="25"/>
      <c r="T351" s="34"/>
      <c r="U351" s="25"/>
      <c r="V351" s="25"/>
      <c r="W351" s="25"/>
      <c r="X351" s="34"/>
      <c r="Y351" s="25"/>
      <c r="Z351" s="25"/>
      <c r="AA351" s="34"/>
      <c r="AG351" s="34"/>
      <c r="AH351" s="34"/>
      <c r="AI351" s="34"/>
      <c r="AJ351" s="34"/>
      <c r="AK351" s="34"/>
      <c r="AL351" s="34"/>
      <c r="AM351" s="34"/>
      <c r="AN351" s="34"/>
      <c r="AO351" s="37"/>
      <c r="AP351" s="37"/>
      <c r="AQ351" s="37"/>
      <c r="AR351" s="25"/>
      <c r="AS351" s="25"/>
      <c r="AT351" s="38"/>
      <c r="AU351" s="39"/>
      <c r="AV351" s="34"/>
      <c r="AW351" s="34"/>
      <c r="AX351" s="34"/>
    </row>
    <row r="352" spans="1:50">
      <c r="B352" s="33"/>
      <c r="C352" s="25"/>
      <c r="D352" s="34"/>
      <c r="E352" s="34"/>
      <c r="F352" s="34"/>
      <c r="G352" s="35"/>
      <c r="H352" s="35"/>
      <c r="I352" s="35"/>
      <c r="J352" s="25"/>
      <c r="K352" s="34"/>
      <c r="L352" s="35"/>
      <c r="M352" s="34"/>
      <c r="N352" s="34"/>
      <c r="O352" s="37"/>
      <c r="P352" s="35"/>
      <c r="Q352" s="36"/>
      <c r="R352" s="25"/>
      <c r="S352" s="25"/>
      <c r="T352" s="34"/>
      <c r="U352" s="25"/>
      <c r="V352" s="25"/>
      <c r="W352" s="25"/>
      <c r="X352" s="34"/>
      <c r="Y352" s="25"/>
      <c r="Z352" s="25"/>
      <c r="AA352" s="34"/>
      <c r="AG352" s="34"/>
      <c r="AH352" s="34"/>
      <c r="AI352" s="34"/>
      <c r="AJ352" s="34"/>
      <c r="AK352" s="34"/>
      <c r="AL352" s="34"/>
      <c r="AM352" s="34"/>
      <c r="AN352" s="34"/>
      <c r="AO352" s="37"/>
      <c r="AP352" s="37"/>
      <c r="AQ352" s="37"/>
      <c r="AR352" s="25"/>
      <c r="AS352" s="25"/>
      <c r="AT352" s="38"/>
      <c r="AU352" s="39"/>
      <c r="AV352" s="34"/>
      <c r="AW352" s="34"/>
      <c r="AX352" s="34"/>
    </row>
    <row r="353" spans="2:50">
      <c r="B353" s="33"/>
      <c r="C353" s="25"/>
      <c r="D353" s="34"/>
      <c r="E353" s="34"/>
      <c r="F353" s="34"/>
      <c r="G353" s="35"/>
      <c r="H353" s="35"/>
      <c r="I353" s="35"/>
      <c r="J353" s="25"/>
      <c r="K353" s="34"/>
      <c r="L353" s="35"/>
      <c r="M353" s="34"/>
      <c r="N353" s="34"/>
      <c r="O353" s="37"/>
      <c r="P353" s="35"/>
      <c r="Q353" s="36"/>
      <c r="R353" s="25"/>
      <c r="S353" s="25"/>
      <c r="T353" s="34"/>
      <c r="U353" s="25"/>
      <c r="V353" s="25"/>
      <c r="W353" s="25"/>
      <c r="X353" s="34"/>
      <c r="Y353" s="25"/>
      <c r="Z353" s="25"/>
      <c r="AA353" s="34"/>
      <c r="AG353" s="34"/>
      <c r="AH353" s="34"/>
      <c r="AI353" s="34"/>
      <c r="AJ353" s="34"/>
      <c r="AK353" s="34"/>
      <c r="AL353" s="34"/>
      <c r="AM353" s="34"/>
      <c r="AN353" s="34"/>
      <c r="AO353" s="37"/>
      <c r="AP353" s="37"/>
      <c r="AQ353" s="37"/>
      <c r="AR353" s="25"/>
      <c r="AS353" s="25"/>
      <c r="AT353" s="38"/>
      <c r="AU353" s="39"/>
      <c r="AV353" s="34"/>
      <c r="AW353" s="34"/>
      <c r="AX353" s="34"/>
    </row>
    <row r="354" spans="2:50">
      <c r="B354" s="33"/>
      <c r="C354" s="25"/>
      <c r="D354" s="34"/>
      <c r="E354" s="34"/>
      <c r="F354" s="34"/>
      <c r="G354" s="35"/>
      <c r="H354" s="35"/>
      <c r="I354" s="35"/>
      <c r="J354" s="25"/>
      <c r="K354" s="34"/>
      <c r="L354" s="35"/>
      <c r="M354" s="34"/>
      <c r="N354" s="34"/>
      <c r="O354" s="37"/>
      <c r="P354" s="35"/>
      <c r="Q354" s="36"/>
      <c r="R354" s="25"/>
      <c r="S354" s="25"/>
      <c r="T354" s="34"/>
      <c r="U354" s="25"/>
      <c r="V354" s="25"/>
      <c r="W354" s="25"/>
      <c r="X354" s="34"/>
      <c r="Y354" s="25"/>
      <c r="Z354" s="25"/>
      <c r="AA354" s="34"/>
      <c r="AG354" s="34"/>
      <c r="AH354" s="34"/>
      <c r="AI354" s="34"/>
      <c r="AJ354" s="34"/>
      <c r="AK354" s="34"/>
      <c r="AL354" s="34"/>
      <c r="AM354" s="34"/>
      <c r="AN354" s="34"/>
      <c r="AO354" s="37"/>
      <c r="AP354" s="37"/>
      <c r="AQ354" s="37"/>
      <c r="AR354" s="25"/>
      <c r="AS354" s="25"/>
      <c r="AT354" s="38"/>
      <c r="AU354" s="39"/>
      <c r="AV354" s="34"/>
      <c r="AW354" s="34"/>
      <c r="AX354" s="34"/>
    </row>
    <row r="355" spans="2:50">
      <c r="B355" s="33"/>
      <c r="C355" s="25"/>
      <c r="D355" s="34"/>
      <c r="E355" s="34"/>
      <c r="F355" s="34"/>
      <c r="G355" s="35"/>
      <c r="H355" s="35"/>
      <c r="I355" s="35"/>
      <c r="J355" s="25"/>
      <c r="K355" s="34"/>
      <c r="L355" s="35"/>
      <c r="M355" s="34"/>
      <c r="N355" s="34"/>
      <c r="O355" s="37"/>
      <c r="P355" s="35"/>
      <c r="Q355" s="36"/>
      <c r="R355" s="25"/>
      <c r="S355" s="25"/>
      <c r="T355" s="34"/>
      <c r="U355" s="25"/>
      <c r="V355" s="25"/>
      <c r="W355" s="25"/>
      <c r="X355" s="34"/>
      <c r="Y355" s="25"/>
      <c r="Z355" s="25"/>
      <c r="AA355" s="34"/>
      <c r="AG355" s="34"/>
      <c r="AH355" s="34"/>
      <c r="AI355" s="34"/>
      <c r="AJ355" s="34"/>
      <c r="AK355" s="34"/>
      <c r="AL355" s="34"/>
      <c r="AM355" s="34"/>
      <c r="AN355" s="34"/>
      <c r="AO355" s="37"/>
      <c r="AP355" s="37"/>
      <c r="AQ355" s="37"/>
      <c r="AR355" s="25"/>
      <c r="AS355" s="25"/>
      <c r="AT355" s="38"/>
      <c r="AU355" s="39"/>
      <c r="AV355" s="34"/>
      <c r="AW355" s="34"/>
      <c r="AX355" s="34"/>
    </row>
    <row r="356" spans="2:50">
      <c r="B356" s="33"/>
      <c r="C356" s="25"/>
      <c r="D356" s="34"/>
      <c r="E356" s="34"/>
      <c r="F356" s="34"/>
      <c r="G356" s="35"/>
      <c r="H356" s="35"/>
      <c r="I356" s="35"/>
      <c r="J356" s="25"/>
      <c r="K356" s="34"/>
      <c r="L356" s="35"/>
      <c r="M356" s="34"/>
      <c r="N356" s="34"/>
      <c r="O356" s="37"/>
      <c r="P356" s="35"/>
      <c r="Q356" s="36"/>
      <c r="R356" s="25"/>
      <c r="S356" s="25"/>
      <c r="T356" s="34"/>
      <c r="U356" s="25"/>
      <c r="V356" s="25"/>
      <c r="W356" s="25"/>
      <c r="X356" s="34"/>
      <c r="Y356" s="25"/>
      <c r="Z356" s="25"/>
      <c r="AA356" s="34"/>
      <c r="AG356" s="34"/>
      <c r="AH356" s="34"/>
      <c r="AI356" s="34"/>
      <c r="AJ356" s="34"/>
      <c r="AK356" s="34"/>
      <c r="AL356" s="34"/>
      <c r="AM356" s="34"/>
      <c r="AN356" s="34"/>
      <c r="AO356" s="37"/>
      <c r="AP356" s="37"/>
      <c r="AQ356" s="37"/>
      <c r="AR356" s="25"/>
      <c r="AS356" s="25"/>
      <c r="AT356" s="38"/>
      <c r="AU356" s="39"/>
      <c r="AV356" s="34"/>
      <c r="AW356" s="34"/>
      <c r="AX356" s="34"/>
    </row>
    <row r="357" spans="2:50">
      <c r="B357" s="33"/>
      <c r="C357" s="25"/>
      <c r="D357" s="34"/>
      <c r="E357" s="34"/>
      <c r="F357" s="34"/>
      <c r="G357" s="35"/>
      <c r="H357" s="35"/>
      <c r="I357" s="35"/>
      <c r="J357" s="25"/>
      <c r="K357" s="34"/>
      <c r="L357" s="35"/>
      <c r="M357" s="34"/>
      <c r="N357" s="34"/>
      <c r="O357" s="37"/>
      <c r="P357" s="35"/>
      <c r="Q357" s="36"/>
      <c r="R357" s="25"/>
      <c r="S357" s="25"/>
      <c r="T357" s="34"/>
      <c r="U357" s="25"/>
      <c r="V357" s="25"/>
      <c r="W357" s="25"/>
      <c r="X357" s="34"/>
      <c r="Y357" s="25"/>
      <c r="Z357" s="25"/>
      <c r="AA357" s="34"/>
      <c r="AG357" s="34"/>
      <c r="AH357" s="34"/>
      <c r="AI357" s="34"/>
      <c r="AJ357" s="34"/>
      <c r="AK357" s="34"/>
      <c r="AL357" s="34"/>
      <c r="AM357" s="34"/>
      <c r="AN357" s="34"/>
      <c r="AO357" s="37"/>
      <c r="AP357" s="37"/>
      <c r="AQ357" s="37"/>
      <c r="AR357" s="25"/>
      <c r="AS357" s="25"/>
      <c r="AT357" s="38"/>
      <c r="AU357" s="39"/>
      <c r="AV357" s="34"/>
      <c r="AW357" s="34"/>
      <c r="AX357" s="34"/>
    </row>
    <row r="358" spans="2:50">
      <c r="B358" s="33"/>
      <c r="C358" s="25"/>
      <c r="D358" s="34"/>
      <c r="E358" s="34"/>
      <c r="F358" s="34"/>
      <c r="G358" s="35"/>
      <c r="H358" s="35"/>
      <c r="I358" s="35"/>
      <c r="J358" s="25"/>
      <c r="K358" s="34"/>
      <c r="L358" s="35"/>
      <c r="M358" s="34"/>
      <c r="N358" s="34"/>
      <c r="O358" s="37"/>
      <c r="P358" s="35"/>
      <c r="Q358" s="36"/>
      <c r="R358" s="25"/>
      <c r="S358" s="25"/>
      <c r="T358" s="34"/>
      <c r="U358" s="25"/>
      <c r="V358" s="25"/>
      <c r="W358" s="25"/>
      <c r="X358" s="34"/>
      <c r="Y358" s="25"/>
      <c r="Z358" s="25"/>
      <c r="AA358" s="34"/>
      <c r="AG358" s="34"/>
      <c r="AH358" s="34"/>
      <c r="AI358" s="34"/>
      <c r="AJ358" s="34"/>
      <c r="AK358" s="34"/>
      <c r="AL358" s="34"/>
      <c r="AM358" s="34"/>
      <c r="AN358" s="34"/>
      <c r="AO358" s="37"/>
      <c r="AP358" s="37"/>
      <c r="AQ358" s="37"/>
      <c r="AR358" s="25"/>
      <c r="AS358" s="25"/>
      <c r="AT358" s="38"/>
      <c r="AU358" s="39"/>
      <c r="AV358" s="34"/>
      <c r="AW358" s="34"/>
      <c r="AX358" s="34"/>
    </row>
    <row r="359" spans="2:50">
      <c r="B359" s="33"/>
      <c r="C359" s="25"/>
      <c r="D359" s="34"/>
      <c r="E359" s="34"/>
      <c r="F359" s="34"/>
      <c r="G359" s="35"/>
      <c r="H359" s="35"/>
      <c r="I359" s="35"/>
      <c r="J359" s="25"/>
      <c r="K359" s="34"/>
      <c r="L359" s="35"/>
      <c r="M359" s="34"/>
      <c r="N359" s="34"/>
      <c r="O359" s="37"/>
      <c r="P359" s="35"/>
      <c r="Q359" s="36"/>
      <c r="R359" s="25"/>
      <c r="S359" s="25"/>
      <c r="T359" s="34"/>
      <c r="U359" s="25"/>
      <c r="V359" s="25"/>
      <c r="W359" s="25"/>
      <c r="X359" s="34"/>
      <c r="Y359" s="25"/>
      <c r="Z359" s="25"/>
      <c r="AA359" s="34"/>
      <c r="AG359" s="34"/>
      <c r="AH359" s="34"/>
      <c r="AI359" s="34"/>
      <c r="AJ359" s="34"/>
      <c r="AK359" s="34"/>
      <c r="AL359" s="34"/>
      <c r="AM359" s="34"/>
      <c r="AN359" s="34"/>
      <c r="AO359" s="37"/>
      <c r="AP359" s="37"/>
      <c r="AQ359" s="37"/>
      <c r="AR359" s="25"/>
      <c r="AS359" s="25"/>
      <c r="AT359" s="38"/>
      <c r="AU359" s="39"/>
      <c r="AV359" s="34"/>
      <c r="AW359" s="34"/>
      <c r="AX359" s="34"/>
    </row>
    <row r="360" spans="2:50">
      <c r="B360" s="33"/>
      <c r="C360" s="25"/>
      <c r="D360" s="34"/>
      <c r="E360" s="34"/>
      <c r="F360" s="34"/>
      <c r="G360" s="35"/>
      <c r="H360" s="35"/>
      <c r="I360" s="35"/>
      <c r="J360" s="25"/>
      <c r="K360" s="34"/>
      <c r="L360" s="35"/>
      <c r="M360" s="34"/>
      <c r="N360" s="34"/>
      <c r="O360" s="37"/>
      <c r="P360" s="35"/>
      <c r="Q360" s="36"/>
      <c r="R360" s="25"/>
      <c r="S360" s="25"/>
      <c r="T360" s="34"/>
      <c r="U360" s="25"/>
      <c r="V360" s="25"/>
      <c r="W360" s="25"/>
      <c r="X360" s="34"/>
      <c r="Y360" s="25"/>
      <c r="Z360" s="25"/>
      <c r="AA360" s="34"/>
      <c r="AG360" s="34"/>
      <c r="AH360" s="34"/>
      <c r="AI360" s="34"/>
      <c r="AJ360" s="34"/>
      <c r="AK360" s="34"/>
      <c r="AL360" s="34"/>
      <c r="AM360" s="34"/>
      <c r="AN360" s="34"/>
      <c r="AO360" s="37"/>
      <c r="AP360" s="37"/>
      <c r="AQ360" s="37"/>
      <c r="AR360" s="25"/>
      <c r="AS360" s="25"/>
      <c r="AT360" s="38"/>
      <c r="AU360" s="39"/>
      <c r="AV360" s="34"/>
      <c r="AW360" s="34"/>
      <c r="AX360" s="34"/>
    </row>
    <row r="361" spans="2:50">
      <c r="B361" s="33"/>
      <c r="C361" s="25"/>
      <c r="D361" s="34"/>
      <c r="E361" s="34"/>
      <c r="F361" s="34"/>
      <c r="G361" s="35"/>
      <c r="H361" s="35"/>
      <c r="I361" s="35"/>
      <c r="J361" s="25"/>
      <c r="K361" s="34"/>
      <c r="L361" s="35"/>
      <c r="M361" s="34"/>
      <c r="N361" s="154"/>
      <c r="O361" s="37"/>
      <c r="P361" s="35"/>
      <c r="Q361" s="36"/>
      <c r="R361" s="25"/>
      <c r="S361" s="25"/>
      <c r="T361" s="34"/>
      <c r="U361" s="25"/>
      <c r="V361" s="25"/>
      <c r="W361" s="25"/>
      <c r="X361" s="34"/>
      <c r="Y361" s="25"/>
      <c r="Z361" s="25"/>
      <c r="AA361" s="34"/>
      <c r="AG361" s="34"/>
      <c r="AH361" s="34"/>
      <c r="AI361" s="34"/>
      <c r="AJ361" s="34"/>
      <c r="AK361" s="34"/>
      <c r="AL361" s="34"/>
      <c r="AM361" s="34"/>
      <c r="AN361" s="34"/>
      <c r="AO361" s="37"/>
      <c r="AP361" s="37"/>
      <c r="AQ361" s="37"/>
      <c r="AR361" s="25"/>
      <c r="AS361" s="25"/>
      <c r="AT361" s="38"/>
      <c r="AU361" s="39"/>
      <c r="AV361" s="34"/>
      <c r="AW361" s="34"/>
      <c r="AX361" s="34"/>
    </row>
    <row r="362" spans="2:50">
      <c r="B362" s="33"/>
      <c r="C362" s="25"/>
      <c r="D362" s="34"/>
      <c r="E362" s="34"/>
      <c r="F362" s="34"/>
      <c r="G362" s="35"/>
      <c r="H362" s="35"/>
      <c r="I362" s="35"/>
      <c r="J362" s="25"/>
      <c r="K362" s="34"/>
      <c r="L362" s="35"/>
      <c r="M362" s="34"/>
      <c r="N362" s="34"/>
      <c r="O362" s="37"/>
      <c r="P362" s="35"/>
      <c r="Q362" s="36"/>
      <c r="R362" s="25"/>
      <c r="S362" s="25"/>
      <c r="T362" s="34"/>
      <c r="U362" s="25"/>
      <c r="V362" s="25"/>
      <c r="W362" s="25"/>
      <c r="X362" s="34"/>
      <c r="Y362" s="25"/>
      <c r="Z362" s="25"/>
      <c r="AA362" s="34"/>
      <c r="AG362" s="34"/>
      <c r="AH362" s="34"/>
      <c r="AI362" s="34"/>
      <c r="AJ362" s="34"/>
      <c r="AK362" s="34"/>
      <c r="AL362" s="34"/>
      <c r="AM362" s="34"/>
      <c r="AN362" s="34"/>
      <c r="AO362" s="37"/>
      <c r="AP362" s="37"/>
      <c r="AQ362" s="37"/>
      <c r="AR362" s="25"/>
      <c r="AS362" s="25"/>
      <c r="AT362" s="38"/>
      <c r="AU362" s="39"/>
      <c r="AV362" s="34"/>
      <c r="AW362" s="34"/>
      <c r="AX362" s="34"/>
    </row>
    <row r="363" spans="2:50">
      <c r="B363" s="33"/>
      <c r="C363" s="25"/>
      <c r="D363" s="34"/>
      <c r="E363" s="34"/>
      <c r="F363" s="34"/>
      <c r="G363" s="35"/>
      <c r="H363" s="35"/>
      <c r="I363" s="35"/>
      <c r="J363" s="25"/>
      <c r="K363" s="34"/>
      <c r="L363" s="35"/>
      <c r="M363" s="34"/>
      <c r="N363" s="34"/>
      <c r="O363" s="37"/>
      <c r="P363" s="35"/>
      <c r="Q363" s="36"/>
      <c r="R363" s="25"/>
      <c r="S363" s="25"/>
      <c r="T363" s="34"/>
      <c r="U363" s="25"/>
      <c r="V363" s="25"/>
      <c r="W363" s="25"/>
      <c r="X363" s="34"/>
      <c r="Y363" s="25"/>
      <c r="Z363" s="25"/>
      <c r="AA363" s="34"/>
      <c r="AG363" s="34"/>
      <c r="AH363" s="34"/>
      <c r="AI363" s="34"/>
      <c r="AJ363" s="34"/>
      <c r="AK363" s="34"/>
      <c r="AL363" s="34"/>
      <c r="AM363" s="34"/>
      <c r="AN363" s="34"/>
      <c r="AO363" s="37"/>
      <c r="AP363" s="37"/>
      <c r="AQ363" s="37"/>
      <c r="AR363" s="25"/>
      <c r="AS363" s="25"/>
      <c r="AT363" s="38"/>
      <c r="AU363" s="39"/>
      <c r="AV363" s="34"/>
      <c r="AW363" s="34"/>
      <c r="AX363" s="34"/>
    </row>
    <row r="364" spans="2:50">
      <c r="B364" s="33"/>
      <c r="C364" s="25"/>
      <c r="D364" s="34"/>
      <c r="E364" s="34"/>
      <c r="F364" s="34"/>
      <c r="G364" s="35"/>
      <c r="H364" s="35"/>
      <c r="I364" s="35"/>
      <c r="J364" s="25"/>
      <c r="K364" s="34"/>
      <c r="L364" s="35"/>
      <c r="M364" s="34"/>
      <c r="N364" s="34"/>
      <c r="O364" s="37"/>
      <c r="P364" s="35"/>
      <c r="Q364" s="36"/>
      <c r="R364" s="25"/>
      <c r="S364" s="25"/>
      <c r="T364" s="34"/>
      <c r="U364" s="25"/>
      <c r="V364" s="25"/>
      <c r="W364" s="25"/>
      <c r="X364" s="34"/>
      <c r="Y364" s="25"/>
      <c r="Z364" s="25"/>
      <c r="AA364" s="34"/>
      <c r="AG364" s="34"/>
      <c r="AH364" s="34"/>
      <c r="AI364" s="34"/>
      <c r="AJ364" s="34"/>
      <c r="AK364" s="34"/>
      <c r="AL364" s="34"/>
      <c r="AM364" s="34"/>
      <c r="AN364" s="34"/>
      <c r="AO364" s="37"/>
      <c r="AP364" s="37"/>
      <c r="AQ364" s="37"/>
      <c r="AR364" s="25"/>
      <c r="AS364" s="25"/>
      <c r="AT364" s="38"/>
      <c r="AU364" s="39"/>
      <c r="AV364" s="34"/>
      <c r="AW364" s="34"/>
      <c r="AX364" s="34"/>
    </row>
    <row r="365" spans="2:50">
      <c r="B365" s="33"/>
      <c r="C365" s="25"/>
      <c r="D365" s="34"/>
      <c r="E365" s="34"/>
      <c r="F365" s="34"/>
      <c r="G365" s="35"/>
      <c r="H365" s="35"/>
      <c r="I365" s="35"/>
      <c r="J365" s="25"/>
      <c r="K365" s="34"/>
      <c r="L365" s="35"/>
      <c r="M365" s="34"/>
      <c r="N365" s="34"/>
      <c r="O365" s="37"/>
      <c r="P365" s="35"/>
      <c r="Q365" s="36"/>
      <c r="R365" s="25"/>
      <c r="S365" s="25"/>
      <c r="T365" s="34"/>
      <c r="U365" s="25"/>
      <c r="V365" s="25"/>
      <c r="W365" s="25"/>
      <c r="X365" s="34"/>
      <c r="Y365" s="25"/>
      <c r="Z365" s="25"/>
      <c r="AA365" s="34"/>
      <c r="AG365" s="34"/>
      <c r="AH365" s="34"/>
      <c r="AI365" s="34"/>
      <c r="AJ365" s="34"/>
      <c r="AK365" s="34"/>
      <c r="AL365" s="34"/>
      <c r="AM365" s="34"/>
      <c r="AN365" s="34"/>
      <c r="AO365" s="37"/>
      <c r="AP365" s="37"/>
      <c r="AQ365" s="37"/>
      <c r="AR365" s="25"/>
      <c r="AS365" s="25"/>
      <c r="AT365" s="38"/>
      <c r="AU365" s="39"/>
      <c r="AV365" s="34"/>
      <c r="AW365" s="34"/>
      <c r="AX365" s="34"/>
    </row>
    <row r="366" spans="2:50">
      <c r="B366" s="33"/>
      <c r="C366" s="25"/>
      <c r="D366" s="34"/>
      <c r="E366" s="34"/>
      <c r="F366" s="34"/>
      <c r="G366" s="35"/>
      <c r="H366" s="35"/>
      <c r="I366" s="35"/>
      <c r="J366" s="25"/>
      <c r="K366" s="34"/>
      <c r="L366" s="35"/>
      <c r="M366" s="34"/>
      <c r="N366" s="34"/>
      <c r="O366" s="37"/>
      <c r="P366" s="35"/>
      <c r="Q366" s="36"/>
      <c r="R366" s="25"/>
      <c r="S366" s="25"/>
      <c r="T366" s="34"/>
      <c r="U366" s="25"/>
      <c r="V366" s="25"/>
      <c r="W366" s="25"/>
      <c r="X366" s="34"/>
      <c r="Y366" s="25"/>
      <c r="Z366" s="25"/>
      <c r="AA366" s="34"/>
      <c r="AG366" s="34"/>
      <c r="AH366" s="34"/>
      <c r="AI366" s="34"/>
      <c r="AJ366" s="34"/>
      <c r="AK366" s="34"/>
      <c r="AL366" s="34"/>
      <c r="AM366" s="34"/>
      <c r="AN366" s="34"/>
      <c r="AO366" s="37"/>
      <c r="AP366" s="37"/>
      <c r="AQ366" s="37"/>
      <c r="AR366" s="25"/>
      <c r="AS366" s="25"/>
      <c r="AT366" s="38"/>
      <c r="AU366" s="39"/>
      <c r="AV366" s="34"/>
      <c r="AW366" s="34"/>
      <c r="AX366" s="34"/>
    </row>
    <row r="367" spans="2:50">
      <c r="B367" s="33"/>
      <c r="C367" s="25"/>
      <c r="D367" s="34"/>
      <c r="E367" s="34"/>
      <c r="F367" s="34"/>
      <c r="G367" s="35"/>
      <c r="H367" s="35"/>
      <c r="I367" s="35"/>
      <c r="J367" s="25"/>
      <c r="K367" s="34"/>
      <c r="L367" s="35"/>
      <c r="M367" s="34"/>
      <c r="N367" s="34"/>
      <c r="O367" s="37"/>
      <c r="P367" s="35"/>
      <c r="Q367" s="36"/>
      <c r="R367" s="25"/>
      <c r="S367" s="25"/>
      <c r="T367" s="34"/>
      <c r="U367" s="25"/>
      <c r="V367" s="25"/>
      <c r="W367" s="25"/>
      <c r="X367" s="34"/>
      <c r="Y367" s="25"/>
      <c r="Z367" s="25"/>
      <c r="AA367" s="34"/>
      <c r="AG367" s="34"/>
      <c r="AH367" s="34"/>
      <c r="AI367" s="34"/>
      <c r="AJ367" s="34"/>
      <c r="AK367" s="34"/>
      <c r="AL367" s="34"/>
      <c r="AM367" s="34"/>
      <c r="AN367" s="34"/>
      <c r="AO367" s="37"/>
      <c r="AP367" s="37"/>
      <c r="AQ367" s="37"/>
      <c r="AR367" s="25"/>
      <c r="AS367" s="25"/>
      <c r="AT367" s="38"/>
      <c r="AU367" s="39"/>
      <c r="AV367" s="34"/>
      <c r="AW367" s="34"/>
      <c r="AX367" s="34"/>
    </row>
    <row r="368" spans="2:50">
      <c r="B368" s="33"/>
      <c r="C368" s="25"/>
      <c r="D368" s="34"/>
      <c r="E368" s="34"/>
      <c r="F368" s="34"/>
      <c r="G368" s="35"/>
      <c r="H368" s="35"/>
      <c r="I368" s="35"/>
      <c r="J368" s="25"/>
      <c r="K368" s="34"/>
      <c r="L368" s="35"/>
      <c r="M368" s="34"/>
      <c r="N368" s="34"/>
      <c r="O368" s="37"/>
      <c r="P368" s="35"/>
      <c r="Q368" s="36"/>
      <c r="R368" s="25"/>
      <c r="S368" s="25"/>
      <c r="T368" s="34"/>
      <c r="U368" s="25"/>
      <c r="V368" s="25"/>
      <c r="W368" s="25"/>
      <c r="X368" s="34"/>
      <c r="Y368" s="25"/>
      <c r="Z368" s="25"/>
      <c r="AA368" s="34"/>
      <c r="AG368" s="34"/>
      <c r="AH368" s="34"/>
      <c r="AI368" s="34"/>
      <c r="AJ368" s="34"/>
      <c r="AK368" s="34"/>
      <c r="AL368" s="34"/>
      <c r="AM368" s="34"/>
      <c r="AN368" s="34"/>
      <c r="AO368" s="37"/>
      <c r="AP368" s="37"/>
      <c r="AQ368" s="37"/>
      <c r="AR368" s="25"/>
      <c r="AS368" s="25"/>
      <c r="AT368" s="38"/>
      <c r="AU368" s="39"/>
      <c r="AV368" s="34"/>
      <c r="AW368" s="34"/>
      <c r="AX368" s="34"/>
    </row>
    <row r="369" spans="2:50">
      <c r="B369" s="33"/>
      <c r="C369" s="25"/>
      <c r="D369" s="34"/>
      <c r="E369" s="34"/>
      <c r="F369" s="34"/>
      <c r="G369" s="35"/>
      <c r="H369" s="35"/>
      <c r="I369" s="35"/>
      <c r="J369" s="25"/>
      <c r="K369" s="34"/>
      <c r="L369" s="35"/>
      <c r="M369" s="34"/>
      <c r="N369" s="34"/>
      <c r="O369" s="37"/>
      <c r="P369" s="35"/>
      <c r="Q369" s="36"/>
      <c r="R369" s="25"/>
      <c r="S369" s="25"/>
      <c r="T369" s="34"/>
      <c r="U369" s="25"/>
      <c r="V369" s="25"/>
      <c r="W369" s="25"/>
      <c r="X369" s="34"/>
      <c r="Y369" s="25"/>
      <c r="Z369" s="25"/>
      <c r="AA369" s="34"/>
      <c r="AG369" s="34"/>
      <c r="AH369" s="34"/>
      <c r="AI369" s="34"/>
      <c r="AJ369" s="34"/>
      <c r="AK369" s="34"/>
      <c r="AL369" s="34"/>
      <c r="AM369" s="34"/>
      <c r="AN369" s="34"/>
      <c r="AO369" s="37"/>
      <c r="AP369" s="37"/>
      <c r="AQ369" s="37"/>
      <c r="AR369" s="25"/>
      <c r="AS369" s="25"/>
      <c r="AT369" s="38"/>
      <c r="AU369" s="39"/>
      <c r="AV369" s="34"/>
      <c r="AW369" s="34"/>
      <c r="AX369" s="34"/>
    </row>
    <row r="370" spans="2:50">
      <c r="B370" s="33"/>
      <c r="C370" s="25"/>
      <c r="D370" s="34"/>
      <c r="E370" s="34"/>
      <c r="F370" s="34"/>
      <c r="G370" s="35"/>
      <c r="H370" s="35"/>
      <c r="I370" s="35"/>
      <c r="J370" s="25"/>
      <c r="K370" s="34"/>
      <c r="L370" s="35"/>
      <c r="M370" s="34"/>
      <c r="N370" s="34"/>
      <c r="O370" s="37"/>
      <c r="P370" s="35"/>
      <c r="Q370" s="36"/>
      <c r="R370" s="25"/>
      <c r="S370" s="25"/>
      <c r="T370" s="34"/>
      <c r="U370" s="25"/>
      <c r="V370" s="25"/>
      <c r="W370" s="25"/>
      <c r="X370" s="34"/>
      <c r="Y370" s="25"/>
      <c r="Z370" s="25"/>
      <c r="AA370" s="34"/>
      <c r="AG370" s="34"/>
      <c r="AH370" s="34"/>
      <c r="AI370" s="34"/>
      <c r="AJ370" s="34"/>
      <c r="AK370" s="34"/>
      <c r="AL370" s="34"/>
      <c r="AM370" s="34"/>
      <c r="AN370" s="34"/>
      <c r="AO370" s="37"/>
      <c r="AP370" s="37"/>
      <c r="AQ370" s="37"/>
      <c r="AR370" s="25"/>
      <c r="AS370" s="25"/>
      <c r="AT370" s="38"/>
      <c r="AU370" s="39"/>
      <c r="AV370" s="34"/>
      <c r="AW370" s="34"/>
      <c r="AX370" s="34"/>
    </row>
    <row r="371" spans="2:50">
      <c r="B371" s="33"/>
      <c r="C371" s="25"/>
      <c r="D371" s="34"/>
      <c r="E371" s="34"/>
      <c r="F371" s="34"/>
      <c r="G371" s="35"/>
      <c r="H371" s="35"/>
      <c r="I371" s="35"/>
      <c r="J371" s="25"/>
      <c r="K371" s="34"/>
      <c r="L371" s="35"/>
      <c r="M371" s="34"/>
      <c r="N371" s="34"/>
      <c r="O371" s="37"/>
      <c r="P371" s="35"/>
      <c r="Q371" s="36"/>
      <c r="R371" s="25"/>
      <c r="S371" s="25"/>
      <c r="T371" s="34"/>
      <c r="U371" s="25"/>
      <c r="V371" s="25"/>
      <c r="W371" s="25"/>
      <c r="X371" s="34"/>
      <c r="Y371" s="25"/>
      <c r="Z371" s="25"/>
      <c r="AA371" s="34"/>
      <c r="AG371" s="34"/>
      <c r="AH371" s="34"/>
      <c r="AI371" s="34"/>
      <c r="AJ371" s="34"/>
      <c r="AK371" s="34"/>
      <c r="AL371" s="34"/>
      <c r="AM371" s="34"/>
      <c r="AN371" s="34"/>
      <c r="AO371" s="37"/>
      <c r="AP371" s="37"/>
      <c r="AQ371" s="37"/>
      <c r="AR371" s="25"/>
      <c r="AS371" s="25"/>
      <c r="AT371" s="38"/>
      <c r="AU371" s="39"/>
      <c r="AV371" s="34"/>
      <c r="AW371" s="34"/>
      <c r="AX371" s="34"/>
    </row>
    <row r="372" spans="2:50">
      <c r="B372" s="33"/>
      <c r="C372" s="25"/>
      <c r="D372" s="34"/>
      <c r="E372" s="34"/>
      <c r="F372" s="34"/>
      <c r="G372" s="35"/>
      <c r="H372" s="35"/>
      <c r="I372" s="35"/>
      <c r="J372" s="25"/>
      <c r="K372" s="34"/>
      <c r="L372" s="35"/>
      <c r="M372" s="34"/>
      <c r="N372" s="34"/>
      <c r="O372" s="37"/>
      <c r="P372" s="35"/>
      <c r="Q372" s="36"/>
      <c r="R372" s="25"/>
      <c r="S372" s="25"/>
      <c r="T372" s="34"/>
      <c r="U372" s="25"/>
      <c r="V372" s="25"/>
      <c r="W372" s="25"/>
      <c r="X372" s="34"/>
      <c r="Y372" s="25"/>
      <c r="Z372" s="25"/>
      <c r="AA372" s="34"/>
      <c r="AG372" s="34"/>
      <c r="AH372" s="34"/>
      <c r="AI372" s="34"/>
      <c r="AJ372" s="34"/>
      <c r="AK372" s="34"/>
      <c r="AL372" s="34"/>
      <c r="AM372" s="34"/>
      <c r="AN372" s="34"/>
      <c r="AO372" s="37"/>
      <c r="AP372" s="37"/>
      <c r="AQ372" s="37"/>
      <c r="AR372" s="25"/>
      <c r="AS372" s="25"/>
      <c r="AT372" s="38"/>
      <c r="AU372" s="39"/>
      <c r="AV372" s="34"/>
      <c r="AW372" s="34"/>
      <c r="AX372" s="34"/>
    </row>
    <row r="373" spans="2:50">
      <c r="B373" s="33"/>
      <c r="C373" s="25"/>
      <c r="D373" s="34"/>
      <c r="E373" s="34"/>
      <c r="F373" s="34"/>
      <c r="G373" s="35"/>
      <c r="H373" s="35"/>
      <c r="I373" s="35"/>
      <c r="J373" s="25"/>
      <c r="K373" s="34"/>
      <c r="L373" s="35"/>
      <c r="M373" s="34"/>
      <c r="N373" s="34"/>
      <c r="O373" s="37"/>
      <c r="P373" s="35"/>
      <c r="Q373" s="36"/>
      <c r="R373" s="25"/>
      <c r="S373" s="25"/>
      <c r="T373" s="34"/>
      <c r="U373" s="25"/>
      <c r="V373" s="25"/>
      <c r="W373" s="25"/>
      <c r="X373" s="34"/>
      <c r="Y373" s="25"/>
      <c r="Z373" s="25"/>
      <c r="AA373" s="34"/>
      <c r="AG373" s="34"/>
      <c r="AH373" s="34"/>
      <c r="AI373" s="34"/>
      <c r="AJ373" s="34"/>
      <c r="AK373" s="34"/>
      <c r="AL373" s="34"/>
      <c r="AM373" s="34"/>
      <c r="AN373" s="34"/>
      <c r="AO373" s="37"/>
      <c r="AP373" s="37"/>
      <c r="AQ373" s="37"/>
      <c r="AR373" s="25"/>
      <c r="AS373" s="25"/>
      <c r="AT373" s="38"/>
      <c r="AU373" s="39"/>
      <c r="AV373" s="34"/>
      <c r="AW373" s="34"/>
      <c r="AX373" s="34"/>
    </row>
    <row r="374" spans="2:50">
      <c r="B374" s="33"/>
      <c r="C374" s="25"/>
      <c r="D374" s="34"/>
      <c r="E374" s="34"/>
      <c r="F374" s="34"/>
      <c r="G374" s="35"/>
      <c r="H374" s="35"/>
      <c r="I374" s="35"/>
      <c r="J374" s="25"/>
      <c r="K374" s="34"/>
      <c r="L374" s="35"/>
      <c r="M374" s="34"/>
      <c r="N374" s="34"/>
      <c r="O374" s="37"/>
      <c r="P374" s="35"/>
      <c r="Q374" s="36"/>
      <c r="R374" s="25"/>
      <c r="S374" s="25"/>
      <c r="T374" s="34"/>
      <c r="U374" s="25"/>
      <c r="V374" s="25"/>
      <c r="W374" s="25"/>
      <c r="X374" s="34"/>
      <c r="Y374" s="25"/>
      <c r="Z374" s="25"/>
      <c r="AA374" s="34"/>
      <c r="AG374" s="34"/>
      <c r="AH374" s="34"/>
      <c r="AI374" s="34"/>
      <c r="AJ374" s="34"/>
      <c r="AK374" s="34"/>
      <c r="AL374" s="34"/>
      <c r="AM374" s="34"/>
      <c r="AN374" s="34"/>
      <c r="AO374" s="37"/>
      <c r="AP374" s="37"/>
      <c r="AQ374" s="37"/>
      <c r="AR374" s="25"/>
      <c r="AS374" s="25"/>
      <c r="AT374" s="38"/>
      <c r="AU374" s="39"/>
      <c r="AV374" s="34"/>
      <c r="AW374" s="34"/>
      <c r="AX374" s="34"/>
    </row>
    <row r="375" spans="2:50">
      <c r="B375" s="33"/>
      <c r="C375" s="25"/>
      <c r="D375" s="34"/>
      <c r="E375" s="34"/>
      <c r="F375" s="34"/>
      <c r="G375" s="35"/>
      <c r="H375" s="35"/>
      <c r="I375" s="35"/>
      <c r="J375" s="25"/>
      <c r="K375" s="34"/>
      <c r="L375" s="35"/>
      <c r="M375" s="34"/>
      <c r="N375" s="34"/>
      <c r="O375" s="37"/>
      <c r="P375" s="35"/>
      <c r="Q375" s="36"/>
      <c r="R375" s="25"/>
      <c r="S375" s="25"/>
      <c r="T375" s="34"/>
      <c r="U375" s="25"/>
      <c r="V375" s="25"/>
      <c r="W375" s="25"/>
      <c r="X375" s="34"/>
      <c r="Y375" s="25"/>
      <c r="Z375" s="25"/>
      <c r="AA375" s="34"/>
      <c r="AG375" s="34"/>
      <c r="AH375" s="34"/>
      <c r="AI375" s="34"/>
      <c r="AJ375" s="34"/>
      <c r="AK375" s="34"/>
      <c r="AL375" s="34"/>
      <c r="AM375" s="34"/>
      <c r="AN375" s="34"/>
      <c r="AO375" s="37"/>
      <c r="AP375" s="37"/>
      <c r="AQ375" s="37"/>
      <c r="AR375" s="25"/>
      <c r="AS375" s="25"/>
      <c r="AT375" s="38"/>
      <c r="AU375" s="39"/>
      <c r="AV375" s="34"/>
      <c r="AW375" s="34"/>
      <c r="AX375" s="34"/>
    </row>
    <row r="376" spans="2:50">
      <c r="B376" s="33"/>
      <c r="C376" s="25"/>
      <c r="D376" s="34"/>
      <c r="E376" s="34"/>
      <c r="F376" s="34"/>
      <c r="G376" s="35"/>
      <c r="H376" s="35"/>
      <c r="I376" s="35"/>
      <c r="J376" s="25"/>
      <c r="K376" s="34"/>
      <c r="L376" s="35"/>
      <c r="M376" s="34"/>
      <c r="N376" s="34"/>
      <c r="O376" s="37"/>
      <c r="P376" s="35"/>
      <c r="Q376" s="36"/>
      <c r="R376" s="25"/>
      <c r="S376" s="25"/>
      <c r="T376" s="34"/>
      <c r="U376" s="25"/>
      <c r="V376" s="25"/>
      <c r="W376" s="25"/>
      <c r="X376" s="34"/>
      <c r="Y376" s="25"/>
      <c r="Z376" s="25"/>
      <c r="AA376" s="34"/>
      <c r="AG376" s="34"/>
      <c r="AH376" s="34"/>
      <c r="AI376" s="34"/>
      <c r="AJ376" s="34"/>
      <c r="AK376" s="34"/>
      <c r="AL376" s="34"/>
      <c r="AM376" s="34"/>
      <c r="AN376" s="34"/>
      <c r="AO376" s="37"/>
      <c r="AP376" s="37"/>
      <c r="AQ376" s="37"/>
      <c r="AR376" s="25"/>
      <c r="AS376" s="25"/>
      <c r="AT376" s="38"/>
      <c r="AU376" s="39"/>
      <c r="AV376" s="34"/>
      <c r="AW376" s="34"/>
      <c r="AX376" s="34"/>
    </row>
    <row r="377" spans="2:50">
      <c r="B377" s="33"/>
      <c r="C377" s="25"/>
      <c r="D377" s="34"/>
      <c r="E377" s="34"/>
      <c r="F377" s="34"/>
      <c r="G377" s="35"/>
      <c r="H377" s="35"/>
      <c r="I377" s="35"/>
      <c r="J377" s="25"/>
      <c r="K377" s="34"/>
      <c r="L377" s="35"/>
      <c r="M377" s="34"/>
      <c r="N377" s="34"/>
      <c r="O377" s="37"/>
      <c r="P377" s="35"/>
      <c r="Q377" s="36"/>
      <c r="R377" s="25"/>
      <c r="S377" s="25"/>
      <c r="T377" s="34"/>
      <c r="U377" s="25"/>
      <c r="V377" s="25"/>
      <c r="W377" s="25"/>
      <c r="X377" s="34"/>
      <c r="Y377" s="25"/>
      <c r="Z377" s="25"/>
      <c r="AA377" s="34"/>
      <c r="AG377" s="34"/>
      <c r="AH377" s="34"/>
      <c r="AI377" s="34"/>
      <c r="AJ377" s="34"/>
      <c r="AK377" s="34"/>
      <c r="AL377" s="34"/>
      <c r="AM377" s="34"/>
      <c r="AN377" s="34"/>
      <c r="AO377" s="37"/>
      <c r="AP377" s="37"/>
      <c r="AQ377" s="37"/>
      <c r="AR377" s="25"/>
      <c r="AS377" s="25"/>
      <c r="AT377" s="38"/>
      <c r="AU377" s="39"/>
      <c r="AV377" s="34"/>
      <c r="AW377" s="34"/>
      <c r="AX377" s="34"/>
    </row>
    <row r="378" spans="2:50">
      <c r="B378" s="33"/>
      <c r="C378" s="25"/>
      <c r="D378" s="34"/>
      <c r="E378" s="34"/>
      <c r="F378" s="34"/>
      <c r="G378" s="35"/>
      <c r="H378" s="35"/>
      <c r="I378" s="35"/>
      <c r="J378" s="25"/>
      <c r="K378" s="34"/>
      <c r="L378" s="35"/>
      <c r="M378" s="34"/>
      <c r="N378" s="34"/>
      <c r="O378" s="37"/>
      <c r="P378" s="35"/>
      <c r="Q378" s="36"/>
      <c r="R378" s="25"/>
      <c r="S378" s="25"/>
      <c r="T378" s="34"/>
      <c r="U378" s="25"/>
      <c r="V378" s="25"/>
      <c r="W378" s="25"/>
      <c r="X378" s="34"/>
      <c r="Y378" s="25"/>
      <c r="Z378" s="25"/>
      <c r="AA378" s="34"/>
      <c r="AG378" s="34"/>
      <c r="AH378" s="34"/>
      <c r="AI378" s="34"/>
      <c r="AJ378" s="34"/>
      <c r="AK378" s="34"/>
      <c r="AL378" s="34"/>
      <c r="AM378" s="34"/>
      <c r="AN378" s="34"/>
      <c r="AO378" s="37"/>
      <c r="AP378" s="37"/>
      <c r="AQ378" s="37"/>
      <c r="AR378" s="25"/>
      <c r="AS378" s="25"/>
      <c r="AT378" s="38"/>
      <c r="AU378" s="39"/>
      <c r="AV378" s="34"/>
      <c r="AW378" s="34"/>
      <c r="AX378" s="34"/>
    </row>
    <row r="379" spans="2:50">
      <c r="B379" s="33"/>
      <c r="C379" s="25"/>
      <c r="D379" s="34"/>
      <c r="E379" s="34"/>
      <c r="F379" s="34"/>
      <c r="G379" s="35"/>
      <c r="H379" s="35"/>
      <c r="I379" s="35"/>
      <c r="J379" s="25"/>
      <c r="K379" s="34"/>
      <c r="L379" s="35"/>
      <c r="M379" s="34"/>
      <c r="N379" s="34"/>
      <c r="O379" s="37"/>
      <c r="P379" s="35"/>
      <c r="Q379" s="36"/>
      <c r="R379" s="25"/>
      <c r="S379" s="25"/>
      <c r="T379" s="34"/>
      <c r="U379" s="25"/>
      <c r="V379" s="25"/>
      <c r="W379" s="25"/>
      <c r="X379" s="34"/>
      <c r="Y379" s="25"/>
      <c r="Z379" s="25"/>
      <c r="AA379" s="34"/>
      <c r="AG379" s="34"/>
      <c r="AH379" s="34"/>
      <c r="AI379" s="34"/>
      <c r="AJ379" s="34"/>
      <c r="AK379" s="34"/>
      <c r="AL379" s="34"/>
      <c r="AM379" s="34"/>
      <c r="AN379" s="34"/>
      <c r="AO379" s="37"/>
      <c r="AP379" s="37"/>
      <c r="AQ379" s="37"/>
      <c r="AR379" s="25"/>
      <c r="AS379" s="25"/>
      <c r="AT379" s="38"/>
      <c r="AU379" s="39"/>
      <c r="AV379" s="34"/>
      <c r="AW379" s="34"/>
      <c r="AX379" s="34"/>
    </row>
    <row r="380" spans="2:50">
      <c r="B380" s="33"/>
      <c r="C380" s="25"/>
      <c r="D380" s="34"/>
      <c r="E380" s="34"/>
      <c r="F380" s="34"/>
      <c r="G380" s="35"/>
      <c r="H380" s="35"/>
      <c r="I380" s="35"/>
      <c r="J380" s="25"/>
      <c r="K380" s="34"/>
      <c r="L380" s="35"/>
      <c r="M380" s="34"/>
      <c r="N380" s="34"/>
      <c r="O380" s="37"/>
      <c r="P380" s="35"/>
      <c r="Q380" s="36"/>
      <c r="R380" s="25"/>
      <c r="S380" s="25"/>
      <c r="T380" s="34"/>
      <c r="U380" s="25"/>
      <c r="V380" s="25"/>
      <c r="W380" s="25"/>
      <c r="X380" s="34"/>
      <c r="Y380" s="25"/>
      <c r="Z380" s="25"/>
      <c r="AA380" s="34"/>
      <c r="AG380" s="34"/>
      <c r="AH380" s="34"/>
      <c r="AI380" s="34"/>
      <c r="AJ380" s="34"/>
      <c r="AK380" s="34"/>
      <c r="AL380" s="34"/>
      <c r="AM380" s="34"/>
      <c r="AN380" s="34"/>
      <c r="AO380" s="37"/>
      <c r="AP380" s="37"/>
      <c r="AQ380" s="37"/>
      <c r="AR380" s="25"/>
      <c r="AS380" s="25"/>
      <c r="AT380" s="38"/>
      <c r="AU380" s="39"/>
      <c r="AV380" s="34"/>
      <c r="AW380" s="34"/>
      <c r="AX380" s="34"/>
    </row>
    <row r="381" spans="2:50">
      <c r="B381" s="33"/>
      <c r="C381" s="25"/>
      <c r="D381" s="34"/>
      <c r="E381" s="34"/>
      <c r="F381" s="34"/>
      <c r="G381" s="35"/>
      <c r="H381" s="35"/>
      <c r="I381" s="35"/>
      <c r="J381" s="25"/>
      <c r="K381" s="34"/>
      <c r="L381" s="35"/>
      <c r="M381" s="34"/>
      <c r="N381" s="34"/>
      <c r="O381" s="37"/>
      <c r="P381" s="35"/>
      <c r="Q381" s="36"/>
      <c r="R381" s="25"/>
      <c r="S381" s="25"/>
      <c r="T381" s="34"/>
      <c r="U381" s="25"/>
      <c r="V381" s="25"/>
      <c r="W381" s="25"/>
      <c r="X381" s="34"/>
      <c r="Y381" s="25"/>
      <c r="Z381" s="25"/>
      <c r="AA381" s="34"/>
      <c r="AG381" s="34"/>
      <c r="AH381" s="34"/>
      <c r="AI381" s="34"/>
      <c r="AJ381" s="34"/>
      <c r="AK381" s="34"/>
      <c r="AL381" s="34"/>
      <c r="AM381" s="34"/>
      <c r="AN381" s="34"/>
      <c r="AO381" s="37"/>
      <c r="AP381" s="37"/>
      <c r="AQ381" s="37"/>
      <c r="AR381" s="25"/>
      <c r="AS381" s="25"/>
      <c r="AT381" s="38"/>
      <c r="AU381" s="39"/>
      <c r="AV381" s="34"/>
      <c r="AW381" s="34"/>
      <c r="AX381" s="34"/>
    </row>
    <row r="382" spans="2:50">
      <c r="B382" s="33"/>
      <c r="C382" s="25"/>
      <c r="D382" s="34"/>
      <c r="E382" s="34"/>
      <c r="F382" s="34"/>
      <c r="G382" s="35"/>
      <c r="H382" s="35"/>
      <c r="I382" s="35"/>
      <c r="J382" s="25"/>
      <c r="K382" s="34"/>
      <c r="L382" s="35"/>
      <c r="M382" s="34"/>
      <c r="N382" s="34"/>
      <c r="O382" s="37"/>
      <c r="P382" s="35"/>
      <c r="Q382" s="36"/>
      <c r="R382" s="25"/>
      <c r="S382" s="25"/>
      <c r="T382" s="34"/>
      <c r="U382" s="25"/>
      <c r="V382" s="25"/>
      <c r="W382" s="25"/>
      <c r="X382" s="34"/>
      <c r="Y382" s="25"/>
      <c r="Z382" s="25"/>
      <c r="AA382" s="34"/>
      <c r="AG382" s="34"/>
      <c r="AH382" s="34"/>
      <c r="AI382" s="34"/>
      <c r="AJ382" s="34"/>
      <c r="AK382" s="34"/>
      <c r="AL382" s="34"/>
      <c r="AM382" s="34"/>
      <c r="AN382" s="34"/>
      <c r="AO382" s="37"/>
      <c r="AP382" s="37"/>
      <c r="AQ382" s="37"/>
      <c r="AR382" s="25"/>
      <c r="AS382" s="25"/>
      <c r="AT382" s="38"/>
      <c r="AU382" s="39"/>
      <c r="AV382" s="34"/>
      <c r="AW382" s="34"/>
      <c r="AX382" s="34"/>
    </row>
    <row r="383" spans="2:50">
      <c r="B383" s="33"/>
      <c r="C383" s="25"/>
      <c r="D383" s="34"/>
      <c r="E383" s="34"/>
      <c r="F383" s="34"/>
      <c r="G383" s="35"/>
      <c r="H383" s="35"/>
      <c r="I383" s="35"/>
      <c r="J383" s="25"/>
      <c r="K383" s="34"/>
      <c r="L383" s="35"/>
      <c r="M383" s="34"/>
      <c r="N383" s="34"/>
      <c r="O383" s="37"/>
      <c r="P383" s="35"/>
      <c r="Q383" s="36"/>
      <c r="R383" s="25"/>
      <c r="S383" s="25"/>
      <c r="T383" s="34"/>
      <c r="U383" s="25"/>
      <c r="V383" s="25"/>
      <c r="W383" s="25"/>
      <c r="X383" s="34"/>
      <c r="Y383" s="25"/>
      <c r="Z383" s="25"/>
      <c r="AA383" s="34"/>
      <c r="AG383" s="34"/>
      <c r="AH383" s="34"/>
      <c r="AI383" s="34"/>
      <c r="AJ383" s="34"/>
      <c r="AK383" s="34"/>
      <c r="AL383" s="34"/>
      <c r="AM383" s="34"/>
      <c r="AN383" s="34"/>
      <c r="AO383" s="37"/>
      <c r="AP383" s="37"/>
      <c r="AQ383" s="37"/>
      <c r="AR383" s="25"/>
      <c r="AS383" s="25"/>
      <c r="AT383" s="38"/>
      <c r="AU383" s="39"/>
      <c r="AV383" s="34"/>
      <c r="AW383" s="34"/>
      <c r="AX383" s="34"/>
    </row>
    <row r="384" spans="2:50">
      <c r="B384" s="33"/>
      <c r="C384" s="25"/>
      <c r="D384" s="34"/>
      <c r="E384" s="34"/>
      <c r="F384" s="34"/>
      <c r="G384" s="35"/>
      <c r="H384" s="35"/>
      <c r="I384" s="35"/>
      <c r="J384" s="25"/>
      <c r="K384" s="34"/>
      <c r="L384" s="35"/>
      <c r="M384" s="34"/>
      <c r="N384" s="34"/>
      <c r="O384" s="37"/>
      <c r="P384" s="35"/>
      <c r="Q384" s="36"/>
      <c r="R384" s="25"/>
      <c r="S384" s="25"/>
      <c r="T384" s="34"/>
      <c r="U384" s="25"/>
      <c r="V384" s="25"/>
      <c r="W384" s="25"/>
      <c r="X384" s="34"/>
      <c r="Y384" s="25"/>
      <c r="Z384" s="25"/>
      <c r="AA384" s="34"/>
      <c r="AG384" s="34"/>
      <c r="AH384" s="34"/>
      <c r="AI384" s="34"/>
      <c r="AJ384" s="34"/>
      <c r="AK384" s="34"/>
      <c r="AL384" s="34"/>
      <c r="AM384" s="34"/>
      <c r="AN384" s="34"/>
      <c r="AO384" s="37"/>
      <c r="AP384" s="37"/>
      <c r="AQ384" s="37"/>
      <c r="AR384" s="25"/>
      <c r="AS384" s="25"/>
      <c r="AT384" s="38"/>
      <c r="AU384" s="39"/>
      <c r="AV384" s="34"/>
      <c r="AW384" s="34"/>
      <c r="AX384" s="34"/>
    </row>
    <row r="385" spans="2:50">
      <c r="B385" s="33"/>
      <c r="C385" s="25"/>
      <c r="D385" s="34"/>
      <c r="E385" s="34"/>
      <c r="F385" s="34"/>
      <c r="G385" s="35"/>
      <c r="H385" s="35"/>
      <c r="I385" s="35"/>
      <c r="J385" s="25"/>
      <c r="K385" s="34"/>
      <c r="L385" s="35"/>
      <c r="M385" s="34"/>
      <c r="N385" s="34"/>
      <c r="O385" s="37"/>
      <c r="P385" s="35"/>
      <c r="Q385" s="36"/>
      <c r="R385" s="25"/>
      <c r="S385" s="25"/>
      <c r="T385" s="34"/>
      <c r="U385" s="25"/>
      <c r="V385" s="25"/>
      <c r="W385" s="25"/>
      <c r="X385" s="34"/>
      <c r="Y385" s="25"/>
      <c r="Z385" s="25"/>
      <c r="AA385" s="34"/>
      <c r="AG385" s="34"/>
      <c r="AH385" s="34"/>
      <c r="AI385" s="34"/>
      <c r="AJ385" s="34"/>
      <c r="AK385" s="34"/>
      <c r="AL385" s="34"/>
      <c r="AM385" s="34"/>
      <c r="AN385" s="34"/>
      <c r="AO385" s="37"/>
      <c r="AP385" s="37"/>
      <c r="AQ385" s="37"/>
      <c r="AR385" s="25"/>
      <c r="AS385" s="25"/>
      <c r="AT385" s="38"/>
      <c r="AU385" s="39"/>
      <c r="AV385" s="34"/>
      <c r="AW385" s="34"/>
      <c r="AX385" s="34"/>
    </row>
    <row r="386" spans="2:50">
      <c r="B386" s="33"/>
      <c r="C386" s="25"/>
      <c r="D386" s="34"/>
      <c r="E386" s="34"/>
      <c r="F386" s="34"/>
      <c r="G386" s="35"/>
      <c r="H386" s="35"/>
      <c r="I386" s="35"/>
      <c r="J386" s="25"/>
      <c r="K386" s="34"/>
      <c r="L386" s="35"/>
      <c r="M386" s="34"/>
      <c r="N386" s="34"/>
      <c r="O386" s="37"/>
      <c r="P386" s="35"/>
      <c r="Q386" s="36"/>
      <c r="R386" s="25"/>
      <c r="S386" s="25"/>
      <c r="T386" s="34"/>
      <c r="U386" s="25"/>
      <c r="V386" s="25"/>
      <c r="W386" s="25"/>
      <c r="X386" s="34"/>
      <c r="Y386" s="25"/>
      <c r="Z386" s="25"/>
      <c r="AA386" s="34"/>
      <c r="AG386" s="34"/>
      <c r="AH386" s="34"/>
      <c r="AI386" s="34"/>
      <c r="AJ386" s="34"/>
      <c r="AK386" s="34"/>
      <c r="AL386" s="34"/>
      <c r="AM386" s="34"/>
      <c r="AN386" s="34"/>
      <c r="AO386" s="37"/>
      <c r="AP386" s="37"/>
      <c r="AQ386" s="37"/>
      <c r="AR386" s="25"/>
      <c r="AS386" s="25"/>
      <c r="AT386" s="38"/>
      <c r="AU386" s="39"/>
      <c r="AV386" s="34"/>
      <c r="AW386" s="34"/>
      <c r="AX386" s="34"/>
    </row>
    <row r="387" spans="2:50">
      <c r="B387" s="33"/>
      <c r="C387" s="25"/>
      <c r="D387" s="34"/>
      <c r="E387" s="34"/>
      <c r="F387" s="34"/>
      <c r="G387" s="35"/>
      <c r="H387" s="35"/>
      <c r="I387" s="35"/>
      <c r="J387" s="25"/>
      <c r="K387" s="34"/>
      <c r="L387" s="35"/>
      <c r="M387" s="34"/>
      <c r="N387" s="34"/>
      <c r="O387" s="37"/>
      <c r="P387" s="35"/>
      <c r="Q387" s="36"/>
      <c r="R387" s="25"/>
      <c r="S387" s="25"/>
      <c r="T387" s="34"/>
      <c r="U387" s="25"/>
      <c r="V387" s="25"/>
      <c r="W387" s="25"/>
      <c r="X387" s="34"/>
      <c r="Y387" s="25"/>
      <c r="Z387" s="25"/>
      <c r="AA387" s="34"/>
      <c r="AG387" s="34"/>
      <c r="AH387" s="34"/>
      <c r="AI387" s="34"/>
      <c r="AJ387" s="34"/>
      <c r="AK387" s="34"/>
      <c r="AL387" s="34"/>
      <c r="AM387" s="34"/>
      <c r="AN387" s="34"/>
      <c r="AO387" s="37"/>
      <c r="AP387" s="37"/>
      <c r="AQ387" s="37"/>
      <c r="AR387" s="25"/>
      <c r="AS387" s="25"/>
      <c r="AT387" s="38"/>
      <c r="AU387" s="39"/>
      <c r="AV387" s="34"/>
      <c r="AW387" s="34"/>
      <c r="AX387" s="34"/>
    </row>
    <row r="388" spans="2:50">
      <c r="B388" s="33"/>
      <c r="C388" s="25"/>
      <c r="D388" s="34"/>
      <c r="E388" s="34"/>
      <c r="F388" s="34"/>
      <c r="G388" s="35"/>
      <c r="H388" s="35"/>
      <c r="I388" s="35"/>
      <c r="J388" s="25"/>
      <c r="K388" s="34"/>
      <c r="L388" s="35"/>
      <c r="M388" s="34"/>
      <c r="N388" s="34"/>
      <c r="O388" s="37"/>
      <c r="P388" s="35"/>
      <c r="Q388" s="36"/>
      <c r="R388" s="25"/>
      <c r="S388" s="25"/>
      <c r="T388" s="34"/>
      <c r="U388" s="25"/>
      <c r="V388" s="25"/>
      <c r="W388" s="25"/>
      <c r="X388" s="34"/>
      <c r="Y388" s="25"/>
      <c r="Z388" s="25"/>
      <c r="AA388" s="34"/>
      <c r="AG388" s="34"/>
      <c r="AH388" s="34"/>
      <c r="AI388" s="34"/>
      <c r="AJ388" s="34"/>
      <c r="AK388" s="34"/>
      <c r="AL388" s="34"/>
      <c r="AM388" s="34"/>
      <c r="AN388" s="34"/>
      <c r="AO388" s="37"/>
      <c r="AP388" s="37"/>
      <c r="AQ388" s="37"/>
      <c r="AR388" s="25"/>
      <c r="AS388" s="25"/>
      <c r="AT388" s="38"/>
      <c r="AU388" s="39"/>
      <c r="AV388" s="34"/>
      <c r="AW388" s="34"/>
      <c r="AX388" s="34"/>
    </row>
    <row r="389" spans="2:50">
      <c r="B389" s="33"/>
      <c r="C389" s="25"/>
      <c r="D389" s="34"/>
      <c r="E389" s="34"/>
      <c r="F389" s="34"/>
      <c r="G389" s="35"/>
      <c r="H389" s="35"/>
      <c r="I389" s="35"/>
      <c r="J389" s="25"/>
      <c r="K389" s="34"/>
      <c r="L389" s="35"/>
      <c r="M389" s="34"/>
      <c r="N389" s="34"/>
      <c r="O389" s="37"/>
      <c r="P389" s="35"/>
      <c r="Q389" s="36"/>
      <c r="R389" s="25"/>
      <c r="S389" s="25"/>
      <c r="T389" s="34"/>
      <c r="U389" s="25"/>
      <c r="V389" s="25"/>
      <c r="W389" s="25"/>
      <c r="X389" s="34"/>
      <c r="Y389" s="25"/>
      <c r="Z389" s="25"/>
      <c r="AA389" s="34"/>
      <c r="AG389" s="34"/>
      <c r="AH389" s="34"/>
      <c r="AI389" s="34"/>
      <c r="AJ389" s="34"/>
      <c r="AK389" s="34"/>
      <c r="AL389" s="34"/>
      <c r="AM389" s="34"/>
      <c r="AN389" s="34"/>
      <c r="AO389" s="37"/>
      <c r="AP389" s="37"/>
      <c r="AQ389" s="37"/>
      <c r="AR389" s="25"/>
      <c r="AS389" s="25"/>
      <c r="AT389" s="38"/>
      <c r="AU389" s="39"/>
      <c r="AV389" s="34"/>
      <c r="AW389" s="34"/>
      <c r="AX389" s="34"/>
    </row>
    <row r="390" spans="2:50">
      <c r="B390" s="33"/>
      <c r="C390" s="25"/>
      <c r="D390" s="34"/>
      <c r="E390" s="34"/>
      <c r="F390" s="34"/>
      <c r="G390" s="35"/>
      <c r="H390" s="35"/>
      <c r="I390" s="35"/>
      <c r="J390" s="25"/>
      <c r="K390" s="34"/>
      <c r="L390" s="35"/>
      <c r="M390" s="34"/>
      <c r="N390" s="34"/>
      <c r="O390" s="37"/>
      <c r="P390" s="35"/>
      <c r="Q390" s="36"/>
      <c r="R390" s="25"/>
      <c r="S390" s="25"/>
      <c r="T390" s="34"/>
      <c r="U390" s="25"/>
      <c r="V390" s="25"/>
      <c r="W390" s="25"/>
      <c r="X390" s="34"/>
      <c r="Y390" s="25"/>
      <c r="Z390" s="25"/>
      <c r="AA390" s="34"/>
      <c r="AG390" s="34"/>
      <c r="AH390" s="34"/>
      <c r="AI390" s="34"/>
      <c r="AJ390" s="34"/>
      <c r="AK390" s="34"/>
      <c r="AL390" s="34"/>
      <c r="AM390" s="34"/>
      <c r="AN390" s="34"/>
      <c r="AO390" s="37"/>
      <c r="AP390" s="37"/>
      <c r="AQ390" s="37"/>
      <c r="AR390" s="25"/>
      <c r="AS390" s="25"/>
      <c r="AT390" s="38"/>
      <c r="AU390" s="39"/>
      <c r="AV390" s="34"/>
      <c r="AW390" s="34"/>
      <c r="AX390" s="34"/>
    </row>
    <row r="391" spans="2:50">
      <c r="B391" s="33"/>
      <c r="C391" s="25"/>
      <c r="D391" s="34"/>
      <c r="E391" s="34"/>
      <c r="F391" s="34"/>
      <c r="G391" s="35"/>
      <c r="H391" s="35"/>
      <c r="I391" s="35"/>
      <c r="J391" s="25"/>
      <c r="K391" s="34"/>
      <c r="L391" s="35"/>
      <c r="M391" s="34"/>
      <c r="N391" s="34"/>
      <c r="O391" s="37"/>
      <c r="P391" s="35"/>
      <c r="Q391" s="36"/>
      <c r="R391" s="25"/>
      <c r="S391" s="25"/>
      <c r="T391" s="34"/>
      <c r="U391" s="25"/>
      <c r="V391" s="25"/>
      <c r="W391" s="25"/>
      <c r="X391" s="34"/>
      <c r="Y391" s="25"/>
      <c r="Z391" s="25"/>
      <c r="AA391" s="34"/>
      <c r="AG391" s="34"/>
      <c r="AH391" s="34"/>
      <c r="AI391" s="34"/>
      <c r="AJ391" s="34"/>
      <c r="AK391" s="34"/>
      <c r="AL391" s="34"/>
      <c r="AM391" s="34"/>
      <c r="AN391" s="34"/>
      <c r="AO391" s="37"/>
      <c r="AP391" s="37"/>
      <c r="AQ391" s="37"/>
      <c r="AR391" s="25"/>
      <c r="AS391" s="25"/>
      <c r="AT391" s="38"/>
      <c r="AU391" s="39"/>
      <c r="AV391" s="34"/>
      <c r="AW391" s="34"/>
      <c r="AX391" s="34"/>
    </row>
    <row r="392" spans="2:50">
      <c r="B392" s="33"/>
      <c r="C392" s="25"/>
      <c r="D392" s="34"/>
      <c r="E392" s="34"/>
      <c r="F392" s="34"/>
      <c r="G392" s="35"/>
      <c r="H392" s="35"/>
      <c r="I392" s="35"/>
      <c r="J392" s="25"/>
      <c r="K392" s="34"/>
      <c r="L392" s="35"/>
      <c r="M392" s="34"/>
      <c r="N392" s="34"/>
      <c r="O392" s="37"/>
      <c r="P392" s="35"/>
      <c r="Q392" s="36"/>
      <c r="R392" s="25"/>
      <c r="S392" s="25"/>
      <c r="T392" s="34"/>
      <c r="U392" s="25"/>
      <c r="V392" s="25"/>
      <c r="W392" s="25"/>
      <c r="X392" s="34"/>
      <c r="Y392" s="25"/>
      <c r="Z392" s="25"/>
      <c r="AA392" s="34"/>
      <c r="AG392" s="34"/>
      <c r="AH392" s="34"/>
      <c r="AI392" s="34"/>
      <c r="AJ392" s="34"/>
      <c r="AK392" s="34"/>
      <c r="AL392" s="34"/>
      <c r="AM392" s="34"/>
      <c r="AN392" s="34"/>
      <c r="AO392" s="37"/>
      <c r="AP392" s="37"/>
      <c r="AQ392" s="37"/>
      <c r="AR392" s="25"/>
      <c r="AS392" s="25"/>
      <c r="AT392" s="38"/>
      <c r="AU392" s="39"/>
      <c r="AV392" s="34"/>
      <c r="AW392" s="34"/>
      <c r="AX392" s="34"/>
    </row>
    <row r="393" spans="2:50">
      <c r="B393" s="33"/>
      <c r="C393" s="25"/>
      <c r="D393" s="34"/>
      <c r="E393" s="34"/>
      <c r="F393" s="34"/>
      <c r="G393" s="35"/>
      <c r="H393" s="35"/>
      <c r="I393" s="35"/>
      <c r="J393" s="25"/>
      <c r="K393" s="34"/>
      <c r="L393" s="35"/>
      <c r="M393" s="34"/>
      <c r="N393" s="34"/>
      <c r="O393" s="37"/>
      <c r="P393" s="35"/>
      <c r="Q393" s="36"/>
      <c r="R393" s="25"/>
      <c r="S393" s="25"/>
      <c r="T393" s="34"/>
      <c r="U393" s="25"/>
      <c r="V393" s="25"/>
      <c r="W393" s="25"/>
      <c r="X393" s="34"/>
      <c r="Y393" s="25"/>
      <c r="Z393" s="25"/>
      <c r="AA393" s="34"/>
      <c r="AG393" s="34"/>
      <c r="AH393" s="34"/>
      <c r="AI393" s="34"/>
      <c r="AJ393" s="34"/>
      <c r="AK393" s="34"/>
      <c r="AL393" s="34"/>
      <c r="AM393" s="34"/>
      <c r="AN393" s="34"/>
      <c r="AO393" s="37"/>
      <c r="AP393" s="37"/>
      <c r="AQ393" s="37"/>
      <c r="AR393" s="25"/>
      <c r="AS393" s="25"/>
      <c r="AT393" s="38"/>
      <c r="AU393" s="39"/>
      <c r="AV393" s="34"/>
      <c r="AW393" s="34"/>
      <c r="AX393" s="34"/>
    </row>
    <row r="394" spans="2:50">
      <c r="B394" s="33"/>
      <c r="C394" s="25"/>
      <c r="D394" s="34"/>
      <c r="E394" s="34"/>
      <c r="F394" s="34"/>
      <c r="G394" s="35"/>
      <c r="H394" s="35"/>
      <c r="I394" s="35"/>
      <c r="J394" s="25"/>
      <c r="K394" s="34"/>
      <c r="L394" s="35"/>
      <c r="M394" s="34"/>
      <c r="N394" s="34"/>
      <c r="O394" s="37"/>
      <c r="P394" s="35"/>
      <c r="Q394" s="36"/>
      <c r="R394" s="25"/>
      <c r="S394" s="25"/>
      <c r="T394" s="34"/>
      <c r="U394" s="25"/>
      <c r="V394" s="25"/>
      <c r="W394" s="25"/>
      <c r="X394" s="34"/>
      <c r="Y394" s="25"/>
      <c r="Z394" s="25"/>
      <c r="AA394" s="34"/>
      <c r="AG394" s="34"/>
      <c r="AH394" s="34"/>
      <c r="AI394" s="34"/>
      <c r="AJ394" s="34"/>
      <c r="AK394" s="34"/>
      <c r="AL394" s="34"/>
      <c r="AM394" s="34"/>
      <c r="AN394" s="34"/>
      <c r="AO394" s="37"/>
      <c r="AP394" s="37"/>
      <c r="AQ394" s="37"/>
      <c r="AR394" s="25"/>
      <c r="AS394" s="25"/>
      <c r="AT394" s="38"/>
      <c r="AU394" s="39"/>
      <c r="AV394" s="34"/>
      <c r="AW394" s="34"/>
      <c r="AX394" s="34"/>
    </row>
    <row r="395" spans="2:50">
      <c r="B395" s="33"/>
      <c r="C395" s="25"/>
      <c r="D395" s="34"/>
      <c r="E395" s="34"/>
      <c r="F395" s="34"/>
      <c r="G395" s="35"/>
      <c r="H395" s="35"/>
      <c r="I395" s="35"/>
      <c r="J395" s="25"/>
      <c r="K395" s="34"/>
      <c r="L395" s="35"/>
      <c r="M395" s="34"/>
      <c r="N395" s="34"/>
      <c r="O395" s="37"/>
      <c r="P395" s="35"/>
      <c r="Q395" s="36"/>
      <c r="R395" s="25"/>
      <c r="S395" s="25"/>
      <c r="T395" s="34"/>
      <c r="U395" s="25"/>
      <c r="V395" s="25"/>
      <c r="W395" s="25"/>
      <c r="X395" s="34"/>
      <c r="Y395" s="25"/>
      <c r="Z395" s="25"/>
      <c r="AA395" s="34"/>
      <c r="AG395" s="34"/>
      <c r="AH395" s="34"/>
      <c r="AI395" s="34"/>
      <c r="AJ395" s="34"/>
      <c r="AK395" s="34"/>
      <c r="AL395" s="34"/>
      <c r="AM395" s="34"/>
      <c r="AN395" s="34"/>
      <c r="AO395" s="37"/>
      <c r="AP395" s="37"/>
      <c r="AQ395" s="37"/>
      <c r="AR395" s="25"/>
      <c r="AS395" s="25"/>
      <c r="AT395" s="38"/>
      <c r="AU395" s="39"/>
      <c r="AV395" s="34"/>
      <c r="AW395" s="34"/>
      <c r="AX395" s="34"/>
    </row>
    <row r="396" spans="2:50">
      <c r="B396" s="33"/>
      <c r="C396" s="25"/>
      <c r="D396" s="34"/>
      <c r="E396" s="34"/>
      <c r="F396" s="34"/>
      <c r="G396" s="35"/>
      <c r="H396" s="35"/>
      <c r="I396" s="35"/>
      <c r="J396" s="25"/>
      <c r="K396" s="34"/>
      <c r="L396" s="35"/>
      <c r="M396" s="34"/>
      <c r="N396" s="34"/>
      <c r="O396" s="37"/>
      <c r="P396" s="35"/>
      <c r="Q396" s="36"/>
      <c r="R396" s="25"/>
      <c r="S396" s="25"/>
      <c r="T396" s="34"/>
      <c r="U396" s="25"/>
      <c r="V396" s="25"/>
      <c r="W396" s="25"/>
      <c r="X396" s="34"/>
      <c r="Y396" s="25"/>
      <c r="Z396" s="25"/>
      <c r="AA396" s="34"/>
      <c r="AG396" s="34"/>
      <c r="AH396" s="34"/>
      <c r="AI396" s="34"/>
      <c r="AJ396" s="34"/>
      <c r="AK396" s="34"/>
      <c r="AL396" s="34"/>
      <c r="AM396" s="34"/>
      <c r="AN396" s="34"/>
      <c r="AO396" s="37"/>
      <c r="AP396" s="37"/>
      <c r="AQ396" s="37"/>
      <c r="AR396" s="25"/>
      <c r="AS396" s="25"/>
      <c r="AT396" s="38"/>
      <c r="AU396" s="39"/>
      <c r="AV396" s="34"/>
      <c r="AW396" s="34"/>
      <c r="AX396" s="34"/>
    </row>
    <row r="397" spans="2:50">
      <c r="B397" s="33"/>
      <c r="C397" s="25"/>
      <c r="D397" s="34"/>
      <c r="E397" s="34"/>
      <c r="F397" s="34"/>
      <c r="G397" s="35"/>
      <c r="H397" s="35"/>
      <c r="I397" s="35"/>
      <c r="J397" s="25"/>
      <c r="K397" s="34"/>
      <c r="L397" s="35"/>
      <c r="M397" s="34"/>
      <c r="N397" s="34"/>
      <c r="O397" s="37"/>
      <c r="P397" s="35"/>
      <c r="Q397" s="36"/>
      <c r="R397" s="25"/>
      <c r="S397" s="25"/>
      <c r="T397" s="34"/>
      <c r="U397" s="25"/>
      <c r="V397" s="25"/>
      <c r="W397" s="25"/>
      <c r="X397" s="34"/>
      <c r="Y397" s="25"/>
      <c r="Z397" s="25"/>
      <c r="AA397" s="34"/>
      <c r="AG397" s="34"/>
      <c r="AH397" s="34"/>
      <c r="AI397" s="34"/>
      <c r="AJ397" s="34"/>
      <c r="AK397" s="34"/>
      <c r="AL397" s="34"/>
      <c r="AM397" s="34"/>
      <c r="AN397" s="34"/>
      <c r="AO397" s="37"/>
      <c r="AP397" s="37"/>
      <c r="AQ397" s="37"/>
      <c r="AR397" s="25"/>
      <c r="AS397" s="25"/>
      <c r="AT397" s="38"/>
      <c r="AU397" s="39"/>
      <c r="AV397" s="34"/>
      <c r="AW397" s="34"/>
      <c r="AX397" s="34"/>
    </row>
    <row r="398" spans="2:50">
      <c r="B398" s="33"/>
      <c r="C398" s="25"/>
      <c r="D398" s="34"/>
      <c r="E398" s="34"/>
      <c r="F398" s="34"/>
      <c r="G398" s="35"/>
      <c r="H398" s="35"/>
      <c r="I398" s="35"/>
      <c r="J398" s="25"/>
      <c r="K398" s="34"/>
      <c r="L398" s="35"/>
      <c r="M398" s="34"/>
      <c r="N398" s="34"/>
      <c r="O398" s="37"/>
      <c r="P398" s="35"/>
      <c r="Q398" s="36"/>
      <c r="R398" s="25"/>
      <c r="S398" s="25"/>
      <c r="T398" s="34"/>
      <c r="U398" s="25"/>
      <c r="V398" s="25"/>
      <c r="W398" s="25"/>
      <c r="X398" s="34"/>
      <c r="Y398" s="25"/>
      <c r="Z398" s="25"/>
      <c r="AA398" s="34"/>
      <c r="AG398" s="34"/>
      <c r="AH398" s="34"/>
      <c r="AI398" s="34"/>
      <c r="AJ398" s="34"/>
      <c r="AK398" s="34"/>
      <c r="AL398" s="34"/>
      <c r="AM398" s="34"/>
      <c r="AN398" s="34"/>
      <c r="AO398" s="37"/>
      <c r="AP398" s="37"/>
      <c r="AQ398" s="37"/>
      <c r="AR398" s="25"/>
      <c r="AS398" s="25"/>
      <c r="AT398" s="38"/>
      <c r="AU398" s="39"/>
      <c r="AV398" s="34"/>
      <c r="AW398" s="34"/>
      <c r="AX398" s="34"/>
    </row>
    <row r="399" spans="2:50">
      <c r="B399" s="33"/>
      <c r="C399" s="25"/>
      <c r="D399" s="34"/>
      <c r="E399" s="34"/>
      <c r="F399" s="34"/>
      <c r="G399" s="35"/>
      <c r="H399" s="35"/>
      <c r="I399" s="35"/>
      <c r="J399" s="25"/>
      <c r="K399" s="34"/>
      <c r="L399" s="35"/>
      <c r="M399" s="34"/>
      <c r="N399" s="34"/>
      <c r="O399" s="37"/>
      <c r="P399" s="35"/>
      <c r="Q399" s="36"/>
      <c r="R399" s="25"/>
      <c r="S399" s="25"/>
      <c r="T399" s="34"/>
      <c r="U399" s="25"/>
      <c r="V399" s="25"/>
      <c r="W399" s="25"/>
      <c r="X399" s="34"/>
      <c r="Y399" s="25"/>
      <c r="Z399" s="25"/>
      <c r="AA399" s="34"/>
      <c r="AG399" s="34"/>
      <c r="AH399" s="34"/>
      <c r="AI399" s="34"/>
      <c r="AJ399" s="34"/>
      <c r="AK399" s="34"/>
      <c r="AL399" s="34"/>
      <c r="AM399" s="34"/>
      <c r="AN399" s="34"/>
      <c r="AO399" s="37"/>
      <c r="AP399" s="37"/>
      <c r="AQ399" s="37"/>
      <c r="AR399" s="25"/>
      <c r="AS399" s="25"/>
      <c r="AT399" s="38"/>
      <c r="AU399" s="39"/>
      <c r="AV399" s="34"/>
      <c r="AW399" s="34"/>
      <c r="AX399" s="34"/>
    </row>
    <row r="400" spans="2:50">
      <c r="B400" s="33"/>
      <c r="C400" s="25"/>
      <c r="D400" s="34"/>
      <c r="E400" s="34"/>
      <c r="F400" s="34"/>
      <c r="G400" s="35"/>
      <c r="H400" s="35"/>
      <c r="I400" s="35"/>
      <c r="J400" s="25"/>
      <c r="K400" s="34"/>
      <c r="L400" s="35"/>
      <c r="M400" s="34"/>
      <c r="N400" s="34"/>
      <c r="O400" s="37"/>
      <c r="P400" s="35"/>
      <c r="Q400" s="36"/>
      <c r="R400" s="25"/>
      <c r="S400" s="25"/>
      <c r="T400" s="34"/>
      <c r="U400" s="25"/>
      <c r="V400" s="25"/>
      <c r="W400" s="25"/>
      <c r="X400" s="34"/>
      <c r="Y400" s="25"/>
      <c r="Z400" s="25"/>
      <c r="AA400" s="34"/>
      <c r="AG400" s="34"/>
      <c r="AH400" s="34"/>
      <c r="AI400" s="34"/>
      <c r="AJ400" s="34"/>
      <c r="AK400" s="34"/>
      <c r="AL400" s="34"/>
      <c r="AM400" s="34"/>
      <c r="AN400" s="34"/>
      <c r="AO400" s="37"/>
      <c r="AP400" s="37"/>
      <c r="AQ400" s="37"/>
      <c r="AR400" s="25"/>
      <c r="AS400" s="25"/>
      <c r="AT400" s="38"/>
      <c r="AU400" s="39"/>
      <c r="AV400" s="34"/>
      <c r="AW400" s="34"/>
      <c r="AX400" s="34"/>
    </row>
    <row r="401" spans="2:50">
      <c r="B401" s="33"/>
      <c r="C401" s="25"/>
      <c r="D401" s="34"/>
      <c r="E401" s="34"/>
      <c r="F401" s="34"/>
      <c r="G401" s="35"/>
      <c r="H401" s="35"/>
      <c r="I401" s="35"/>
      <c r="J401" s="25"/>
      <c r="K401" s="34"/>
      <c r="L401" s="35"/>
      <c r="M401" s="34"/>
      <c r="N401" s="34"/>
      <c r="O401" s="37"/>
      <c r="P401" s="35"/>
      <c r="Q401" s="36"/>
      <c r="R401" s="25"/>
      <c r="S401" s="25"/>
      <c r="T401" s="34"/>
      <c r="U401" s="25"/>
      <c r="V401" s="25"/>
      <c r="W401" s="25"/>
      <c r="X401" s="34"/>
      <c r="Y401" s="25"/>
      <c r="Z401" s="25"/>
      <c r="AA401" s="34"/>
      <c r="AG401" s="34"/>
      <c r="AH401" s="34"/>
      <c r="AI401" s="34"/>
      <c r="AJ401" s="34"/>
      <c r="AK401" s="34"/>
      <c r="AL401" s="34"/>
      <c r="AM401" s="34"/>
      <c r="AN401" s="34"/>
      <c r="AO401" s="37"/>
      <c r="AP401" s="37"/>
      <c r="AQ401" s="37"/>
      <c r="AR401" s="25"/>
      <c r="AS401" s="25"/>
      <c r="AT401" s="38"/>
      <c r="AU401" s="39"/>
      <c r="AV401" s="34"/>
      <c r="AW401" s="34"/>
      <c r="AX401" s="34"/>
    </row>
    <row r="402" spans="2:50">
      <c r="B402" s="33"/>
      <c r="C402" s="25"/>
      <c r="D402" s="34"/>
      <c r="E402" s="34"/>
      <c r="F402" s="34"/>
      <c r="G402" s="35"/>
      <c r="H402" s="35"/>
      <c r="I402" s="35"/>
      <c r="J402" s="25"/>
      <c r="K402" s="34"/>
      <c r="L402" s="35"/>
      <c r="M402" s="34"/>
      <c r="N402" s="34"/>
      <c r="O402" s="37"/>
      <c r="P402" s="35"/>
      <c r="Q402" s="36"/>
      <c r="R402" s="25"/>
      <c r="S402" s="25"/>
      <c r="T402" s="34"/>
      <c r="U402" s="25"/>
      <c r="V402" s="25"/>
      <c r="W402" s="25"/>
      <c r="X402" s="34"/>
      <c r="Y402" s="25"/>
      <c r="Z402" s="25"/>
      <c r="AA402" s="34"/>
      <c r="AG402" s="34"/>
      <c r="AH402" s="34"/>
      <c r="AI402" s="34"/>
      <c r="AJ402" s="34"/>
      <c r="AK402" s="34"/>
      <c r="AL402" s="34"/>
      <c r="AM402" s="34"/>
      <c r="AN402" s="34"/>
      <c r="AO402" s="37"/>
      <c r="AP402" s="37"/>
      <c r="AQ402" s="37"/>
      <c r="AR402" s="25"/>
      <c r="AS402" s="25"/>
      <c r="AT402" s="38"/>
      <c r="AU402" s="39"/>
      <c r="AV402" s="34"/>
      <c r="AW402" s="34"/>
      <c r="AX402" s="34"/>
    </row>
    <row r="403" spans="2:50">
      <c r="B403" s="33"/>
      <c r="C403" s="25"/>
      <c r="D403" s="34"/>
      <c r="E403" s="34"/>
      <c r="F403" s="34"/>
      <c r="G403" s="35"/>
      <c r="H403" s="35"/>
      <c r="I403" s="35"/>
      <c r="J403" s="25"/>
      <c r="K403" s="34"/>
      <c r="L403" s="35"/>
      <c r="M403" s="34"/>
      <c r="N403" s="34"/>
      <c r="O403" s="37"/>
      <c r="P403" s="35"/>
      <c r="Q403" s="36"/>
      <c r="R403" s="25"/>
      <c r="S403" s="25"/>
      <c r="T403" s="34"/>
      <c r="U403" s="25"/>
      <c r="V403" s="25"/>
      <c r="W403" s="25"/>
      <c r="X403" s="34"/>
      <c r="Y403" s="25"/>
      <c r="Z403" s="25"/>
      <c r="AA403" s="34"/>
      <c r="AG403" s="34"/>
      <c r="AH403" s="34"/>
      <c r="AI403" s="34"/>
      <c r="AJ403" s="34"/>
      <c r="AK403" s="34"/>
      <c r="AL403" s="34"/>
      <c r="AM403" s="34"/>
      <c r="AN403" s="34"/>
      <c r="AO403" s="37"/>
      <c r="AP403" s="37"/>
      <c r="AQ403" s="37"/>
      <c r="AR403" s="25"/>
      <c r="AS403" s="25"/>
      <c r="AT403" s="38"/>
      <c r="AU403" s="39"/>
      <c r="AV403" s="34"/>
      <c r="AW403" s="34"/>
      <c r="AX403" s="34"/>
    </row>
    <row r="404" spans="2:50">
      <c r="B404" s="33"/>
      <c r="C404" s="25"/>
      <c r="D404" s="34"/>
      <c r="E404" s="34"/>
      <c r="F404" s="34"/>
      <c r="G404" s="35"/>
      <c r="H404" s="35"/>
      <c r="I404" s="35"/>
      <c r="J404" s="25"/>
      <c r="K404" s="34"/>
      <c r="L404" s="35"/>
      <c r="M404" s="34"/>
      <c r="N404" s="34"/>
      <c r="O404" s="37"/>
      <c r="P404" s="35"/>
      <c r="Q404" s="36"/>
      <c r="R404" s="25"/>
      <c r="S404" s="25"/>
      <c r="T404" s="34"/>
      <c r="U404" s="25"/>
      <c r="V404" s="25"/>
      <c r="W404" s="25"/>
      <c r="X404" s="34"/>
      <c r="Y404" s="25"/>
      <c r="Z404" s="25"/>
      <c r="AA404" s="34"/>
      <c r="AG404" s="34"/>
      <c r="AH404" s="34"/>
      <c r="AI404" s="34"/>
      <c r="AJ404" s="34"/>
      <c r="AK404" s="34"/>
      <c r="AL404" s="34"/>
      <c r="AM404" s="34"/>
      <c r="AN404" s="34"/>
      <c r="AO404" s="37"/>
      <c r="AP404" s="37"/>
      <c r="AQ404" s="37"/>
      <c r="AR404" s="25"/>
      <c r="AS404" s="25"/>
      <c r="AT404" s="38"/>
      <c r="AU404" s="39"/>
      <c r="AV404" s="34"/>
      <c r="AW404" s="34"/>
      <c r="AX404" s="34"/>
    </row>
    <row r="405" spans="2:50">
      <c r="B405" s="33"/>
      <c r="C405" s="25"/>
      <c r="D405" s="34"/>
      <c r="E405" s="34"/>
      <c r="F405" s="34"/>
      <c r="G405" s="35"/>
      <c r="H405" s="35"/>
      <c r="I405" s="35"/>
      <c r="J405" s="25"/>
      <c r="K405" s="34"/>
      <c r="L405" s="35"/>
      <c r="M405" s="34"/>
      <c r="N405" s="34"/>
      <c r="O405" s="37"/>
      <c r="P405" s="35"/>
      <c r="Q405" s="36"/>
      <c r="R405" s="25"/>
      <c r="S405" s="25"/>
      <c r="T405" s="34"/>
      <c r="U405" s="25"/>
      <c r="V405" s="25"/>
      <c r="W405" s="25"/>
      <c r="X405" s="34"/>
      <c r="Y405" s="25"/>
      <c r="Z405" s="25"/>
      <c r="AA405" s="34"/>
      <c r="AG405" s="34"/>
      <c r="AH405" s="34"/>
      <c r="AI405" s="34"/>
      <c r="AJ405" s="34"/>
      <c r="AK405" s="34"/>
      <c r="AL405" s="34"/>
      <c r="AM405" s="34"/>
      <c r="AN405" s="34"/>
      <c r="AO405" s="37"/>
      <c r="AP405" s="37"/>
      <c r="AQ405" s="37"/>
      <c r="AR405" s="25"/>
      <c r="AS405" s="25"/>
      <c r="AT405" s="38"/>
      <c r="AU405" s="39"/>
      <c r="AV405" s="34"/>
      <c r="AW405" s="34"/>
      <c r="AX405" s="34"/>
    </row>
    <row r="406" spans="2:50">
      <c r="B406" s="33"/>
      <c r="C406" s="25"/>
      <c r="D406" s="34"/>
      <c r="E406" s="34"/>
      <c r="F406" s="34"/>
      <c r="G406" s="35"/>
      <c r="H406" s="35"/>
      <c r="I406" s="35"/>
      <c r="J406" s="25"/>
      <c r="K406" s="34"/>
      <c r="L406" s="35"/>
      <c r="M406" s="34"/>
      <c r="N406" s="34"/>
      <c r="O406" s="37"/>
      <c r="P406" s="35"/>
      <c r="Q406" s="36"/>
      <c r="R406" s="25"/>
      <c r="S406" s="25"/>
      <c r="T406" s="34"/>
      <c r="U406" s="25"/>
      <c r="V406" s="25"/>
      <c r="W406" s="25"/>
      <c r="X406" s="34"/>
      <c r="Y406" s="25"/>
      <c r="Z406" s="25"/>
      <c r="AA406" s="34"/>
      <c r="AG406" s="34"/>
      <c r="AH406" s="34"/>
      <c r="AI406" s="34"/>
      <c r="AJ406" s="34"/>
      <c r="AK406" s="34"/>
      <c r="AL406" s="34"/>
      <c r="AM406" s="34"/>
      <c r="AN406" s="34"/>
      <c r="AO406" s="37"/>
      <c r="AP406" s="37"/>
      <c r="AQ406" s="37"/>
      <c r="AR406" s="25"/>
      <c r="AS406" s="25"/>
      <c r="AT406" s="38"/>
      <c r="AU406" s="39"/>
      <c r="AV406" s="34"/>
      <c r="AW406" s="34"/>
      <c r="AX406" s="34"/>
    </row>
    <row r="407" spans="2:50">
      <c r="B407" s="33"/>
      <c r="C407" s="25"/>
      <c r="D407" s="34"/>
      <c r="E407" s="34"/>
      <c r="F407" s="34"/>
      <c r="G407" s="35"/>
      <c r="H407" s="35"/>
      <c r="I407" s="35"/>
      <c r="J407" s="25"/>
      <c r="K407" s="34"/>
      <c r="L407" s="35"/>
      <c r="M407" s="34"/>
      <c r="N407" s="34"/>
      <c r="O407" s="37"/>
      <c r="P407" s="35"/>
      <c r="Q407" s="36"/>
      <c r="R407" s="25"/>
      <c r="S407" s="25"/>
      <c r="T407" s="34"/>
      <c r="U407" s="25"/>
      <c r="V407" s="25"/>
      <c r="W407" s="25"/>
      <c r="X407" s="34"/>
      <c r="Y407" s="25"/>
      <c r="Z407" s="25"/>
      <c r="AA407" s="34"/>
      <c r="AG407" s="34"/>
      <c r="AH407" s="34"/>
      <c r="AI407" s="34"/>
      <c r="AJ407" s="34"/>
      <c r="AK407" s="34"/>
      <c r="AL407" s="34"/>
      <c r="AM407" s="34"/>
      <c r="AN407" s="34"/>
      <c r="AO407" s="37"/>
      <c r="AP407" s="37"/>
      <c r="AQ407" s="37"/>
      <c r="AR407" s="25"/>
      <c r="AS407" s="25"/>
      <c r="AT407" s="38"/>
      <c r="AU407" s="39"/>
      <c r="AV407" s="34"/>
      <c r="AW407" s="34"/>
      <c r="AX407" s="34"/>
    </row>
    <row r="408" spans="2:50">
      <c r="B408" s="33"/>
      <c r="C408" s="25"/>
      <c r="D408" s="34"/>
      <c r="E408" s="34"/>
      <c r="F408" s="34"/>
      <c r="G408" s="35"/>
      <c r="H408" s="35"/>
      <c r="I408" s="35"/>
      <c r="J408" s="25"/>
      <c r="K408" s="34"/>
      <c r="L408" s="35"/>
      <c r="M408" s="34"/>
      <c r="N408" s="34"/>
      <c r="O408" s="37"/>
      <c r="P408" s="35"/>
      <c r="Q408" s="36"/>
      <c r="R408" s="25"/>
      <c r="S408" s="25"/>
      <c r="T408" s="34"/>
      <c r="U408" s="25"/>
      <c r="V408" s="25"/>
      <c r="W408" s="25"/>
      <c r="X408" s="34"/>
      <c r="Y408" s="25"/>
      <c r="Z408" s="25"/>
      <c r="AA408" s="34"/>
      <c r="AG408" s="34"/>
      <c r="AH408" s="34"/>
      <c r="AI408" s="34"/>
      <c r="AJ408" s="34"/>
      <c r="AK408" s="34"/>
      <c r="AL408" s="34"/>
      <c r="AM408" s="34"/>
      <c r="AN408" s="34"/>
      <c r="AO408" s="37"/>
      <c r="AP408" s="37"/>
      <c r="AQ408" s="37"/>
      <c r="AR408" s="25"/>
      <c r="AS408" s="25"/>
      <c r="AT408" s="38"/>
      <c r="AU408" s="39"/>
      <c r="AV408" s="34"/>
      <c r="AW408" s="34"/>
      <c r="AX408" s="34"/>
    </row>
    <row r="409" spans="2:50">
      <c r="B409" s="33"/>
      <c r="C409" s="25"/>
      <c r="D409" s="34"/>
      <c r="E409" s="34"/>
      <c r="F409" s="34"/>
      <c r="G409" s="35"/>
      <c r="H409" s="35"/>
      <c r="I409" s="35"/>
      <c r="J409" s="25"/>
      <c r="K409" s="34"/>
      <c r="L409" s="35"/>
      <c r="M409" s="34"/>
      <c r="N409" s="34"/>
      <c r="O409" s="37"/>
      <c r="P409" s="35"/>
      <c r="Q409" s="36"/>
      <c r="R409" s="25"/>
      <c r="S409" s="25"/>
      <c r="T409" s="34"/>
      <c r="U409" s="25"/>
      <c r="V409" s="25"/>
      <c r="W409" s="25"/>
      <c r="X409" s="34"/>
      <c r="Y409" s="25"/>
      <c r="Z409" s="25"/>
      <c r="AA409" s="34"/>
      <c r="AG409" s="34"/>
      <c r="AH409" s="34"/>
      <c r="AI409" s="34"/>
      <c r="AJ409" s="34"/>
      <c r="AK409" s="34"/>
      <c r="AL409" s="34"/>
      <c r="AM409" s="34"/>
      <c r="AN409" s="34"/>
      <c r="AO409" s="37"/>
      <c r="AP409" s="37"/>
      <c r="AQ409" s="37"/>
      <c r="AR409" s="25"/>
      <c r="AS409" s="25"/>
      <c r="AT409" s="38"/>
      <c r="AU409" s="39"/>
      <c r="AV409" s="34"/>
      <c r="AW409" s="34"/>
      <c r="AX409" s="34"/>
    </row>
    <row r="410" spans="2:50">
      <c r="B410" s="33"/>
      <c r="C410" s="25"/>
      <c r="D410" s="34"/>
      <c r="E410" s="34"/>
      <c r="F410" s="34"/>
      <c r="G410" s="35"/>
      <c r="H410" s="35"/>
      <c r="I410" s="35"/>
      <c r="J410" s="25"/>
      <c r="K410" s="34"/>
      <c r="L410" s="35"/>
      <c r="M410" s="34"/>
      <c r="N410" s="34"/>
      <c r="O410" s="37"/>
      <c r="P410" s="35"/>
      <c r="Q410" s="36"/>
      <c r="R410" s="25"/>
      <c r="S410" s="25"/>
      <c r="T410" s="34"/>
      <c r="U410" s="25"/>
      <c r="V410" s="25"/>
      <c r="W410" s="25"/>
      <c r="X410" s="34"/>
      <c r="Y410" s="25"/>
      <c r="Z410" s="25"/>
      <c r="AA410" s="34"/>
      <c r="AG410" s="34"/>
      <c r="AH410" s="34"/>
      <c r="AI410" s="34"/>
      <c r="AJ410" s="34"/>
      <c r="AK410" s="34"/>
      <c r="AL410" s="34"/>
      <c r="AM410" s="34"/>
      <c r="AN410" s="34"/>
      <c r="AO410" s="37"/>
      <c r="AP410" s="37"/>
      <c r="AQ410" s="37"/>
      <c r="AR410" s="25"/>
      <c r="AS410" s="25"/>
      <c r="AT410" s="38"/>
      <c r="AU410" s="39"/>
      <c r="AV410" s="34"/>
      <c r="AW410" s="34"/>
      <c r="AX410" s="34"/>
    </row>
    <row r="411" spans="2:50">
      <c r="B411" s="33"/>
      <c r="C411" s="25"/>
      <c r="D411" s="34"/>
      <c r="E411" s="34"/>
      <c r="F411" s="34"/>
      <c r="G411" s="35"/>
      <c r="H411" s="35"/>
      <c r="I411" s="35"/>
      <c r="J411" s="25"/>
      <c r="K411" s="34"/>
      <c r="L411" s="35"/>
      <c r="M411" s="34"/>
      <c r="N411" s="34"/>
      <c r="O411" s="37"/>
      <c r="P411" s="35"/>
      <c r="Q411" s="36"/>
      <c r="R411" s="25"/>
      <c r="S411" s="25"/>
      <c r="T411" s="34"/>
      <c r="U411" s="25"/>
      <c r="V411" s="25"/>
      <c r="W411" s="25"/>
      <c r="X411" s="34"/>
      <c r="Y411" s="25"/>
      <c r="Z411" s="25"/>
      <c r="AA411" s="34"/>
      <c r="AG411" s="34"/>
      <c r="AH411" s="34"/>
      <c r="AI411" s="34"/>
      <c r="AJ411" s="34"/>
      <c r="AK411" s="34"/>
      <c r="AL411" s="34"/>
      <c r="AM411" s="34"/>
      <c r="AN411" s="34"/>
      <c r="AO411" s="37"/>
      <c r="AP411" s="37"/>
      <c r="AQ411" s="37"/>
      <c r="AR411" s="25"/>
      <c r="AS411" s="25"/>
      <c r="AT411" s="38"/>
      <c r="AU411" s="39"/>
      <c r="AV411" s="34"/>
      <c r="AW411" s="34"/>
      <c r="AX411" s="34"/>
    </row>
    <row r="412" spans="2:50">
      <c r="B412" s="33"/>
      <c r="C412" s="25"/>
      <c r="D412" s="34"/>
      <c r="E412" s="34"/>
      <c r="F412" s="34"/>
      <c r="G412" s="35"/>
      <c r="H412" s="35"/>
      <c r="I412" s="35"/>
      <c r="J412" s="25"/>
      <c r="K412" s="34"/>
      <c r="L412" s="35"/>
      <c r="M412" s="34"/>
      <c r="N412" s="34"/>
      <c r="O412" s="37"/>
      <c r="P412" s="35"/>
      <c r="Q412" s="36"/>
      <c r="R412" s="25"/>
      <c r="S412" s="25"/>
      <c r="T412" s="34"/>
      <c r="U412" s="25"/>
      <c r="V412" s="25"/>
      <c r="W412" s="25"/>
      <c r="X412" s="34"/>
      <c r="Y412" s="25"/>
      <c r="Z412" s="25"/>
      <c r="AA412" s="34"/>
      <c r="AG412" s="34"/>
      <c r="AH412" s="34"/>
      <c r="AI412" s="34"/>
      <c r="AJ412" s="34"/>
      <c r="AK412" s="34"/>
      <c r="AL412" s="34"/>
      <c r="AM412" s="34"/>
      <c r="AN412" s="34"/>
      <c r="AO412" s="37"/>
      <c r="AP412" s="37"/>
      <c r="AQ412" s="37"/>
      <c r="AR412" s="25"/>
      <c r="AS412" s="25"/>
      <c r="AT412" s="38"/>
      <c r="AU412" s="39"/>
      <c r="AV412" s="34"/>
      <c r="AW412" s="34"/>
      <c r="AX412" s="34"/>
    </row>
    <row r="413" spans="2:50">
      <c r="B413" s="33"/>
      <c r="C413" s="25"/>
      <c r="D413" s="34"/>
      <c r="E413" s="34"/>
      <c r="F413" s="34"/>
      <c r="G413" s="35"/>
      <c r="H413" s="35"/>
      <c r="I413" s="35"/>
      <c r="J413" s="25"/>
      <c r="K413" s="34"/>
      <c r="L413" s="35"/>
      <c r="M413" s="34"/>
      <c r="N413" s="34"/>
      <c r="O413" s="37"/>
      <c r="P413" s="35"/>
      <c r="Q413" s="36"/>
      <c r="R413" s="25"/>
      <c r="S413" s="25"/>
      <c r="T413" s="34"/>
      <c r="U413" s="25"/>
      <c r="V413" s="25"/>
      <c r="W413" s="25"/>
      <c r="X413" s="34"/>
      <c r="Y413" s="25"/>
      <c r="Z413" s="25"/>
      <c r="AA413" s="34"/>
      <c r="AG413" s="34"/>
      <c r="AH413" s="34"/>
      <c r="AI413" s="34"/>
      <c r="AJ413" s="34"/>
      <c r="AK413" s="34"/>
      <c r="AL413" s="34"/>
      <c r="AM413" s="34"/>
      <c r="AN413" s="34"/>
      <c r="AO413" s="37"/>
      <c r="AP413" s="37"/>
      <c r="AQ413" s="37"/>
      <c r="AR413" s="25"/>
      <c r="AS413" s="25"/>
      <c r="AT413" s="38"/>
      <c r="AU413" s="39"/>
      <c r="AV413" s="34"/>
      <c r="AW413" s="34"/>
      <c r="AX413" s="34"/>
    </row>
    <row r="414" spans="2:50">
      <c r="B414" s="33"/>
      <c r="C414" s="25"/>
      <c r="D414" s="34"/>
      <c r="E414" s="34"/>
      <c r="F414" s="34"/>
      <c r="G414" s="35"/>
      <c r="H414" s="35"/>
      <c r="I414" s="35"/>
      <c r="J414" s="25"/>
      <c r="K414" s="34"/>
      <c r="L414" s="35"/>
      <c r="M414" s="34"/>
      <c r="N414" s="34"/>
      <c r="O414" s="37"/>
      <c r="P414" s="35"/>
      <c r="Q414" s="36"/>
      <c r="R414" s="25"/>
      <c r="S414" s="25"/>
      <c r="T414" s="34"/>
      <c r="U414" s="25"/>
      <c r="V414" s="25"/>
      <c r="W414" s="25"/>
      <c r="X414" s="34"/>
      <c r="Y414" s="25"/>
      <c r="Z414" s="25"/>
      <c r="AA414" s="34"/>
      <c r="AG414" s="34"/>
      <c r="AH414" s="34"/>
      <c r="AI414" s="34"/>
      <c r="AJ414" s="34"/>
      <c r="AK414" s="34"/>
      <c r="AL414" s="34"/>
      <c r="AM414" s="34"/>
      <c r="AN414" s="34"/>
      <c r="AO414" s="37"/>
      <c r="AP414" s="37"/>
      <c r="AQ414" s="37"/>
      <c r="AR414" s="25"/>
      <c r="AS414" s="25"/>
      <c r="AT414" s="38"/>
      <c r="AU414" s="39"/>
      <c r="AV414" s="34"/>
      <c r="AW414" s="34"/>
      <c r="AX414" s="34"/>
    </row>
    <row r="415" spans="2:50">
      <c r="B415" s="33"/>
      <c r="C415" s="25"/>
      <c r="D415" s="34"/>
      <c r="E415" s="34"/>
      <c r="F415" s="34"/>
      <c r="G415" s="35"/>
      <c r="H415" s="35"/>
      <c r="I415" s="35"/>
      <c r="J415" s="25"/>
      <c r="K415" s="34"/>
      <c r="L415" s="35"/>
      <c r="M415" s="34"/>
      <c r="N415" s="34"/>
      <c r="O415" s="37"/>
      <c r="P415" s="35"/>
      <c r="Q415" s="36"/>
      <c r="R415" s="25"/>
      <c r="S415" s="25"/>
      <c r="T415" s="34"/>
      <c r="U415" s="25"/>
      <c r="V415" s="25"/>
      <c r="W415" s="25"/>
      <c r="X415" s="34"/>
      <c r="Y415" s="25"/>
      <c r="Z415" s="25"/>
      <c r="AA415" s="34"/>
      <c r="AG415" s="34"/>
      <c r="AH415" s="34"/>
      <c r="AI415" s="34"/>
      <c r="AJ415" s="34"/>
      <c r="AK415" s="34"/>
      <c r="AL415" s="34"/>
      <c r="AM415" s="34"/>
      <c r="AN415" s="34"/>
      <c r="AO415" s="37"/>
      <c r="AP415" s="37"/>
      <c r="AQ415" s="37"/>
      <c r="AR415" s="25"/>
      <c r="AS415" s="25"/>
      <c r="AT415" s="38"/>
      <c r="AU415" s="39"/>
      <c r="AV415" s="34"/>
      <c r="AW415" s="34"/>
      <c r="AX415" s="34"/>
    </row>
    <row r="416" spans="2:50">
      <c r="B416" s="33"/>
      <c r="C416" s="25"/>
      <c r="D416" s="34"/>
      <c r="E416" s="34"/>
      <c r="F416" s="34"/>
      <c r="G416" s="35"/>
      <c r="H416" s="35"/>
      <c r="I416" s="35"/>
      <c r="J416" s="25"/>
      <c r="K416" s="34"/>
      <c r="L416" s="35"/>
      <c r="M416" s="34"/>
      <c r="N416" s="34"/>
      <c r="O416" s="37"/>
      <c r="P416" s="35"/>
      <c r="Q416" s="36"/>
      <c r="R416" s="25"/>
      <c r="S416" s="25"/>
      <c r="T416" s="34"/>
      <c r="U416" s="25"/>
      <c r="V416" s="25"/>
      <c r="W416" s="25"/>
      <c r="X416" s="34"/>
      <c r="Y416" s="25"/>
      <c r="Z416" s="25"/>
      <c r="AA416" s="34"/>
      <c r="AG416" s="34"/>
      <c r="AH416" s="34"/>
      <c r="AI416" s="34"/>
      <c r="AJ416" s="34"/>
      <c r="AK416" s="34"/>
      <c r="AL416" s="34"/>
      <c r="AM416" s="34"/>
      <c r="AN416" s="34"/>
      <c r="AO416" s="37"/>
      <c r="AP416" s="37"/>
      <c r="AQ416" s="37"/>
      <c r="AR416" s="25"/>
      <c r="AS416" s="25"/>
      <c r="AT416" s="38"/>
      <c r="AU416" s="39"/>
      <c r="AV416" s="34"/>
      <c r="AW416" s="34"/>
      <c r="AX416" s="34"/>
    </row>
    <row r="417" spans="2:50">
      <c r="B417" s="33"/>
      <c r="C417" s="25"/>
      <c r="D417" s="34"/>
      <c r="E417" s="34"/>
      <c r="F417" s="34"/>
      <c r="G417" s="35"/>
      <c r="H417" s="35"/>
      <c r="I417" s="35"/>
      <c r="J417" s="25"/>
      <c r="K417" s="34"/>
      <c r="L417" s="35"/>
      <c r="M417" s="34"/>
      <c r="N417" s="34"/>
      <c r="O417" s="37"/>
      <c r="P417" s="35"/>
      <c r="Q417" s="36"/>
      <c r="R417" s="25"/>
      <c r="S417" s="25"/>
      <c r="T417" s="34"/>
      <c r="U417" s="25"/>
      <c r="V417" s="25"/>
      <c r="W417" s="25"/>
      <c r="X417" s="34"/>
      <c r="Y417" s="25"/>
      <c r="Z417" s="25"/>
      <c r="AA417" s="34"/>
      <c r="AG417" s="34"/>
      <c r="AH417" s="34"/>
      <c r="AI417" s="34"/>
      <c r="AJ417" s="34"/>
      <c r="AK417" s="34"/>
      <c r="AL417" s="34"/>
      <c r="AM417" s="34"/>
      <c r="AN417" s="34"/>
      <c r="AO417" s="37"/>
      <c r="AP417" s="37"/>
      <c r="AQ417" s="37"/>
      <c r="AR417" s="25"/>
      <c r="AS417" s="25"/>
      <c r="AT417" s="38"/>
      <c r="AU417" s="39"/>
      <c r="AV417" s="34"/>
      <c r="AW417" s="34"/>
      <c r="AX417" s="34"/>
    </row>
    <row r="418" spans="2:50">
      <c r="B418" s="33"/>
      <c r="C418" s="25"/>
      <c r="D418" s="34"/>
      <c r="E418" s="34"/>
      <c r="F418" s="34"/>
      <c r="G418" s="35"/>
      <c r="H418" s="35"/>
      <c r="I418" s="35"/>
      <c r="J418" s="25"/>
      <c r="K418" s="34"/>
      <c r="L418" s="35"/>
      <c r="M418" s="34"/>
      <c r="N418" s="34"/>
      <c r="O418" s="37"/>
      <c r="P418" s="35"/>
      <c r="Q418" s="36"/>
      <c r="R418" s="25"/>
      <c r="S418" s="25"/>
      <c r="T418" s="34"/>
      <c r="U418" s="25"/>
      <c r="V418" s="25"/>
      <c r="W418" s="25"/>
      <c r="X418" s="34"/>
      <c r="Y418" s="25"/>
      <c r="Z418" s="25"/>
      <c r="AA418" s="34"/>
      <c r="AG418" s="34"/>
      <c r="AH418" s="34"/>
      <c r="AI418" s="34"/>
      <c r="AJ418" s="34"/>
      <c r="AK418" s="34"/>
      <c r="AL418" s="34"/>
      <c r="AM418" s="34"/>
      <c r="AN418" s="34"/>
      <c r="AO418" s="37"/>
      <c r="AP418" s="37"/>
      <c r="AQ418" s="37"/>
      <c r="AR418" s="25"/>
      <c r="AS418" s="25"/>
      <c r="AT418" s="38"/>
      <c r="AU418" s="39"/>
      <c r="AV418" s="34"/>
      <c r="AW418" s="34"/>
      <c r="AX418" s="34"/>
    </row>
    <row r="419" spans="2:50">
      <c r="B419" s="33"/>
      <c r="C419" s="25"/>
      <c r="D419" s="34"/>
      <c r="E419" s="34"/>
      <c r="F419" s="34"/>
      <c r="G419" s="35"/>
      <c r="H419" s="35"/>
      <c r="I419" s="35"/>
      <c r="J419" s="25"/>
      <c r="K419" s="34"/>
      <c r="L419" s="35"/>
      <c r="M419" s="34"/>
      <c r="N419" s="34"/>
      <c r="O419" s="37"/>
      <c r="P419" s="35"/>
      <c r="Q419" s="36"/>
      <c r="R419" s="25"/>
      <c r="S419" s="25"/>
      <c r="T419" s="34"/>
      <c r="U419" s="25"/>
      <c r="V419" s="25"/>
      <c r="W419" s="25"/>
      <c r="X419" s="34"/>
      <c r="Y419" s="25"/>
      <c r="Z419" s="25"/>
      <c r="AA419" s="34"/>
      <c r="AG419" s="34"/>
      <c r="AH419" s="34"/>
      <c r="AI419" s="34"/>
      <c r="AJ419" s="34"/>
      <c r="AK419" s="34"/>
      <c r="AL419" s="34"/>
      <c r="AM419" s="34"/>
      <c r="AN419" s="34"/>
      <c r="AO419" s="37"/>
      <c r="AP419" s="37"/>
      <c r="AQ419" s="37"/>
      <c r="AR419" s="25"/>
      <c r="AS419" s="25"/>
      <c r="AT419" s="38"/>
      <c r="AU419" s="39"/>
      <c r="AV419" s="34"/>
      <c r="AW419" s="34"/>
      <c r="AX419" s="34"/>
    </row>
    <row r="420" spans="2:50">
      <c r="B420" s="33"/>
      <c r="C420" s="25"/>
      <c r="D420" s="34"/>
      <c r="E420" s="34"/>
      <c r="F420" s="34"/>
      <c r="G420" s="35"/>
      <c r="H420" s="35"/>
      <c r="I420" s="35"/>
      <c r="J420" s="25"/>
      <c r="K420" s="34"/>
      <c r="L420" s="35"/>
      <c r="M420" s="34"/>
      <c r="N420" s="34"/>
      <c r="O420" s="37"/>
      <c r="P420" s="35"/>
      <c r="Q420" s="36"/>
      <c r="R420" s="25"/>
      <c r="S420" s="25"/>
      <c r="T420" s="34"/>
      <c r="U420" s="25"/>
      <c r="V420" s="25"/>
      <c r="W420" s="25"/>
      <c r="X420" s="34"/>
      <c r="Y420" s="25"/>
      <c r="Z420" s="25"/>
      <c r="AA420" s="34"/>
      <c r="AG420" s="34"/>
      <c r="AH420" s="34"/>
      <c r="AI420" s="34"/>
      <c r="AJ420" s="34"/>
      <c r="AK420" s="34"/>
      <c r="AL420" s="34"/>
      <c r="AM420" s="34"/>
      <c r="AN420" s="34"/>
      <c r="AO420" s="37"/>
      <c r="AP420" s="37"/>
      <c r="AQ420" s="37"/>
      <c r="AR420" s="25"/>
      <c r="AS420" s="25"/>
      <c r="AT420" s="38"/>
      <c r="AU420" s="39"/>
      <c r="AV420" s="34"/>
      <c r="AW420" s="34"/>
      <c r="AX420" s="34"/>
    </row>
    <row r="421" spans="2:50">
      <c r="B421" s="33"/>
      <c r="C421" s="25"/>
      <c r="D421" s="34"/>
      <c r="E421" s="34"/>
      <c r="F421" s="34"/>
      <c r="G421" s="35"/>
      <c r="H421" s="35"/>
      <c r="I421" s="35"/>
      <c r="J421" s="25"/>
      <c r="K421" s="34"/>
      <c r="L421" s="35"/>
      <c r="M421" s="34"/>
      <c r="N421" s="34"/>
      <c r="O421" s="37"/>
      <c r="P421" s="35"/>
      <c r="Q421" s="36"/>
      <c r="R421" s="25"/>
      <c r="S421" s="25"/>
      <c r="T421" s="34"/>
      <c r="U421" s="25"/>
      <c r="V421" s="25"/>
      <c r="W421" s="25"/>
      <c r="X421" s="34"/>
      <c r="Y421" s="25"/>
      <c r="Z421" s="25"/>
      <c r="AA421" s="34"/>
      <c r="AG421" s="34"/>
      <c r="AH421" s="34"/>
      <c r="AI421" s="34"/>
      <c r="AJ421" s="34"/>
      <c r="AK421" s="34"/>
      <c r="AL421" s="34"/>
      <c r="AM421" s="34"/>
      <c r="AN421" s="34"/>
      <c r="AO421" s="37"/>
      <c r="AP421" s="37"/>
      <c r="AQ421" s="37"/>
      <c r="AR421" s="25"/>
      <c r="AS421" s="25"/>
      <c r="AT421" s="38"/>
      <c r="AU421" s="39"/>
      <c r="AV421" s="34"/>
      <c r="AW421" s="34"/>
      <c r="AX421" s="34"/>
    </row>
    <row r="422" spans="2:50">
      <c r="B422" s="33"/>
      <c r="C422" s="25"/>
      <c r="D422" s="34"/>
      <c r="E422" s="34"/>
      <c r="F422" s="34"/>
      <c r="G422" s="35"/>
      <c r="H422" s="35"/>
      <c r="I422" s="35"/>
      <c r="J422" s="25"/>
      <c r="K422" s="34"/>
      <c r="L422" s="35"/>
      <c r="M422" s="34"/>
      <c r="N422" s="34"/>
      <c r="O422" s="37"/>
      <c r="P422" s="35"/>
      <c r="Q422" s="36"/>
      <c r="R422" s="25"/>
      <c r="S422" s="25"/>
      <c r="T422" s="34"/>
      <c r="U422" s="25"/>
      <c r="V422" s="25"/>
      <c r="W422" s="25"/>
      <c r="X422" s="34"/>
      <c r="Y422" s="25"/>
      <c r="Z422" s="25"/>
      <c r="AA422" s="34"/>
      <c r="AG422" s="34"/>
      <c r="AH422" s="34"/>
      <c r="AI422" s="34"/>
      <c r="AJ422" s="34"/>
      <c r="AK422" s="34"/>
      <c r="AL422" s="34"/>
      <c r="AM422" s="34"/>
      <c r="AN422" s="34"/>
      <c r="AO422" s="37"/>
      <c r="AP422" s="37"/>
      <c r="AQ422" s="37"/>
      <c r="AR422" s="25"/>
      <c r="AS422" s="25"/>
      <c r="AT422" s="38"/>
      <c r="AU422" s="39"/>
      <c r="AV422" s="34"/>
      <c r="AW422" s="34"/>
      <c r="AX422" s="34"/>
    </row>
    <row r="423" spans="2:50">
      <c r="B423" s="33"/>
      <c r="C423" s="25"/>
      <c r="D423" s="34"/>
      <c r="E423" s="34"/>
      <c r="F423" s="34"/>
      <c r="G423" s="35"/>
      <c r="H423" s="35"/>
      <c r="I423" s="35"/>
      <c r="J423" s="25"/>
      <c r="K423" s="34"/>
      <c r="L423" s="35"/>
      <c r="M423" s="34"/>
      <c r="N423" s="34"/>
      <c r="O423" s="37"/>
      <c r="P423" s="35"/>
      <c r="Q423" s="36"/>
      <c r="R423" s="25"/>
      <c r="S423" s="25"/>
      <c r="T423" s="34"/>
      <c r="U423" s="25"/>
      <c r="V423" s="25"/>
      <c r="W423" s="25"/>
      <c r="X423" s="34"/>
      <c r="Y423" s="25"/>
      <c r="Z423" s="25"/>
      <c r="AA423" s="34"/>
      <c r="AG423" s="34"/>
      <c r="AH423" s="34"/>
      <c r="AI423" s="34"/>
      <c r="AJ423" s="34"/>
      <c r="AK423" s="34"/>
      <c r="AL423" s="34"/>
      <c r="AM423" s="34"/>
      <c r="AN423" s="34"/>
      <c r="AO423" s="37"/>
      <c r="AP423" s="37"/>
      <c r="AQ423" s="37"/>
      <c r="AR423" s="25"/>
      <c r="AS423" s="25"/>
      <c r="AT423" s="38"/>
      <c r="AU423" s="39"/>
      <c r="AV423" s="34"/>
      <c r="AW423" s="34"/>
      <c r="AX423" s="34"/>
    </row>
    <row r="424" spans="2:50">
      <c r="B424" s="33"/>
      <c r="C424" s="25"/>
      <c r="D424" s="34"/>
      <c r="E424" s="34"/>
      <c r="F424" s="34"/>
      <c r="G424" s="35"/>
      <c r="H424" s="35"/>
      <c r="I424" s="35"/>
      <c r="J424" s="25"/>
      <c r="K424" s="34"/>
      <c r="L424" s="35"/>
      <c r="M424" s="34"/>
      <c r="N424" s="34"/>
      <c r="O424" s="37"/>
      <c r="P424" s="35"/>
      <c r="Q424" s="36"/>
      <c r="R424" s="25"/>
      <c r="S424" s="25"/>
      <c r="T424" s="34"/>
      <c r="U424" s="25"/>
      <c r="V424" s="25"/>
      <c r="W424" s="25"/>
      <c r="X424" s="34"/>
      <c r="Y424" s="25"/>
      <c r="Z424" s="25"/>
      <c r="AA424" s="34"/>
      <c r="AG424" s="34"/>
      <c r="AH424" s="34"/>
      <c r="AI424" s="34"/>
      <c r="AJ424" s="34"/>
      <c r="AK424" s="34"/>
      <c r="AL424" s="34"/>
      <c r="AM424" s="34"/>
      <c r="AN424" s="34"/>
      <c r="AO424" s="37"/>
      <c r="AP424" s="37"/>
      <c r="AQ424" s="37"/>
      <c r="AR424" s="25"/>
      <c r="AS424" s="25"/>
      <c r="AT424" s="38"/>
      <c r="AU424" s="39"/>
      <c r="AV424" s="34"/>
      <c r="AW424" s="34"/>
      <c r="AX424" s="34"/>
    </row>
    <row r="425" spans="2:50">
      <c r="B425" s="33"/>
      <c r="C425" s="25"/>
      <c r="D425" s="34"/>
      <c r="E425" s="34"/>
      <c r="F425" s="34"/>
      <c r="G425" s="35"/>
      <c r="H425" s="35"/>
      <c r="I425" s="35"/>
      <c r="J425" s="25"/>
      <c r="K425" s="34"/>
      <c r="L425" s="35"/>
      <c r="M425" s="34"/>
      <c r="N425" s="34"/>
      <c r="O425" s="37"/>
      <c r="P425" s="35"/>
      <c r="Q425" s="36"/>
      <c r="R425" s="25"/>
      <c r="S425" s="25"/>
      <c r="T425" s="34"/>
      <c r="U425" s="25"/>
      <c r="V425" s="25"/>
      <c r="W425" s="25"/>
      <c r="X425" s="34"/>
      <c r="Y425" s="25"/>
      <c r="Z425" s="25"/>
      <c r="AA425" s="34"/>
      <c r="AG425" s="34"/>
      <c r="AH425" s="34"/>
      <c r="AI425" s="34"/>
      <c r="AJ425" s="34"/>
      <c r="AK425" s="34"/>
      <c r="AL425" s="34"/>
      <c r="AM425" s="34"/>
      <c r="AN425" s="34"/>
      <c r="AO425" s="37"/>
      <c r="AP425" s="37"/>
      <c r="AQ425" s="37"/>
      <c r="AR425" s="25"/>
      <c r="AS425" s="25"/>
      <c r="AT425" s="38"/>
      <c r="AU425" s="39"/>
      <c r="AV425" s="34"/>
      <c r="AW425" s="34"/>
      <c r="AX425" s="34"/>
    </row>
    <row r="426" spans="2:50">
      <c r="B426" s="33"/>
      <c r="C426" s="25"/>
      <c r="D426" s="34"/>
      <c r="E426" s="34"/>
      <c r="F426" s="34"/>
      <c r="G426" s="35"/>
      <c r="H426" s="35"/>
      <c r="I426" s="35"/>
      <c r="J426" s="25"/>
      <c r="K426" s="34"/>
      <c r="L426" s="35"/>
      <c r="M426" s="34"/>
      <c r="N426" s="34"/>
      <c r="O426" s="37"/>
      <c r="P426" s="35"/>
      <c r="Q426" s="36"/>
      <c r="R426" s="25"/>
      <c r="S426" s="25"/>
      <c r="T426" s="34"/>
      <c r="U426" s="25"/>
      <c r="V426" s="25"/>
      <c r="W426" s="25"/>
      <c r="X426" s="34"/>
      <c r="Y426" s="25"/>
      <c r="Z426" s="25"/>
      <c r="AA426" s="34"/>
      <c r="AG426" s="34"/>
      <c r="AH426" s="34"/>
      <c r="AI426" s="34"/>
      <c r="AJ426" s="34"/>
      <c r="AK426" s="34"/>
      <c r="AL426" s="34"/>
      <c r="AM426" s="34"/>
      <c r="AN426" s="34"/>
      <c r="AO426" s="37"/>
      <c r="AP426" s="37"/>
      <c r="AQ426" s="37"/>
      <c r="AR426" s="25"/>
      <c r="AS426" s="25"/>
      <c r="AT426" s="38"/>
      <c r="AU426" s="39"/>
      <c r="AV426" s="34"/>
      <c r="AW426" s="34"/>
      <c r="AX426" s="34"/>
    </row>
    <row r="427" spans="2:50">
      <c r="B427" s="33"/>
      <c r="C427" s="25"/>
      <c r="D427" s="34"/>
      <c r="E427" s="34"/>
      <c r="F427" s="34"/>
      <c r="G427" s="35"/>
      <c r="H427" s="35"/>
      <c r="I427" s="35"/>
      <c r="J427" s="25"/>
      <c r="K427" s="34"/>
      <c r="L427" s="35"/>
      <c r="M427" s="34"/>
      <c r="N427" s="34"/>
      <c r="O427" s="37"/>
      <c r="P427" s="35"/>
      <c r="Q427" s="36"/>
      <c r="R427" s="25"/>
      <c r="S427" s="25"/>
      <c r="T427" s="34"/>
      <c r="U427" s="25"/>
      <c r="V427" s="25"/>
      <c r="W427" s="25"/>
      <c r="X427" s="34"/>
      <c r="Y427" s="25"/>
      <c r="Z427" s="25"/>
      <c r="AA427" s="34"/>
      <c r="AG427" s="34"/>
      <c r="AH427" s="34"/>
      <c r="AI427" s="34"/>
      <c r="AJ427" s="34"/>
      <c r="AK427" s="34"/>
      <c r="AL427" s="34"/>
      <c r="AM427" s="34"/>
      <c r="AN427" s="34"/>
      <c r="AO427" s="37"/>
      <c r="AP427" s="37"/>
      <c r="AQ427" s="37"/>
      <c r="AR427" s="25"/>
      <c r="AS427" s="25"/>
      <c r="AT427" s="38"/>
      <c r="AU427" s="39"/>
      <c r="AV427" s="34"/>
      <c r="AW427" s="34"/>
      <c r="AX427" s="34"/>
    </row>
    <row r="428" spans="2:50">
      <c r="B428" s="33"/>
      <c r="C428" s="25"/>
      <c r="D428" s="34"/>
      <c r="E428" s="34"/>
      <c r="F428" s="34"/>
      <c r="G428" s="35"/>
      <c r="H428" s="35"/>
      <c r="I428" s="35"/>
      <c r="J428" s="25"/>
      <c r="K428" s="34"/>
      <c r="L428" s="35"/>
      <c r="M428" s="34"/>
      <c r="N428" s="34"/>
      <c r="O428" s="37"/>
      <c r="P428" s="35"/>
      <c r="Q428" s="36"/>
      <c r="R428" s="25"/>
      <c r="S428" s="25"/>
      <c r="T428" s="34"/>
      <c r="U428" s="25"/>
      <c r="V428" s="25"/>
      <c r="W428" s="25"/>
      <c r="X428" s="34"/>
      <c r="Y428" s="25"/>
      <c r="Z428" s="25"/>
      <c r="AA428" s="34"/>
      <c r="AG428" s="34"/>
      <c r="AH428" s="34"/>
      <c r="AI428" s="34"/>
      <c r="AJ428" s="34"/>
      <c r="AK428" s="34"/>
      <c r="AL428" s="34"/>
      <c r="AM428" s="34"/>
      <c r="AN428" s="34"/>
      <c r="AO428" s="37"/>
      <c r="AP428" s="37"/>
      <c r="AQ428" s="37"/>
      <c r="AR428" s="25"/>
      <c r="AS428" s="25"/>
      <c r="AT428" s="38"/>
      <c r="AU428" s="39"/>
      <c r="AV428" s="34"/>
      <c r="AW428" s="34"/>
      <c r="AX428" s="34"/>
    </row>
    <row r="429" spans="2:50">
      <c r="B429" s="33"/>
      <c r="C429" s="25"/>
      <c r="D429" s="34"/>
      <c r="E429" s="34"/>
      <c r="F429" s="34"/>
      <c r="G429" s="35"/>
      <c r="H429" s="35"/>
      <c r="I429" s="35"/>
      <c r="J429" s="25"/>
      <c r="K429" s="34"/>
      <c r="L429" s="35"/>
      <c r="M429" s="34"/>
      <c r="N429" s="34"/>
      <c r="O429" s="37"/>
      <c r="P429" s="35"/>
      <c r="Q429" s="36"/>
      <c r="R429" s="25"/>
      <c r="S429" s="25"/>
      <c r="T429" s="34"/>
      <c r="U429" s="25"/>
      <c r="V429" s="25"/>
      <c r="W429" s="25"/>
      <c r="X429" s="34"/>
      <c r="Y429" s="25"/>
      <c r="Z429" s="25"/>
      <c r="AA429" s="34"/>
      <c r="AG429" s="34"/>
      <c r="AH429" s="34"/>
      <c r="AI429" s="34"/>
      <c r="AJ429" s="34"/>
      <c r="AK429" s="34"/>
      <c r="AL429" s="34"/>
      <c r="AM429" s="34"/>
      <c r="AN429" s="34"/>
      <c r="AO429" s="37"/>
      <c r="AP429" s="37"/>
      <c r="AQ429" s="37"/>
      <c r="AR429" s="25"/>
      <c r="AS429" s="25"/>
      <c r="AT429" s="38"/>
      <c r="AU429" s="39"/>
      <c r="AV429" s="34"/>
      <c r="AW429" s="34"/>
      <c r="AX429" s="34"/>
    </row>
    <row r="430" spans="2:50">
      <c r="B430" s="33"/>
      <c r="C430" s="25"/>
      <c r="D430" s="34"/>
      <c r="E430" s="34"/>
      <c r="F430" s="34"/>
      <c r="G430" s="35"/>
      <c r="H430" s="35"/>
      <c r="I430" s="35"/>
      <c r="J430" s="25"/>
      <c r="K430" s="34"/>
      <c r="L430" s="35"/>
      <c r="M430" s="34"/>
      <c r="N430" s="34"/>
      <c r="O430" s="37"/>
      <c r="P430" s="35"/>
      <c r="Q430" s="36"/>
      <c r="R430" s="25"/>
      <c r="S430" s="25"/>
      <c r="T430" s="34"/>
      <c r="U430" s="25"/>
      <c r="V430" s="25"/>
      <c r="W430" s="25"/>
      <c r="X430" s="34"/>
      <c r="Y430" s="25"/>
      <c r="Z430" s="25"/>
      <c r="AA430" s="34"/>
      <c r="AG430" s="34"/>
      <c r="AH430" s="34"/>
      <c r="AI430" s="34"/>
      <c r="AJ430" s="34"/>
      <c r="AK430" s="34"/>
      <c r="AL430" s="34"/>
      <c r="AM430" s="34"/>
      <c r="AN430" s="34"/>
      <c r="AO430" s="37"/>
      <c r="AP430" s="37"/>
      <c r="AQ430" s="37"/>
      <c r="AR430" s="25"/>
      <c r="AS430" s="25"/>
      <c r="AT430" s="38"/>
      <c r="AU430" s="39"/>
      <c r="AV430" s="34"/>
      <c r="AW430" s="34"/>
      <c r="AX430" s="34"/>
    </row>
    <row r="431" spans="2:50">
      <c r="B431" s="33"/>
      <c r="C431" s="25"/>
      <c r="D431" s="34"/>
      <c r="E431" s="34"/>
      <c r="F431" s="34"/>
      <c r="G431" s="35"/>
      <c r="H431" s="35"/>
      <c r="I431" s="35"/>
      <c r="J431" s="25"/>
      <c r="K431" s="34"/>
      <c r="L431" s="35"/>
      <c r="M431" s="34"/>
      <c r="N431" s="34"/>
      <c r="O431" s="37"/>
      <c r="P431" s="35"/>
      <c r="Q431" s="36"/>
      <c r="R431" s="25"/>
      <c r="S431" s="25"/>
      <c r="T431" s="34"/>
      <c r="U431" s="25"/>
      <c r="V431" s="25"/>
      <c r="W431" s="25"/>
      <c r="X431" s="34"/>
      <c r="Y431" s="25"/>
      <c r="Z431" s="25"/>
      <c r="AA431" s="34"/>
      <c r="AG431" s="34"/>
      <c r="AH431" s="34"/>
      <c r="AI431" s="34"/>
      <c r="AJ431" s="34"/>
      <c r="AK431" s="34"/>
      <c r="AL431" s="34"/>
      <c r="AM431" s="34"/>
      <c r="AN431" s="34"/>
      <c r="AO431" s="37"/>
      <c r="AP431" s="37"/>
      <c r="AQ431" s="37"/>
      <c r="AR431" s="25"/>
      <c r="AS431" s="25"/>
      <c r="AT431" s="38"/>
      <c r="AU431" s="39"/>
      <c r="AV431" s="34"/>
      <c r="AW431" s="34"/>
      <c r="AX431" s="34"/>
    </row>
    <row r="432" spans="2:50">
      <c r="B432" s="33"/>
      <c r="C432" s="25"/>
      <c r="D432" s="34"/>
      <c r="E432" s="34"/>
      <c r="F432" s="34"/>
      <c r="G432" s="35"/>
      <c r="H432" s="35"/>
      <c r="I432" s="35"/>
      <c r="J432" s="25"/>
      <c r="K432" s="34"/>
      <c r="L432" s="35"/>
      <c r="M432" s="34"/>
      <c r="N432" s="34"/>
      <c r="O432" s="37"/>
      <c r="P432" s="35"/>
      <c r="Q432" s="36"/>
      <c r="R432" s="25"/>
      <c r="S432" s="25"/>
      <c r="T432" s="34"/>
      <c r="U432" s="25"/>
      <c r="V432" s="25"/>
      <c r="W432" s="25"/>
      <c r="X432" s="34"/>
      <c r="Y432" s="25"/>
      <c r="Z432" s="25"/>
      <c r="AA432" s="34"/>
      <c r="AG432" s="34"/>
      <c r="AH432" s="34"/>
      <c r="AI432" s="34"/>
      <c r="AJ432" s="34"/>
      <c r="AK432" s="34"/>
      <c r="AL432" s="34"/>
      <c r="AM432" s="34"/>
      <c r="AN432" s="34"/>
      <c r="AO432" s="37"/>
      <c r="AP432" s="37"/>
      <c r="AQ432" s="37"/>
      <c r="AR432" s="25"/>
      <c r="AS432" s="25"/>
      <c r="AT432" s="38"/>
      <c r="AU432" s="39"/>
      <c r="AV432" s="34"/>
      <c r="AW432" s="34"/>
      <c r="AX432" s="34"/>
    </row>
    <row r="433" spans="2:50">
      <c r="B433" s="33"/>
      <c r="C433" s="25"/>
      <c r="D433" s="34"/>
      <c r="E433" s="34"/>
      <c r="F433" s="34"/>
      <c r="G433" s="35"/>
      <c r="H433" s="35"/>
      <c r="I433" s="35"/>
      <c r="J433" s="25"/>
      <c r="K433" s="34"/>
      <c r="L433" s="35"/>
      <c r="M433" s="34"/>
      <c r="N433" s="34"/>
      <c r="O433" s="37"/>
      <c r="P433" s="35"/>
      <c r="Q433" s="36"/>
      <c r="R433" s="25"/>
      <c r="S433" s="25"/>
      <c r="T433" s="34"/>
      <c r="U433" s="25"/>
      <c r="V433" s="25"/>
      <c r="W433" s="25"/>
      <c r="X433" s="34"/>
      <c r="Y433" s="25"/>
      <c r="Z433" s="25"/>
      <c r="AA433" s="34"/>
      <c r="AG433" s="34"/>
      <c r="AH433" s="34"/>
      <c r="AI433" s="34"/>
      <c r="AJ433" s="34"/>
      <c r="AK433" s="34"/>
      <c r="AL433" s="34"/>
      <c r="AM433" s="34"/>
      <c r="AN433" s="34"/>
      <c r="AO433" s="37"/>
      <c r="AP433" s="37"/>
      <c r="AQ433" s="37"/>
      <c r="AR433" s="25"/>
      <c r="AS433" s="25"/>
      <c r="AT433" s="38"/>
      <c r="AU433" s="39"/>
      <c r="AV433" s="34"/>
      <c r="AW433" s="34"/>
      <c r="AX433" s="34"/>
    </row>
    <row r="434" spans="2:50">
      <c r="B434" s="33"/>
      <c r="C434" s="25"/>
      <c r="D434" s="34"/>
      <c r="E434" s="34"/>
      <c r="F434" s="34"/>
      <c r="G434" s="35"/>
      <c r="H434" s="35"/>
      <c r="I434" s="35"/>
      <c r="J434" s="25"/>
      <c r="K434" s="34"/>
      <c r="L434" s="35"/>
      <c r="M434" s="34"/>
      <c r="N434" s="34"/>
      <c r="O434" s="37"/>
      <c r="P434" s="35"/>
      <c r="Q434" s="36"/>
      <c r="R434" s="25"/>
      <c r="S434" s="25"/>
      <c r="T434" s="34"/>
      <c r="U434" s="25"/>
      <c r="V434" s="25"/>
      <c r="W434" s="25"/>
      <c r="X434" s="34"/>
      <c r="Y434" s="25"/>
      <c r="Z434" s="25"/>
      <c r="AA434" s="34"/>
      <c r="AG434" s="34"/>
      <c r="AH434" s="34"/>
      <c r="AI434" s="34"/>
      <c r="AJ434" s="34"/>
      <c r="AK434" s="34"/>
      <c r="AL434" s="34"/>
      <c r="AM434" s="34"/>
      <c r="AN434" s="34"/>
      <c r="AO434" s="37"/>
      <c r="AP434" s="37"/>
      <c r="AQ434" s="37"/>
      <c r="AR434" s="25"/>
      <c r="AS434" s="25"/>
      <c r="AT434" s="38"/>
      <c r="AU434" s="39"/>
      <c r="AV434" s="34"/>
      <c r="AW434" s="34"/>
      <c r="AX434" s="34"/>
    </row>
    <row r="435" spans="2:50">
      <c r="B435" s="33"/>
      <c r="C435" s="25"/>
      <c r="D435" s="34"/>
      <c r="E435" s="34"/>
      <c r="F435" s="34"/>
      <c r="G435" s="35"/>
      <c r="H435" s="35"/>
      <c r="I435" s="35"/>
      <c r="J435" s="25"/>
      <c r="K435" s="34"/>
      <c r="L435" s="35"/>
      <c r="M435" s="34"/>
      <c r="N435" s="34"/>
      <c r="O435" s="37"/>
      <c r="P435" s="35"/>
      <c r="Q435" s="36"/>
      <c r="R435" s="25"/>
      <c r="S435" s="25"/>
      <c r="T435" s="34"/>
      <c r="U435" s="25"/>
      <c r="V435" s="25"/>
      <c r="W435" s="25"/>
      <c r="X435" s="34"/>
      <c r="Y435" s="25"/>
      <c r="Z435" s="25"/>
      <c r="AA435" s="34"/>
      <c r="AG435" s="34"/>
      <c r="AH435" s="34"/>
      <c r="AI435" s="34"/>
      <c r="AJ435" s="34"/>
      <c r="AK435" s="34"/>
      <c r="AL435" s="34"/>
      <c r="AM435" s="34"/>
      <c r="AN435" s="34"/>
      <c r="AO435" s="37"/>
      <c r="AP435" s="37"/>
      <c r="AQ435" s="37"/>
      <c r="AR435" s="25"/>
      <c r="AS435" s="25"/>
      <c r="AT435" s="38"/>
      <c r="AU435" s="39"/>
      <c r="AV435" s="34"/>
      <c r="AW435" s="34"/>
      <c r="AX435" s="34"/>
    </row>
    <row r="436" spans="2:50">
      <c r="B436" s="33"/>
      <c r="C436" s="25"/>
      <c r="D436" s="34"/>
      <c r="E436" s="34"/>
      <c r="F436" s="34"/>
      <c r="G436" s="35"/>
      <c r="H436" s="35"/>
      <c r="I436" s="35"/>
      <c r="J436" s="25"/>
      <c r="K436" s="34"/>
      <c r="L436" s="35"/>
      <c r="M436" s="34"/>
      <c r="N436" s="34"/>
      <c r="O436" s="37"/>
      <c r="P436" s="35"/>
      <c r="Q436" s="36"/>
      <c r="R436" s="25"/>
      <c r="S436" s="25"/>
      <c r="T436" s="34"/>
      <c r="U436" s="25"/>
      <c r="V436" s="25"/>
      <c r="W436" s="25"/>
      <c r="X436" s="34"/>
      <c r="Y436" s="25"/>
      <c r="Z436" s="25"/>
      <c r="AA436" s="34"/>
      <c r="AG436" s="34"/>
      <c r="AH436" s="34"/>
      <c r="AI436" s="34"/>
      <c r="AJ436" s="34"/>
      <c r="AK436" s="34"/>
      <c r="AL436" s="34"/>
      <c r="AM436" s="34"/>
      <c r="AN436" s="34"/>
      <c r="AO436" s="37"/>
      <c r="AP436" s="37"/>
      <c r="AQ436" s="37"/>
      <c r="AR436" s="25"/>
      <c r="AS436" s="25"/>
      <c r="AT436" s="38"/>
      <c r="AU436" s="39"/>
      <c r="AV436" s="34"/>
      <c r="AW436" s="34"/>
      <c r="AX436" s="34"/>
    </row>
    <row r="437" spans="2:50">
      <c r="B437" s="33"/>
      <c r="C437" s="25"/>
      <c r="D437" s="34"/>
      <c r="E437" s="34"/>
      <c r="F437" s="34"/>
      <c r="G437" s="35"/>
      <c r="H437" s="35"/>
      <c r="I437" s="35"/>
      <c r="J437" s="25"/>
      <c r="K437" s="34"/>
      <c r="L437" s="35"/>
      <c r="M437" s="34"/>
      <c r="N437" s="34"/>
      <c r="O437" s="37"/>
      <c r="P437" s="35"/>
      <c r="Q437" s="36"/>
      <c r="R437" s="25"/>
      <c r="S437" s="25"/>
      <c r="T437" s="34"/>
      <c r="U437" s="25"/>
      <c r="V437" s="25"/>
      <c r="W437" s="25"/>
      <c r="X437" s="34"/>
      <c r="Y437" s="25"/>
      <c r="Z437" s="25"/>
      <c r="AA437" s="34"/>
      <c r="AG437" s="34"/>
      <c r="AH437" s="34"/>
      <c r="AI437" s="34"/>
      <c r="AJ437" s="34"/>
      <c r="AK437" s="34"/>
      <c r="AL437" s="34"/>
      <c r="AM437" s="34"/>
      <c r="AN437" s="34"/>
      <c r="AO437" s="37"/>
      <c r="AP437" s="37"/>
      <c r="AQ437" s="37"/>
      <c r="AR437" s="25"/>
      <c r="AS437" s="25"/>
      <c r="AT437" s="38"/>
      <c r="AU437" s="39"/>
      <c r="AV437" s="34"/>
      <c r="AW437" s="34"/>
      <c r="AX437" s="34"/>
    </row>
    <row r="438" spans="2:50">
      <c r="B438" s="33"/>
      <c r="C438" s="25"/>
      <c r="D438" s="34"/>
      <c r="E438" s="34"/>
      <c r="F438" s="34"/>
      <c r="G438" s="35"/>
      <c r="H438" s="35"/>
      <c r="I438" s="35"/>
      <c r="J438" s="25"/>
      <c r="K438" s="34"/>
      <c r="L438" s="35"/>
      <c r="M438" s="34"/>
      <c r="N438" s="34"/>
      <c r="O438" s="37"/>
      <c r="P438" s="35"/>
      <c r="Q438" s="36"/>
      <c r="R438" s="25"/>
      <c r="S438" s="25"/>
      <c r="T438" s="34"/>
      <c r="U438" s="25"/>
      <c r="V438" s="25"/>
      <c r="W438" s="25"/>
      <c r="X438" s="34"/>
      <c r="Y438" s="25"/>
      <c r="Z438" s="25"/>
      <c r="AA438" s="34"/>
      <c r="AG438" s="34"/>
      <c r="AH438" s="34"/>
      <c r="AI438" s="34"/>
      <c r="AJ438" s="34"/>
      <c r="AK438" s="34"/>
      <c r="AL438" s="34"/>
      <c r="AM438" s="34"/>
      <c r="AN438" s="34"/>
      <c r="AO438" s="37"/>
      <c r="AP438" s="37"/>
      <c r="AQ438" s="37"/>
      <c r="AR438" s="25"/>
      <c r="AS438" s="25"/>
      <c r="AT438" s="38"/>
      <c r="AU438" s="39"/>
      <c r="AV438" s="34"/>
      <c r="AW438" s="34"/>
      <c r="AX438" s="34"/>
    </row>
    <row r="439" spans="2:50">
      <c r="B439" s="33"/>
      <c r="C439" s="25"/>
      <c r="D439" s="34"/>
      <c r="E439" s="34"/>
      <c r="F439" s="34"/>
      <c r="G439" s="35"/>
      <c r="H439" s="35"/>
      <c r="I439" s="35"/>
      <c r="J439" s="25"/>
      <c r="K439" s="34"/>
      <c r="L439" s="35"/>
      <c r="M439" s="34"/>
      <c r="N439" s="34"/>
      <c r="O439" s="37"/>
      <c r="P439" s="35"/>
      <c r="Q439" s="36"/>
      <c r="R439" s="25"/>
      <c r="S439" s="25"/>
      <c r="T439" s="34"/>
      <c r="U439" s="25"/>
      <c r="V439" s="25"/>
      <c r="W439" s="25"/>
      <c r="X439" s="34"/>
      <c r="Y439" s="25"/>
      <c r="Z439" s="25"/>
      <c r="AA439" s="34"/>
      <c r="AG439" s="34"/>
      <c r="AH439" s="34"/>
      <c r="AI439" s="34"/>
      <c r="AJ439" s="34"/>
      <c r="AK439" s="34"/>
      <c r="AL439" s="34"/>
      <c r="AM439" s="34"/>
      <c r="AN439" s="34"/>
      <c r="AO439" s="37"/>
      <c r="AP439" s="37"/>
      <c r="AQ439" s="37"/>
      <c r="AR439" s="25"/>
      <c r="AS439" s="25"/>
      <c r="AT439" s="38"/>
      <c r="AU439" s="39"/>
      <c r="AV439" s="34"/>
      <c r="AW439" s="34"/>
      <c r="AX439" s="34"/>
    </row>
    <row r="440" spans="2:50">
      <c r="B440" s="33"/>
      <c r="C440" s="25"/>
      <c r="D440" s="34"/>
      <c r="E440" s="34"/>
      <c r="F440" s="34"/>
      <c r="G440" s="35"/>
      <c r="H440" s="35"/>
      <c r="I440" s="35"/>
      <c r="J440" s="25"/>
      <c r="K440" s="34"/>
      <c r="L440" s="35"/>
      <c r="M440" s="34"/>
      <c r="N440" s="34"/>
      <c r="O440" s="37"/>
      <c r="P440" s="35"/>
      <c r="Q440" s="36"/>
      <c r="R440" s="25"/>
      <c r="S440" s="25"/>
      <c r="T440" s="34"/>
      <c r="U440" s="25"/>
      <c r="V440" s="25"/>
      <c r="W440" s="25"/>
      <c r="X440" s="34"/>
      <c r="Y440" s="25"/>
      <c r="Z440" s="25"/>
      <c r="AA440" s="34"/>
      <c r="AG440" s="34"/>
      <c r="AH440" s="34"/>
      <c r="AI440" s="34"/>
      <c r="AJ440" s="34"/>
      <c r="AK440" s="34"/>
      <c r="AL440" s="34"/>
      <c r="AM440" s="34"/>
      <c r="AN440" s="34"/>
      <c r="AO440" s="37"/>
      <c r="AP440" s="37"/>
      <c r="AQ440" s="37"/>
      <c r="AR440" s="25"/>
      <c r="AS440" s="25"/>
      <c r="AT440" s="38"/>
      <c r="AU440" s="39"/>
      <c r="AV440" s="34"/>
      <c r="AW440" s="34"/>
      <c r="AX440" s="34"/>
    </row>
    <row r="441" spans="2:50">
      <c r="B441" s="33"/>
      <c r="C441" s="25"/>
      <c r="D441" s="34"/>
      <c r="E441" s="34"/>
      <c r="F441" s="34"/>
      <c r="G441" s="35"/>
      <c r="H441" s="35"/>
      <c r="I441" s="35"/>
      <c r="J441" s="25"/>
      <c r="K441" s="34"/>
      <c r="L441" s="35"/>
      <c r="M441" s="34"/>
      <c r="N441" s="34"/>
      <c r="O441" s="37"/>
      <c r="P441" s="35"/>
      <c r="Q441" s="36"/>
      <c r="R441" s="25"/>
      <c r="S441" s="25"/>
      <c r="T441" s="34"/>
      <c r="U441" s="25"/>
      <c r="V441" s="25"/>
      <c r="W441" s="25"/>
      <c r="X441" s="34"/>
      <c r="Y441" s="25"/>
      <c r="Z441" s="25"/>
      <c r="AA441" s="34"/>
      <c r="AG441" s="34"/>
      <c r="AH441" s="34"/>
      <c r="AI441" s="34"/>
      <c r="AJ441" s="34"/>
      <c r="AK441" s="34"/>
      <c r="AL441" s="34"/>
      <c r="AM441" s="34"/>
      <c r="AN441" s="34"/>
      <c r="AO441" s="37"/>
      <c r="AP441" s="37"/>
      <c r="AQ441" s="37"/>
      <c r="AR441" s="25"/>
      <c r="AS441" s="25"/>
      <c r="AT441" s="38"/>
      <c r="AU441" s="39"/>
      <c r="AV441" s="34"/>
      <c r="AW441" s="34"/>
      <c r="AX441" s="34"/>
    </row>
    <row r="442" spans="2:50">
      <c r="B442" s="33"/>
      <c r="C442" s="25"/>
      <c r="D442" s="34"/>
      <c r="E442" s="34"/>
      <c r="F442" s="34"/>
      <c r="G442" s="35"/>
      <c r="H442" s="35"/>
      <c r="I442" s="35"/>
      <c r="J442" s="25"/>
      <c r="K442" s="34"/>
      <c r="L442" s="35"/>
      <c r="M442" s="34"/>
      <c r="N442" s="34"/>
      <c r="O442" s="37"/>
      <c r="P442" s="35"/>
      <c r="Q442" s="36"/>
      <c r="R442" s="25"/>
      <c r="S442" s="25"/>
      <c r="T442" s="34"/>
      <c r="U442" s="25"/>
      <c r="V442" s="25"/>
      <c r="W442" s="25"/>
      <c r="X442" s="34"/>
      <c r="Y442" s="25"/>
      <c r="Z442" s="25"/>
      <c r="AA442" s="34"/>
      <c r="AG442" s="34"/>
      <c r="AH442" s="34"/>
      <c r="AI442" s="34"/>
      <c r="AJ442" s="34"/>
      <c r="AK442" s="34"/>
      <c r="AL442" s="34"/>
      <c r="AM442" s="34"/>
      <c r="AN442" s="34"/>
      <c r="AO442" s="37"/>
      <c r="AP442" s="37"/>
      <c r="AQ442" s="37"/>
      <c r="AR442" s="25"/>
      <c r="AS442" s="25"/>
      <c r="AT442" s="38"/>
      <c r="AU442" s="39"/>
      <c r="AV442" s="34"/>
      <c r="AW442" s="34"/>
      <c r="AX442" s="34"/>
    </row>
    <row r="443" spans="2:50">
      <c r="B443" s="33"/>
      <c r="C443" s="25"/>
      <c r="D443" s="34"/>
      <c r="E443" s="34"/>
      <c r="F443" s="34"/>
      <c r="G443" s="35"/>
      <c r="H443" s="35"/>
      <c r="I443" s="35"/>
      <c r="J443" s="25"/>
      <c r="K443" s="34"/>
      <c r="L443" s="35"/>
      <c r="M443" s="34"/>
      <c r="N443" s="34"/>
      <c r="O443" s="37"/>
      <c r="P443" s="35"/>
      <c r="Q443" s="36"/>
      <c r="R443" s="25"/>
      <c r="S443" s="25"/>
      <c r="T443" s="34"/>
      <c r="U443" s="25"/>
      <c r="V443" s="25"/>
      <c r="W443" s="25"/>
      <c r="X443" s="34"/>
      <c r="Y443" s="25"/>
      <c r="Z443" s="25"/>
      <c r="AA443" s="34"/>
      <c r="AG443" s="34"/>
      <c r="AH443" s="34"/>
      <c r="AI443" s="34"/>
      <c r="AJ443" s="34"/>
      <c r="AK443" s="34"/>
      <c r="AL443" s="34"/>
      <c r="AM443" s="34"/>
      <c r="AN443" s="34"/>
      <c r="AO443" s="37"/>
      <c r="AP443" s="37"/>
      <c r="AQ443" s="37"/>
      <c r="AR443" s="25"/>
      <c r="AS443" s="25"/>
      <c r="AT443" s="38"/>
      <c r="AU443" s="39"/>
      <c r="AV443" s="34"/>
      <c r="AW443" s="34"/>
      <c r="AX443" s="34"/>
    </row>
    <row r="444" spans="2:50">
      <c r="B444" s="33"/>
      <c r="C444" s="25"/>
      <c r="D444" s="34"/>
      <c r="E444" s="34"/>
      <c r="F444" s="34"/>
      <c r="G444" s="35"/>
      <c r="H444" s="35"/>
      <c r="I444" s="35"/>
      <c r="J444" s="25"/>
      <c r="K444" s="34"/>
      <c r="L444" s="35"/>
      <c r="M444" s="34"/>
      <c r="N444" s="34"/>
      <c r="O444" s="37"/>
      <c r="P444" s="35"/>
      <c r="Q444" s="36"/>
      <c r="R444" s="25"/>
      <c r="S444" s="25"/>
      <c r="T444" s="34"/>
      <c r="U444" s="25"/>
      <c r="V444" s="25"/>
      <c r="W444" s="25"/>
      <c r="X444" s="34"/>
      <c r="Y444" s="25"/>
      <c r="Z444" s="25"/>
      <c r="AA444" s="34"/>
      <c r="AG444" s="34"/>
      <c r="AH444" s="34"/>
      <c r="AI444" s="34"/>
      <c r="AJ444" s="34"/>
      <c r="AK444" s="34"/>
      <c r="AL444" s="34"/>
      <c r="AM444" s="34"/>
      <c r="AN444" s="34"/>
      <c r="AO444" s="37"/>
      <c r="AP444" s="37"/>
      <c r="AQ444" s="37"/>
      <c r="AR444" s="25"/>
      <c r="AS444" s="25"/>
      <c r="AT444" s="38"/>
      <c r="AU444" s="39"/>
      <c r="AV444" s="34"/>
      <c r="AW444" s="34"/>
      <c r="AX444" s="34"/>
    </row>
    <row r="445" spans="2:50">
      <c r="B445" s="33"/>
      <c r="C445" s="25"/>
      <c r="D445" s="34"/>
      <c r="E445" s="34"/>
      <c r="F445" s="34"/>
      <c r="G445" s="35"/>
      <c r="H445" s="35"/>
      <c r="I445" s="35"/>
      <c r="J445" s="25"/>
      <c r="K445" s="34"/>
      <c r="L445" s="35"/>
      <c r="M445" s="34"/>
      <c r="N445" s="34"/>
      <c r="O445" s="37"/>
      <c r="P445" s="35"/>
      <c r="Q445" s="36"/>
      <c r="R445" s="25"/>
      <c r="S445" s="25"/>
      <c r="T445" s="34"/>
      <c r="U445" s="25"/>
      <c r="V445" s="25"/>
      <c r="W445" s="25"/>
      <c r="X445" s="34"/>
      <c r="Y445" s="25"/>
      <c r="Z445" s="25"/>
      <c r="AA445" s="34"/>
      <c r="AG445" s="34"/>
      <c r="AH445" s="34"/>
      <c r="AI445" s="34"/>
      <c r="AJ445" s="34"/>
      <c r="AK445" s="34"/>
      <c r="AL445" s="34"/>
      <c r="AM445" s="34"/>
      <c r="AN445" s="34"/>
      <c r="AO445" s="37"/>
      <c r="AP445" s="37"/>
      <c r="AQ445" s="37"/>
      <c r="AR445" s="25"/>
      <c r="AS445" s="25"/>
      <c r="AT445" s="38"/>
      <c r="AU445" s="39"/>
      <c r="AV445" s="34"/>
      <c r="AW445" s="34"/>
      <c r="AX445" s="34"/>
    </row>
    <row r="446" spans="2:50">
      <c r="B446" s="33"/>
      <c r="C446" s="25"/>
      <c r="D446" s="34"/>
      <c r="E446" s="34"/>
      <c r="F446" s="34"/>
      <c r="G446" s="35"/>
      <c r="H446" s="35"/>
      <c r="I446" s="35"/>
      <c r="J446" s="25"/>
      <c r="K446" s="34"/>
      <c r="L446" s="35"/>
      <c r="M446" s="34"/>
      <c r="N446" s="34"/>
      <c r="O446" s="37"/>
      <c r="P446" s="35"/>
      <c r="Q446" s="36"/>
      <c r="R446" s="25"/>
      <c r="S446" s="25"/>
      <c r="T446" s="34"/>
      <c r="U446" s="25"/>
      <c r="V446" s="25"/>
      <c r="W446" s="25"/>
      <c r="X446" s="34"/>
      <c r="Y446" s="25"/>
      <c r="Z446" s="25"/>
      <c r="AA446" s="34"/>
      <c r="AG446" s="34"/>
      <c r="AH446" s="34"/>
      <c r="AI446" s="34"/>
      <c r="AJ446" s="34"/>
      <c r="AK446" s="34"/>
      <c r="AL446" s="34"/>
      <c r="AM446" s="34"/>
      <c r="AN446" s="34"/>
      <c r="AO446" s="37"/>
      <c r="AP446" s="37"/>
      <c r="AQ446" s="37"/>
      <c r="AR446" s="25"/>
      <c r="AS446" s="25"/>
      <c r="AT446" s="38"/>
      <c r="AU446" s="39"/>
      <c r="AV446" s="34"/>
      <c r="AW446" s="34"/>
      <c r="AX446" s="34"/>
    </row>
    <row r="447" spans="2:50">
      <c r="B447" s="33"/>
      <c r="C447" s="25"/>
      <c r="D447" s="34"/>
      <c r="E447" s="34"/>
      <c r="F447" s="34"/>
      <c r="G447" s="35"/>
      <c r="H447" s="35"/>
      <c r="I447" s="35"/>
      <c r="J447" s="25"/>
      <c r="K447" s="34"/>
      <c r="L447" s="35"/>
      <c r="M447" s="34"/>
      <c r="N447" s="34"/>
      <c r="O447" s="37"/>
      <c r="P447" s="35"/>
      <c r="Q447" s="36"/>
      <c r="R447" s="25"/>
      <c r="S447" s="25"/>
      <c r="T447" s="34"/>
      <c r="U447" s="25"/>
      <c r="V447" s="25"/>
      <c r="W447" s="25"/>
      <c r="X447" s="34"/>
      <c r="Y447" s="25"/>
      <c r="Z447" s="25"/>
      <c r="AA447" s="34"/>
      <c r="AG447" s="34"/>
      <c r="AH447" s="34"/>
      <c r="AI447" s="34"/>
      <c r="AJ447" s="34"/>
      <c r="AK447" s="34"/>
      <c r="AL447" s="34"/>
      <c r="AM447" s="34"/>
      <c r="AN447" s="34"/>
      <c r="AO447" s="37"/>
      <c r="AP447" s="37"/>
      <c r="AQ447" s="37"/>
      <c r="AR447" s="25"/>
      <c r="AS447" s="25"/>
      <c r="AT447" s="38"/>
      <c r="AU447" s="39"/>
      <c r="AV447" s="34"/>
      <c r="AW447" s="34"/>
      <c r="AX447" s="34"/>
    </row>
    <row r="448" spans="2:50">
      <c r="B448" s="33"/>
      <c r="C448" s="25"/>
      <c r="D448" s="34"/>
      <c r="E448" s="34"/>
      <c r="F448" s="34"/>
      <c r="G448" s="35"/>
      <c r="H448" s="35"/>
      <c r="I448" s="35"/>
      <c r="J448" s="25"/>
      <c r="K448" s="34"/>
      <c r="L448" s="35"/>
      <c r="M448" s="34"/>
      <c r="N448" s="34"/>
      <c r="O448" s="37"/>
      <c r="P448" s="35"/>
      <c r="Q448" s="36"/>
      <c r="R448" s="25"/>
      <c r="S448" s="25"/>
      <c r="T448" s="34"/>
      <c r="U448" s="25"/>
      <c r="V448" s="25"/>
      <c r="W448" s="25"/>
      <c r="X448" s="34"/>
      <c r="Y448" s="25"/>
      <c r="Z448" s="25"/>
      <c r="AA448" s="34"/>
      <c r="AG448" s="34"/>
      <c r="AH448" s="34"/>
      <c r="AI448" s="34"/>
      <c r="AJ448" s="34"/>
      <c r="AK448" s="34"/>
      <c r="AL448" s="34"/>
      <c r="AM448" s="34"/>
      <c r="AN448" s="34"/>
      <c r="AO448" s="37"/>
      <c r="AP448" s="37"/>
      <c r="AQ448" s="37"/>
      <c r="AR448" s="25"/>
      <c r="AS448" s="25"/>
      <c r="AT448" s="38"/>
      <c r="AU448" s="39"/>
      <c r="AV448" s="34"/>
      <c r="AW448" s="34"/>
      <c r="AX448" s="34"/>
    </row>
    <row r="449" spans="2:50">
      <c r="B449" s="33"/>
      <c r="C449" s="25"/>
      <c r="D449" s="34"/>
      <c r="E449" s="34"/>
      <c r="F449" s="34"/>
      <c r="G449" s="35"/>
      <c r="H449" s="35"/>
      <c r="I449" s="35"/>
      <c r="J449" s="25"/>
      <c r="K449" s="34"/>
      <c r="L449" s="35"/>
      <c r="M449" s="34"/>
      <c r="N449" s="34"/>
      <c r="O449" s="37"/>
      <c r="P449" s="35"/>
      <c r="Q449" s="36"/>
      <c r="R449" s="25"/>
      <c r="S449" s="25"/>
      <c r="T449" s="34"/>
      <c r="U449" s="25"/>
      <c r="V449" s="25"/>
      <c r="W449" s="25"/>
      <c r="X449" s="34"/>
      <c r="Y449" s="25"/>
      <c r="Z449" s="25"/>
      <c r="AA449" s="34"/>
      <c r="AG449" s="34"/>
      <c r="AH449" s="34"/>
      <c r="AI449" s="34"/>
      <c r="AJ449" s="34"/>
      <c r="AK449" s="34"/>
      <c r="AL449" s="34"/>
      <c r="AM449" s="34"/>
      <c r="AN449" s="34"/>
      <c r="AO449" s="37"/>
      <c r="AP449" s="37"/>
      <c r="AQ449" s="37"/>
      <c r="AR449" s="25"/>
      <c r="AS449" s="25"/>
      <c r="AT449" s="38"/>
      <c r="AU449" s="39"/>
      <c r="AV449" s="34"/>
      <c r="AW449" s="34"/>
      <c r="AX449" s="34"/>
    </row>
    <row r="450" spans="2:50">
      <c r="B450" s="33"/>
      <c r="C450" s="25"/>
      <c r="D450" s="34"/>
      <c r="E450" s="34"/>
      <c r="F450" s="34"/>
      <c r="G450" s="35"/>
      <c r="H450" s="35"/>
      <c r="I450" s="35"/>
      <c r="J450" s="25"/>
      <c r="K450" s="34"/>
      <c r="L450" s="35"/>
      <c r="M450" s="34"/>
      <c r="N450" s="34"/>
      <c r="O450" s="37"/>
      <c r="P450" s="35"/>
      <c r="Q450" s="36"/>
      <c r="R450" s="25"/>
      <c r="S450" s="25"/>
      <c r="T450" s="34"/>
      <c r="U450" s="25"/>
      <c r="V450" s="25"/>
      <c r="W450" s="25"/>
      <c r="X450" s="34"/>
      <c r="Y450" s="25"/>
      <c r="Z450" s="25"/>
      <c r="AA450" s="34"/>
      <c r="AG450" s="34"/>
      <c r="AH450" s="34"/>
      <c r="AI450" s="34"/>
      <c r="AJ450" s="34"/>
      <c r="AK450" s="34"/>
      <c r="AL450" s="34"/>
      <c r="AM450" s="34"/>
      <c r="AN450" s="34"/>
      <c r="AO450" s="37"/>
      <c r="AP450" s="37"/>
      <c r="AQ450" s="37"/>
      <c r="AR450" s="25"/>
      <c r="AS450" s="25"/>
      <c r="AT450" s="38"/>
      <c r="AU450" s="39"/>
      <c r="AV450" s="34"/>
      <c r="AW450" s="34"/>
      <c r="AX450" s="34"/>
    </row>
    <row r="451" spans="2:50">
      <c r="B451" s="33"/>
      <c r="C451" s="25"/>
      <c r="D451" s="34"/>
      <c r="E451" s="34"/>
      <c r="F451" s="34"/>
      <c r="G451" s="35"/>
      <c r="H451" s="35"/>
      <c r="I451" s="35"/>
      <c r="J451" s="25"/>
      <c r="K451" s="34"/>
      <c r="L451" s="35"/>
      <c r="M451" s="34"/>
      <c r="N451" s="34"/>
      <c r="O451" s="37"/>
      <c r="P451" s="35"/>
      <c r="Q451" s="36"/>
      <c r="R451" s="25"/>
      <c r="S451" s="25"/>
      <c r="T451" s="34"/>
      <c r="U451" s="25"/>
      <c r="V451" s="25"/>
      <c r="W451" s="25"/>
      <c r="X451" s="34"/>
      <c r="Y451" s="25"/>
      <c r="Z451" s="25"/>
      <c r="AA451" s="34"/>
      <c r="AG451" s="34"/>
      <c r="AH451" s="34"/>
      <c r="AI451" s="34"/>
      <c r="AJ451" s="34"/>
      <c r="AK451" s="34"/>
      <c r="AL451" s="34"/>
      <c r="AM451" s="34"/>
      <c r="AN451" s="34"/>
      <c r="AO451" s="37"/>
      <c r="AP451" s="37"/>
      <c r="AQ451" s="37"/>
      <c r="AR451" s="25"/>
      <c r="AS451" s="25"/>
      <c r="AT451" s="38"/>
      <c r="AU451" s="39"/>
      <c r="AV451" s="34"/>
      <c r="AW451" s="34"/>
      <c r="AX451" s="34"/>
    </row>
    <row r="452" spans="2:50">
      <c r="B452" s="33"/>
      <c r="C452" s="25"/>
      <c r="D452" s="34"/>
      <c r="E452" s="34"/>
      <c r="F452" s="34"/>
      <c r="G452" s="35"/>
      <c r="H452" s="35"/>
      <c r="I452" s="35"/>
      <c r="J452" s="25"/>
      <c r="K452" s="34"/>
      <c r="L452" s="35"/>
      <c r="M452" s="34"/>
      <c r="N452" s="34"/>
      <c r="O452" s="37"/>
      <c r="P452" s="35"/>
      <c r="Q452" s="36"/>
      <c r="R452" s="25"/>
      <c r="S452" s="25"/>
      <c r="T452" s="34"/>
      <c r="U452" s="25"/>
      <c r="V452" s="25"/>
      <c r="W452" s="25"/>
      <c r="X452" s="34"/>
      <c r="Y452" s="25"/>
      <c r="Z452" s="25"/>
      <c r="AA452" s="34"/>
      <c r="AG452" s="34"/>
      <c r="AH452" s="34"/>
      <c r="AI452" s="34"/>
      <c r="AJ452" s="34"/>
      <c r="AK452" s="34"/>
      <c r="AL452" s="34"/>
      <c r="AM452" s="34"/>
      <c r="AN452" s="34"/>
      <c r="AO452" s="37"/>
      <c r="AP452" s="37"/>
      <c r="AQ452" s="37"/>
      <c r="AR452" s="25"/>
      <c r="AS452" s="25"/>
      <c r="AT452" s="38"/>
      <c r="AU452" s="39"/>
      <c r="AV452" s="34"/>
      <c r="AW452" s="34"/>
      <c r="AX452" s="34"/>
    </row>
    <row r="453" spans="2:50">
      <c r="B453" s="33"/>
      <c r="C453" s="25"/>
      <c r="D453" s="34"/>
      <c r="E453" s="34"/>
      <c r="F453" s="34"/>
      <c r="G453" s="35"/>
      <c r="H453" s="35"/>
      <c r="I453" s="35"/>
      <c r="J453" s="25"/>
      <c r="K453" s="34"/>
      <c r="L453" s="35"/>
      <c r="M453" s="34"/>
      <c r="N453" s="34"/>
      <c r="O453" s="37"/>
      <c r="P453" s="35"/>
      <c r="Q453" s="36"/>
      <c r="R453" s="25"/>
      <c r="S453" s="25"/>
      <c r="T453" s="34"/>
      <c r="U453" s="25"/>
      <c r="V453" s="25"/>
      <c r="W453" s="25"/>
      <c r="X453" s="34"/>
      <c r="Y453" s="25"/>
      <c r="Z453" s="25"/>
      <c r="AA453" s="34"/>
      <c r="AG453" s="34"/>
      <c r="AH453" s="34"/>
      <c r="AI453" s="34"/>
      <c r="AJ453" s="34"/>
      <c r="AK453" s="34"/>
      <c r="AL453" s="34"/>
      <c r="AM453" s="34"/>
      <c r="AN453" s="34"/>
      <c r="AO453" s="37"/>
      <c r="AP453" s="37"/>
      <c r="AQ453" s="37"/>
      <c r="AR453" s="25"/>
      <c r="AS453" s="25"/>
      <c r="AT453" s="38"/>
      <c r="AU453" s="39"/>
      <c r="AV453" s="34"/>
      <c r="AW453" s="34"/>
      <c r="AX453" s="34"/>
    </row>
    <row r="454" spans="2:50">
      <c r="B454" s="33"/>
      <c r="C454" s="25"/>
      <c r="D454" s="34"/>
      <c r="E454" s="34"/>
      <c r="F454" s="34"/>
      <c r="G454" s="35"/>
      <c r="H454" s="35"/>
      <c r="I454" s="35"/>
      <c r="J454" s="25"/>
      <c r="K454" s="34"/>
      <c r="L454" s="35"/>
      <c r="M454" s="34"/>
      <c r="N454" s="34"/>
      <c r="O454" s="37"/>
      <c r="P454" s="35"/>
      <c r="Q454" s="36"/>
      <c r="R454" s="25"/>
      <c r="S454" s="25"/>
      <c r="T454" s="34"/>
      <c r="U454" s="25"/>
      <c r="V454" s="25"/>
      <c r="W454" s="25"/>
      <c r="X454" s="34"/>
      <c r="Y454" s="25"/>
      <c r="Z454" s="25"/>
      <c r="AA454" s="34"/>
      <c r="AG454" s="34"/>
      <c r="AH454" s="34"/>
      <c r="AI454" s="34"/>
      <c r="AJ454" s="34"/>
      <c r="AK454" s="34"/>
      <c r="AL454" s="34"/>
      <c r="AM454" s="34"/>
      <c r="AN454" s="34"/>
      <c r="AO454" s="37"/>
      <c r="AP454" s="37"/>
      <c r="AQ454" s="37"/>
      <c r="AR454" s="25"/>
      <c r="AS454" s="25"/>
      <c r="AT454" s="38"/>
      <c r="AU454" s="39"/>
      <c r="AV454" s="34"/>
      <c r="AW454" s="34"/>
      <c r="AX454" s="34"/>
    </row>
    <row r="455" spans="2:50">
      <c r="B455" s="33"/>
      <c r="C455" s="25"/>
      <c r="D455" s="34"/>
      <c r="E455" s="34"/>
      <c r="F455" s="34"/>
      <c r="G455" s="35"/>
      <c r="H455" s="35"/>
      <c r="I455" s="35"/>
      <c r="J455" s="25"/>
      <c r="K455" s="34"/>
      <c r="L455" s="35"/>
      <c r="M455" s="34"/>
      <c r="N455" s="34"/>
      <c r="O455" s="37"/>
      <c r="P455" s="35"/>
      <c r="Q455" s="36"/>
      <c r="R455" s="25"/>
      <c r="S455" s="25"/>
      <c r="T455" s="34"/>
      <c r="U455" s="25"/>
      <c r="V455" s="25"/>
      <c r="W455" s="25"/>
      <c r="X455" s="34"/>
      <c r="Y455" s="25"/>
      <c r="Z455" s="25"/>
      <c r="AA455" s="34"/>
      <c r="AG455" s="34"/>
      <c r="AH455" s="34"/>
      <c r="AI455" s="34"/>
      <c r="AJ455" s="34"/>
      <c r="AK455" s="34"/>
      <c r="AL455" s="34"/>
      <c r="AM455" s="34"/>
      <c r="AN455" s="34"/>
      <c r="AO455" s="37"/>
      <c r="AP455" s="37"/>
      <c r="AQ455" s="37"/>
      <c r="AR455" s="25"/>
      <c r="AS455" s="25"/>
      <c r="AT455" s="38"/>
      <c r="AU455" s="39"/>
      <c r="AV455" s="34"/>
      <c r="AW455" s="34"/>
      <c r="AX455" s="34"/>
    </row>
    <row r="456" spans="2:50">
      <c r="B456" s="33"/>
      <c r="C456" s="25"/>
      <c r="D456" s="34"/>
      <c r="E456" s="34"/>
      <c r="F456" s="34"/>
      <c r="G456" s="35"/>
      <c r="H456" s="35"/>
      <c r="I456" s="35"/>
      <c r="J456" s="25"/>
      <c r="K456" s="34"/>
      <c r="L456" s="35"/>
      <c r="M456" s="34"/>
      <c r="N456" s="34"/>
      <c r="O456" s="37"/>
      <c r="P456" s="35"/>
      <c r="Q456" s="36"/>
      <c r="R456" s="25"/>
      <c r="S456" s="25"/>
      <c r="T456" s="34"/>
      <c r="U456" s="25"/>
      <c r="V456" s="25"/>
      <c r="W456" s="25"/>
      <c r="X456" s="34"/>
      <c r="Y456" s="25"/>
      <c r="Z456" s="25"/>
      <c r="AA456" s="34"/>
      <c r="AG456" s="34"/>
      <c r="AH456" s="34"/>
      <c r="AI456" s="34"/>
      <c r="AJ456" s="34"/>
      <c r="AK456" s="34"/>
      <c r="AL456" s="34"/>
      <c r="AM456" s="34"/>
      <c r="AN456" s="34"/>
      <c r="AO456" s="37"/>
      <c r="AP456" s="37"/>
      <c r="AQ456" s="37"/>
      <c r="AR456" s="25"/>
      <c r="AS456" s="25"/>
      <c r="AT456" s="38"/>
      <c r="AU456" s="39"/>
      <c r="AV456" s="34"/>
      <c r="AW456" s="34"/>
      <c r="AX456" s="34"/>
    </row>
    <row r="457" spans="2:50">
      <c r="B457" s="33"/>
      <c r="C457" s="25"/>
      <c r="D457" s="34"/>
      <c r="E457" s="34"/>
      <c r="F457" s="34"/>
      <c r="G457" s="35"/>
      <c r="H457" s="35"/>
      <c r="I457" s="35"/>
      <c r="J457" s="25"/>
      <c r="K457" s="34"/>
      <c r="L457" s="35"/>
      <c r="M457" s="34"/>
      <c r="N457" s="34"/>
      <c r="O457" s="37"/>
      <c r="P457" s="35"/>
      <c r="Q457" s="36"/>
      <c r="R457" s="25"/>
      <c r="S457" s="25"/>
      <c r="T457" s="34"/>
      <c r="U457" s="25"/>
      <c r="V457" s="25"/>
      <c r="W457" s="25"/>
      <c r="X457" s="34"/>
      <c r="Y457" s="25"/>
      <c r="Z457" s="25"/>
      <c r="AA457" s="34"/>
      <c r="AG457" s="34"/>
      <c r="AH457" s="34"/>
      <c r="AI457" s="34"/>
      <c r="AJ457" s="34"/>
      <c r="AK457" s="34"/>
      <c r="AL457" s="34"/>
      <c r="AM457" s="34"/>
      <c r="AN457" s="34"/>
      <c r="AO457" s="37"/>
      <c r="AP457" s="37"/>
      <c r="AQ457" s="37"/>
      <c r="AR457" s="25"/>
      <c r="AS457" s="25"/>
      <c r="AT457" s="38"/>
      <c r="AU457" s="39"/>
      <c r="AV457" s="34"/>
      <c r="AW457" s="34"/>
      <c r="AX457" s="34"/>
    </row>
    <row r="458" spans="2:50">
      <c r="B458" s="33"/>
      <c r="C458" s="25"/>
      <c r="D458" s="34"/>
      <c r="E458" s="34"/>
      <c r="F458" s="34"/>
      <c r="G458" s="35"/>
      <c r="H458" s="35"/>
      <c r="I458" s="35"/>
      <c r="J458" s="25"/>
      <c r="K458" s="34"/>
      <c r="L458" s="35"/>
      <c r="M458" s="34"/>
      <c r="N458" s="34"/>
      <c r="O458" s="37"/>
      <c r="P458" s="35"/>
      <c r="Q458" s="36"/>
      <c r="R458" s="25"/>
      <c r="S458" s="25"/>
      <c r="T458" s="34"/>
      <c r="U458" s="25"/>
      <c r="V458" s="25"/>
      <c r="W458" s="25"/>
      <c r="X458" s="34"/>
      <c r="Y458" s="25"/>
      <c r="Z458" s="25"/>
      <c r="AA458" s="34"/>
      <c r="AG458" s="34"/>
      <c r="AH458" s="34"/>
      <c r="AI458" s="34"/>
      <c r="AJ458" s="34"/>
      <c r="AK458" s="34"/>
      <c r="AL458" s="34"/>
      <c r="AM458" s="34"/>
      <c r="AN458" s="34"/>
      <c r="AO458" s="37"/>
      <c r="AP458" s="37"/>
      <c r="AQ458" s="37"/>
      <c r="AR458" s="25"/>
      <c r="AS458" s="25"/>
      <c r="AT458" s="38"/>
      <c r="AU458" s="39"/>
      <c r="AV458" s="34"/>
      <c r="AW458" s="34"/>
      <c r="AX458" s="34"/>
    </row>
    <row r="459" spans="2:50">
      <c r="B459" s="33"/>
      <c r="C459" s="25"/>
      <c r="D459" s="34"/>
      <c r="E459" s="34"/>
      <c r="F459" s="34"/>
      <c r="G459" s="35"/>
      <c r="H459" s="35"/>
      <c r="I459" s="35"/>
      <c r="J459" s="25"/>
      <c r="K459" s="34"/>
      <c r="L459" s="35"/>
      <c r="M459" s="34"/>
      <c r="N459" s="34"/>
      <c r="O459" s="37"/>
      <c r="P459" s="35"/>
      <c r="Q459" s="36"/>
      <c r="R459" s="25"/>
      <c r="S459" s="25"/>
      <c r="T459" s="34"/>
      <c r="U459" s="25"/>
      <c r="V459" s="25"/>
      <c r="W459" s="25"/>
      <c r="X459" s="34"/>
      <c r="Y459" s="25"/>
      <c r="Z459" s="25"/>
      <c r="AA459" s="34"/>
      <c r="AG459" s="34"/>
      <c r="AH459" s="34"/>
      <c r="AI459" s="34"/>
      <c r="AJ459" s="34"/>
      <c r="AK459" s="34"/>
      <c r="AL459" s="34"/>
      <c r="AM459" s="34"/>
      <c r="AN459" s="34"/>
      <c r="AO459" s="37"/>
      <c r="AP459" s="37"/>
      <c r="AQ459" s="37"/>
      <c r="AR459" s="25"/>
      <c r="AS459" s="25"/>
      <c r="AT459" s="38"/>
      <c r="AU459" s="39"/>
      <c r="AV459" s="34"/>
      <c r="AW459" s="34"/>
      <c r="AX459" s="34"/>
    </row>
    <row r="460" spans="2:50">
      <c r="B460" s="33"/>
      <c r="C460" s="25"/>
      <c r="D460" s="34"/>
      <c r="E460" s="34"/>
      <c r="F460" s="34"/>
      <c r="G460" s="35"/>
      <c r="H460" s="35"/>
      <c r="I460" s="35"/>
      <c r="J460" s="25"/>
      <c r="K460" s="34"/>
      <c r="L460" s="35"/>
      <c r="M460" s="34"/>
      <c r="N460" s="34"/>
      <c r="O460" s="37"/>
      <c r="P460" s="35"/>
      <c r="Q460" s="36"/>
      <c r="R460" s="25"/>
      <c r="S460" s="25"/>
      <c r="T460" s="34"/>
      <c r="U460" s="25"/>
      <c r="V460" s="25"/>
      <c r="W460" s="25"/>
      <c r="X460" s="34"/>
      <c r="Y460" s="25"/>
      <c r="Z460" s="25"/>
      <c r="AA460" s="34"/>
      <c r="AG460" s="34"/>
      <c r="AH460" s="34"/>
      <c r="AI460" s="34"/>
      <c r="AJ460" s="34"/>
      <c r="AK460" s="34"/>
      <c r="AL460" s="34"/>
      <c r="AM460" s="34"/>
      <c r="AN460" s="34"/>
      <c r="AO460" s="37"/>
      <c r="AP460" s="37"/>
      <c r="AQ460" s="37"/>
      <c r="AR460" s="25"/>
      <c r="AS460" s="25"/>
      <c r="AT460" s="38"/>
      <c r="AU460" s="39"/>
      <c r="AV460" s="34"/>
      <c r="AW460" s="34"/>
      <c r="AX460" s="34"/>
    </row>
    <row r="461" spans="2:50">
      <c r="B461" s="33"/>
      <c r="C461" s="25"/>
      <c r="D461" s="34"/>
      <c r="E461" s="34"/>
      <c r="F461" s="34"/>
      <c r="G461" s="35"/>
      <c r="H461" s="35"/>
      <c r="I461" s="35"/>
      <c r="J461" s="25"/>
      <c r="K461" s="34"/>
      <c r="L461" s="35"/>
      <c r="M461" s="34"/>
      <c r="N461" s="34"/>
      <c r="O461" s="37"/>
      <c r="P461" s="35"/>
      <c r="Q461" s="36"/>
      <c r="R461" s="25"/>
      <c r="S461" s="25"/>
      <c r="T461" s="34"/>
      <c r="U461" s="25"/>
      <c r="V461" s="25"/>
      <c r="W461" s="25"/>
      <c r="X461" s="34"/>
      <c r="Y461" s="25"/>
      <c r="Z461" s="25"/>
      <c r="AA461" s="34"/>
      <c r="AG461" s="34"/>
      <c r="AH461" s="34"/>
      <c r="AI461" s="34"/>
      <c r="AJ461" s="34"/>
      <c r="AK461" s="34"/>
      <c r="AL461" s="34"/>
      <c r="AM461" s="34"/>
      <c r="AN461" s="34"/>
      <c r="AO461" s="37"/>
      <c r="AP461" s="37"/>
      <c r="AQ461" s="37"/>
      <c r="AR461" s="25"/>
      <c r="AS461" s="25"/>
      <c r="AT461" s="38"/>
      <c r="AU461" s="39"/>
      <c r="AV461" s="34"/>
      <c r="AW461" s="34"/>
      <c r="AX461" s="34"/>
    </row>
    <row r="462" spans="2:50">
      <c r="B462" s="33"/>
      <c r="C462" s="25"/>
      <c r="D462" s="34"/>
      <c r="E462" s="34"/>
      <c r="F462" s="34"/>
      <c r="G462" s="35"/>
      <c r="H462" s="35"/>
      <c r="I462" s="35"/>
      <c r="J462" s="25"/>
      <c r="K462" s="34"/>
      <c r="L462" s="35"/>
      <c r="M462" s="34"/>
      <c r="N462" s="34"/>
      <c r="O462" s="37"/>
      <c r="P462" s="35"/>
      <c r="Q462" s="36"/>
      <c r="R462" s="25"/>
      <c r="S462" s="25"/>
      <c r="T462" s="34"/>
      <c r="U462" s="25"/>
      <c r="V462" s="25"/>
      <c r="W462" s="25"/>
      <c r="X462" s="34"/>
      <c r="Y462" s="25"/>
      <c r="Z462" s="25"/>
      <c r="AA462" s="34"/>
      <c r="AG462" s="34"/>
      <c r="AH462" s="34"/>
      <c r="AI462" s="34"/>
      <c r="AJ462" s="34"/>
      <c r="AK462" s="34"/>
      <c r="AL462" s="34"/>
      <c r="AM462" s="34"/>
      <c r="AN462" s="34"/>
      <c r="AO462" s="37"/>
      <c r="AP462" s="37"/>
      <c r="AQ462" s="37"/>
      <c r="AR462" s="25"/>
      <c r="AS462" s="25"/>
      <c r="AT462" s="38"/>
      <c r="AU462" s="39"/>
      <c r="AV462" s="34"/>
      <c r="AW462" s="34"/>
      <c r="AX462" s="34"/>
    </row>
    <row r="463" spans="2:50">
      <c r="B463" s="33"/>
      <c r="C463" s="25"/>
      <c r="D463" s="34"/>
      <c r="E463" s="34"/>
      <c r="F463" s="34"/>
      <c r="G463" s="35"/>
      <c r="H463" s="35"/>
      <c r="I463" s="35"/>
      <c r="J463" s="25"/>
      <c r="K463" s="34"/>
      <c r="L463" s="35"/>
      <c r="M463" s="34"/>
      <c r="N463" s="34"/>
      <c r="O463" s="37"/>
      <c r="P463" s="35"/>
      <c r="Q463" s="36"/>
      <c r="R463" s="25"/>
      <c r="S463" s="25"/>
      <c r="T463" s="34"/>
      <c r="U463" s="25"/>
      <c r="V463" s="25"/>
      <c r="W463" s="25"/>
      <c r="X463" s="34"/>
      <c r="Y463" s="25"/>
      <c r="Z463" s="25"/>
      <c r="AA463" s="34"/>
      <c r="AG463" s="34"/>
      <c r="AH463" s="34"/>
      <c r="AI463" s="34"/>
      <c r="AJ463" s="34"/>
      <c r="AK463" s="34"/>
      <c r="AL463" s="34"/>
      <c r="AM463" s="34"/>
      <c r="AN463" s="34"/>
      <c r="AO463" s="37"/>
      <c r="AP463" s="37"/>
      <c r="AQ463" s="37"/>
      <c r="AR463" s="25"/>
      <c r="AS463" s="25"/>
      <c r="AT463" s="38"/>
      <c r="AU463" s="39"/>
      <c r="AV463" s="34"/>
      <c r="AW463" s="34"/>
      <c r="AX463" s="34"/>
    </row>
    <row r="464" spans="2:50">
      <c r="B464" s="33"/>
      <c r="C464" s="25"/>
      <c r="D464" s="34"/>
      <c r="E464" s="34"/>
      <c r="F464" s="34"/>
      <c r="G464" s="35"/>
      <c r="H464" s="35"/>
      <c r="I464" s="35"/>
      <c r="J464" s="25"/>
      <c r="K464" s="34"/>
      <c r="L464" s="35"/>
      <c r="M464" s="34"/>
      <c r="N464" s="34"/>
      <c r="O464" s="37"/>
      <c r="P464" s="35"/>
      <c r="Q464" s="36"/>
      <c r="R464" s="25"/>
      <c r="S464" s="25"/>
      <c r="T464" s="34"/>
      <c r="U464" s="25"/>
      <c r="V464" s="25"/>
      <c r="W464" s="25"/>
      <c r="X464" s="34"/>
      <c r="Y464" s="25"/>
      <c r="Z464" s="25"/>
      <c r="AA464" s="34"/>
      <c r="AG464" s="34"/>
      <c r="AH464" s="34"/>
      <c r="AI464" s="34"/>
      <c r="AJ464" s="34"/>
      <c r="AK464" s="34"/>
      <c r="AL464" s="34"/>
      <c r="AM464" s="34"/>
      <c r="AN464" s="34"/>
      <c r="AO464" s="37"/>
      <c r="AP464" s="37"/>
      <c r="AQ464" s="37"/>
      <c r="AR464" s="25"/>
      <c r="AS464" s="25"/>
      <c r="AT464" s="38"/>
      <c r="AU464" s="39"/>
      <c r="AV464" s="34"/>
      <c r="AW464" s="34"/>
      <c r="AX464" s="34"/>
    </row>
    <row r="465" spans="2:50">
      <c r="B465" s="33"/>
      <c r="C465" s="25"/>
      <c r="D465" s="34"/>
      <c r="E465" s="34"/>
      <c r="F465" s="34"/>
      <c r="G465" s="35"/>
      <c r="H465" s="35"/>
      <c r="I465" s="35"/>
      <c r="J465" s="25"/>
      <c r="K465" s="34"/>
      <c r="L465" s="35"/>
      <c r="M465" s="34"/>
      <c r="N465" s="34"/>
      <c r="O465" s="37"/>
      <c r="P465" s="35"/>
      <c r="Q465" s="36"/>
      <c r="R465" s="25"/>
      <c r="S465" s="25"/>
      <c r="T465" s="34"/>
      <c r="U465" s="25"/>
      <c r="V465" s="25"/>
      <c r="W465" s="25"/>
      <c r="X465" s="34"/>
      <c r="Y465" s="25"/>
      <c r="Z465" s="25"/>
      <c r="AA465" s="34"/>
      <c r="AG465" s="34"/>
      <c r="AH465" s="34"/>
      <c r="AI465" s="34"/>
      <c r="AJ465" s="34"/>
      <c r="AK465" s="34"/>
      <c r="AL465" s="34"/>
      <c r="AM465" s="34"/>
      <c r="AN465" s="34"/>
      <c r="AO465" s="37"/>
      <c r="AP465" s="37"/>
      <c r="AQ465" s="37"/>
      <c r="AR465" s="25"/>
      <c r="AS465" s="25"/>
      <c r="AT465" s="38"/>
      <c r="AU465" s="39"/>
      <c r="AV465" s="34"/>
      <c r="AW465" s="34"/>
      <c r="AX465" s="34"/>
    </row>
    <row r="466" spans="2:50">
      <c r="B466" s="33"/>
      <c r="C466" s="25"/>
      <c r="D466" s="34"/>
      <c r="E466" s="34"/>
      <c r="F466" s="34"/>
      <c r="G466" s="35"/>
      <c r="H466" s="35"/>
      <c r="I466" s="35"/>
      <c r="J466" s="25"/>
      <c r="K466" s="34"/>
      <c r="L466" s="35"/>
      <c r="M466" s="34"/>
      <c r="N466" s="34"/>
      <c r="O466" s="37"/>
      <c r="P466" s="35"/>
      <c r="Q466" s="36"/>
      <c r="R466" s="25"/>
      <c r="S466" s="25"/>
      <c r="T466" s="34"/>
      <c r="U466" s="25"/>
      <c r="V466" s="25"/>
      <c r="W466" s="25"/>
      <c r="X466" s="34"/>
      <c r="Y466" s="25"/>
      <c r="Z466" s="25"/>
      <c r="AA466" s="34"/>
      <c r="AG466" s="34"/>
      <c r="AH466" s="34"/>
      <c r="AI466" s="34"/>
      <c r="AJ466" s="34"/>
      <c r="AK466" s="34"/>
      <c r="AL466" s="34"/>
      <c r="AM466" s="34"/>
      <c r="AN466" s="34"/>
      <c r="AO466" s="37"/>
      <c r="AP466" s="37"/>
      <c r="AQ466" s="37"/>
      <c r="AR466" s="25"/>
      <c r="AS466" s="25"/>
      <c r="AT466" s="38"/>
      <c r="AU466" s="39"/>
      <c r="AV466" s="34"/>
      <c r="AW466" s="34"/>
      <c r="AX466" s="34"/>
    </row>
    <row r="467" spans="2:50">
      <c r="B467" s="33"/>
      <c r="C467" s="25"/>
      <c r="D467" s="34"/>
      <c r="E467" s="34"/>
      <c r="F467" s="34"/>
      <c r="G467" s="35"/>
      <c r="H467" s="35"/>
      <c r="I467" s="35"/>
      <c r="J467" s="25"/>
      <c r="K467" s="34"/>
      <c r="L467" s="35"/>
      <c r="M467" s="34"/>
      <c r="N467" s="34"/>
      <c r="O467" s="37"/>
      <c r="P467" s="35"/>
      <c r="Q467" s="36"/>
      <c r="R467" s="25"/>
      <c r="S467" s="25"/>
      <c r="T467" s="34"/>
      <c r="U467" s="25"/>
      <c r="V467" s="25"/>
      <c r="W467" s="25"/>
      <c r="X467" s="34"/>
      <c r="Y467" s="25"/>
      <c r="Z467" s="25"/>
      <c r="AA467" s="34"/>
      <c r="AG467" s="34"/>
      <c r="AH467" s="34"/>
      <c r="AI467" s="34"/>
      <c r="AJ467" s="34"/>
      <c r="AK467" s="34"/>
      <c r="AL467" s="34"/>
      <c r="AM467" s="34"/>
      <c r="AN467" s="34"/>
      <c r="AO467" s="37"/>
      <c r="AP467" s="37"/>
      <c r="AQ467" s="37"/>
      <c r="AR467" s="25"/>
      <c r="AS467" s="25"/>
      <c r="AT467" s="38"/>
      <c r="AU467" s="39"/>
      <c r="AV467" s="34"/>
      <c r="AW467" s="34"/>
      <c r="AX467" s="34"/>
    </row>
    <row r="468" spans="2:50">
      <c r="B468" s="33"/>
      <c r="C468" s="25"/>
      <c r="D468" s="34"/>
      <c r="E468" s="34"/>
      <c r="F468" s="34"/>
      <c r="G468" s="35"/>
      <c r="H468" s="35"/>
      <c r="I468" s="35"/>
      <c r="J468" s="25"/>
      <c r="K468" s="34"/>
      <c r="L468" s="35"/>
      <c r="M468" s="34"/>
      <c r="N468" s="34"/>
      <c r="O468" s="37"/>
      <c r="P468" s="35"/>
      <c r="Q468" s="36"/>
      <c r="R468" s="25"/>
      <c r="S468" s="25"/>
      <c r="T468" s="34"/>
      <c r="U468" s="25"/>
      <c r="V468" s="25"/>
      <c r="W468" s="25"/>
      <c r="X468" s="34"/>
      <c r="Y468" s="25"/>
      <c r="Z468" s="25"/>
      <c r="AA468" s="34"/>
      <c r="AG468" s="34"/>
      <c r="AH468" s="34"/>
      <c r="AI468" s="34"/>
      <c r="AJ468" s="34"/>
      <c r="AK468" s="34"/>
      <c r="AL468" s="34"/>
      <c r="AM468" s="34"/>
      <c r="AN468" s="34"/>
      <c r="AO468" s="37"/>
      <c r="AP468" s="37"/>
      <c r="AQ468" s="37"/>
      <c r="AR468" s="25"/>
      <c r="AS468" s="25"/>
      <c r="AT468" s="38"/>
      <c r="AU468" s="39"/>
      <c r="AV468" s="34"/>
      <c r="AW468" s="34"/>
      <c r="AX468" s="34"/>
    </row>
    <row r="469" spans="2:50">
      <c r="B469" s="33"/>
      <c r="C469" s="25"/>
      <c r="D469" s="34"/>
      <c r="E469" s="34"/>
      <c r="F469" s="34"/>
      <c r="G469" s="35"/>
      <c r="H469" s="35"/>
      <c r="I469" s="35"/>
      <c r="J469" s="25"/>
      <c r="K469" s="34"/>
      <c r="L469" s="35"/>
      <c r="M469" s="34"/>
      <c r="N469" s="34"/>
      <c r="O469" s="37"/>
      <c r="P469" s="35"/>
      <c r="Q469" s="36"/>
      <c r="R469" s="25"/>
      <c r="S469" s="25"/>
      <c r="T469" s="34"/>
      <c r="U469" s="25"/>
      <c r="V469" s="25"/>
      <c r="W469" s="25"/>
      <c r="X469" s="34"/>
      <c r="Y469" s="25"/>
      <c r="Z469" s="25"/>
      <c r="AA469" s="34"/>
      <c r="AG469" s="34"/>
      <c r="AH469" s="34"/>
      <c r="AI469" s="34"/>
      <c r="AJ469" s="34"/>
      <c r="AK469" s="34"/>
      <c r="AL469" s="34"/>
      <c r="AM469" s="34"/>
      <c r="AN469" s="34"/>
      <c r="AO469" s="37"/>
      <c r="AP469" s="37"/>
      <c r="AQ469" s="37"/>
      <c r="AR469" s="25"/>
      <c r="AS469" s="25"/>
      <c r="AT469" s="38"/>
      <c r="AU469" s="39"/>
      <c r="AV469" s="34"/>
      <c r="AW469" s="34"/>
      <c r="AX469" s="34"/>
    </row>
    <row r="470" spans="2:50">
      <c r="B470" s="33"/>
      <c r="C470" s="25"/>
      <c r="D470" s="34"/>
      <c r="E470" s="34"/>
      <c r="F470" s="34"/>
      <c r="G470" s="35"/>
      <c r="H470" s="35"/>
      <c r="I470" s="35"/>
      <c r="J470" s="25"/>
      <c r="K470" s="34"/>
      <c r="L470" s="35"/>
      <c r="M470" s="34"/>
      <c r="N470" s="34"/>
      <c r="O470" s="37"/>
      <c r="P470" s="35"/>
      <c r="Q470" s="36"/>
      <c r="R470" s="25"/>
      <c r="S470" s="25"/>
      <c r="T470" s="34"/>
      <c r="U470" s="25"/>
      <c r="V470" s="25"/>
      <c r="W470" s="25"/>
      <c r="X470" s="34"/>
      <c r="Y470" s="25"/>
      <c r="Z470" s="25"/>
      <c r="AA470" s="34"/>
      <c r="AG470" s="34"/>
      <c r="AH470" s="34"/>
      <c r="AI470" s="34"/>
      <c r="AJ470" s="34"/>
      <c r="AK470" s="34"/>
      <c r="AL470" s="34"/>
      <c r="AM470" s="34"/>
      <c r="AN470" s="34"/>
      <c r="AO470" s="37"/>
      <c r="AP470" s="37"/>
      <c r="AQ470" s="37"/>
      <c r="AR470" s="25"/>
      <c r="AS470" s="25"/>
      <c r="AT470" s="38"/>
      <c r="AU470" s="39"/>
      <c r="AV470" s="34"/>
      <c r="AW470" s="34"/>
      <c r="AX470" s="34"/>
    </row>
    <row r="471" spans="2:50">
      <c r="B471" s="33"/>
      <c r="C471" s="25"/>
      <c r="D471" s="34"/>
      <c r="E471" s="34"/>
      <c r="F471" s="34"/>
      <c r="G471" s="35"/>
      <c r="H471" s="35"/>
      <c r="I471" s="35"/>
      <c r="J471" s="25"/>
      <c r="K471" s="34"/>
      <c r="L471" s="35"/>
      <c r="M471" s="34"/>
      <c r="N471" s="34"/>
      <c r="O471" s="37"/>
      <c r="P471" s="35"/>
      <c r="Q471" s="36"/>
      <c r="R471" s="25"/>
      <c r="S471" s="25"/>
      <c r="T471" s="34"/>
      <c r="U471" s="25"/>
      <c r="V471" s="25"/>
      <c r="W471" s="25"/>
      <c r="X471" s="34"/>
      <c r="Y471" s="25"/>
      <c r="Z471" s="25"/>
      <c r="AA471" s="34"/>
      <c r="AG471" s="34"/>
      <c r="AH471" s="34"/>
      <c r="AI471" s="34"/>
      <c r="AJ471" s="34"/>
      <c r="AK471" s="34"/>
      <c r="AL471" s="34"/>
      <c r="AM471" s="34"/>
      <c r="AN471" s="34"/>
      <c r="AO471" s="37"/>
      <c r="AP471" s="37"/>
      <c r="AQ471" s="37"/>
      <c r="AR471" s="25"/>
      <c r="AS471" s="25"/>
      <c r="AT471" s="38"/>
      <c r="AU471" s="39"/>
      <c r="AV471" s="34"/>
      <c r="AW471" s="34"/>
      <c r="AX471" s="34"/>
    </row>
    <row r="472" spans="2:50">
      <c r="B472" s="33"/>
      <c r="C472" s="25"/>
      <c r="D472" s="34"/>
      <c r="E472" s="34"/>
      <c r="F472" s="34"/>
      <c r="G472" s="35"/>
      <c r="H472" s="35"/>
      <c r="I472" s="35"/>
      <c r="J472" s="25"/>
      <c r="K472" s="34"/>
      <c r="L472" s="35"/>
      <c r="M472" s="34"/>
      <c r="N472" s="34"/>
      <c r="O472" s="37"/>
      <c r="P472" s="35"/>
      <c r="Q472" s="36"/>
      <c r="R472" s="25"/>
      <c r="S472" s="25"/>
      <c r="T472" s="34"/>
      <c r="U472" s="25"/>
      <c r="V472" s="25"/>
      <c r="W472" s="25"/>
      <c r="X472" s="34"/>
      <c r="Y472" s="25"/>
      <c r="Z472" s="25"/>
      <c r="AA472" s="34"/>
      <c r="AG472" s="34"/>
      <c r="AH472" s="34"/>
      <c r="AI472" s="34"/>
      <c r="AJ472" s="34"/>
      <c r="AK472" s="34"/>
      <c r="AL472" s="34"/>
      <c r="AM472" s="34"/>
      <c r="AN472" s="34"/>
      <c r="AO472" s="37"/>
      <c r="AP472" s="37"/>
      <c r="AQ472" s="37"/>
      <c r="AR472" s="25"/>
      <c r="AS472" s="25"/>
      <c r="AT472" s="38"/>
      <c r="AU472" s="39"/>
      <c r="AV472" s="34"/>
      <c r="AW472" s="34"/>
      <c r="AX472" s="34"/>
    </row>
    <row r="473" spans="2:50">
      <c r="B473" s="33"/>
      <c r="C473" s="25"/>
      <c r="D473" s="34"/>
      <c r="E473" s="34"/>
      <c r="F473" s="34"/>
      <c r="G473" s="35"/>
      <c r="H473" s="35"/>
      <c r="I473" s="35"/>
      <c r="J473" s="25"/>
      <c r="K473" s="34"/>
      <c r="L473" s="35"/>
      <c r="M473" s="34"/>
      <c r="N473" s="34"/>
      <c r="O473" s="37"/>
      <c r="P473" s="35"/>
      <c r="Q473" s="36"/>
      <c r="R473" s="25"/>
      <c r="S473" s="25"/>
      <c r="T473" s="34"/>
      <c r="U473" s="25"/>
      <c r="V473" s="25"/>
      <c r="W473" s="25"/>
      <c r="X473" s="34"/>
      <c r="Y473" s="25"/>
      <c r="Z473" s="25"/>
      <c r="AA473" s="34"/>
      <c r="AG473" s="34"/>
      <c r="AH473" s="34"/>
      <c r="AI473" s="34"/>
      <c r="AJ473" s="34"/>
      <c r="AK473" s="34"/>
      <c r="AL473" s="34"/>
      <c r="AM473" s="34"/>
      <c r="AN473" s="34"/>
      <c r="AO473" s="37"/>
      <c r="AP473" s="37"/>
      <c r="AQ473" s="37"/>
      <c r="AR473" s="25"/>
      <c r="AS473" s="25"/>
      <c r="AT473" s="38"/>
      <c r="AU473" s="39"/>
      <c r="AV473" s="34"/>
      <c r="AW473" s="34"/>
      <c r="AX473" s="34"/>
    </row>
    <row r="474" spans="2:50">
      <c r="B474" s="33"/>
      <c r="C474" s="25"/>
      <c r="D474" s="34"/>
      <c r="E474" s="34"/>
      <c r="F474" s="34"/>
      <c r="G474" s="35"/>
      <c r="H474" s="35"/>
      <c r="I474" s="35"/>
      <c r="J474" s="25"/>
      <c r="K474" s="34"/>
      <c r="L474" s="35"/>
      <c r="M474" s="34"/>
      <c r="N474" s="34"/>
      <c r="O474" s="37"/>
      <c r="P474" s="35"/>
      <c r="Q474" s="36"/>
      <c r="R474" s="25"/>
      <c r="S474" s="25"/>
      <c r="T474" s="34"/>
      <c r="U474" s="25"/>
      <c r="V474" s="25"/>
      <c r="W474" s="25"/>
      <c r="X474" s="34"/>
      <c r="Y474" s="25"/>
      <c r="Z474" s="25"/>
      <c r="AA474" s="34"/>
      <c r="AG474" s="34"/>
      <c r="AH474" s="34"/>
      <c r="AI474" s="34"/>
      <c r="AJ474" s="34"/>
      <c r="AK474" s="34"/>
      <c r="AL474" s="34"/>
      <c r="AM474" s="34"/>
      <c r="AN474" s="34"/>
      <c r="AO474" s="37"/>
      <c r="AP474" s="37"/>
      <c r="AQ474" s="37"/>
      <c r="AR474" s="25"/>
      <c r="AS474" s="25"/>
      <c r="AT474" s="38"/>
      <c r="AU474" s="39"/>
      <c r="AV474" s="34"/>
      <c r="AW474" s="34"/>
      <c r="AX474" s="34"/>
    </row>
    <row r="475" spans="2:50">
      <c r="B475" s="33"/>
      <c r="C475" s="25"/>
      <c r="D475" s="34"/>
      <c r="E475" s="34"/>
      <c r="F475" s="34"/>
      <c r="G475" s="35"/>
      <c r="H475" s="35"/>
      <c r="I475" s="35"/>
      <c r="J475" s="25"/>
      <c r="K475" s="34"/>
      <c r="L475" s="35"/>
      <c r="M475" s="34"/>
      <c r="N475" s="34"/>
      <c r="O475" s="37"/>
      <c r="P475" s="35"/>
      <c r="Q475" s="36"/>
      <c r="R475" s="25"/>
      <c r="S475" s="25"/>
      <c r="T475" s="34"/>
      <c r="U475" s="25"/>
      <c r="V475" s="25"/>
      <c r="W475" s="25"/>
      <c r="X475" s="34"/>
      <c r="Y475" s="25"/>
      <c r="Z475" s="25"/>
      <c r="AA475" s="34"/>
      <c r="AG475" s="34"/>
      <c r="AH475" s="34"/>
      <c r="AI475" s="34"/>
      <c r="AJ475" s="34"/>
      <c r="AK475" s="34"/>
      <c r="AL475" s="34"/>
      <c r="AM475" s="34"/>
      <c r="AN475" s="34"/>
      <c r="AO475" s="37"/>
      <c r="AP475" s="37"/>
      <c r="AQ475" s="37"/>
      <c r="AR475" s="25"/>
      <c r="AS475" s="25"/>
      <c r="AT475" s="38"/>
      <c r="AU475" s="39"/>
      <c r="AV475" s="34"/>
      <c r="AW475" s="34"/>
      <c r="AX475" s="34"/>
    </row>
    <row r="476" spans="2:50">
      <c r="B476" s="33"/>
      <c r="C476" s="25"/>
      <c r="D476" s="34"/>
      <c r="E476" s="34"/>
      <c r="F476" s="34"/>
      <c r="G476" s="35"/>
      <c r="H476" s="35"/>
      <c r="I476" s="35"/>
      <c r="J476" s="25"/>
      <c r="K476" s="34"/>
      <c r="L476" s="35"/>
      <c r="M476" s="34"/>
      <c r="N476" s="34"/>
      <c r="O476" s="37"/>
      <c r="P476" s="35"/>
      <c r="Q476" s="36"/>
      <c r="R476" s="25"/>
      <c r="S476" s="25"/>
      <c r="T476" s="34"/>
      <c r="U476" s="25"/>
      <c r="V476" s="25"/>
      <c r="W476" s="25"/>
      <c r="X476" s="34"/>
      <c r="Y476" s="25"/>
      <c r="Z476" s="25"/>
      <c r="AA476" s="34"/>
      <c r="AG476" s="34"/>
      <c r="AH476" s="34"/>
      <c r="AI476" s="34"/>
      <c r="AJ476" s="34"/>
      <c r="AK476" s="34"/>
      <c r="AL476" s="34"/>
      <c r="AM476" s="34"/>
      <c r="AN476" s="34"/>
      <c r="AO476" s="37"/>
      <c r="AP476" s="37"/>
      <c r="AQ476" s="37"/>
      <c r="AR476" s="25"/>
      <c r="AS476" s="25"/>
      <c r="AT476" s="38"/>
      <c r="AU476" s="39"/>
      <c r="AV476" s="34"/>
      <c r="AW476" s="34"/>
      <c r="AX476" s="34"/>
    </row>
    <row r="477" spans="2:50">
      <c r="B477" s="33"/>
      <c r="C477" s="25"/>
      <c r="D477" s="34"/>
      <c r="E477" s="34"/>
      <c r="F477" s="34"/>
      <c r="G477" s="35"/>
      <c r="H477" s="35"/>
      <c r="I477" s="35"/>
      <c r="J477" s="25"/>
      <c r="K477" s="34"/>
      <c r="L477" s="35"/>
      <c r="M477" s="34"/>
      <c r="N477" s="34"/>
      <c r="O477" s="37"/>
      <c r="P477" s="35"/>
      <c r="Q477" s="36"/>
      <c r="R477" s="25"/>
      <c r="S477" s="25"/>
      <c r="T477" s="34"/>
      <c r="U477" s="25"/>
      <c r="V477" s="25"/>
      <c r="W477" s="25"/>
      <c r="X477" s="34"/>
      <c r="Y477" s="25"/>
      <c r="Z477" s="25"/>
      <c r="AA477" s="34"/>
      <c r="AG477" s="34"/>
      <c r="AH477" s="34"/>
      <c r="AI477" s="34"/>
      <c r="AJ477" s="34"/>
      <c r="AK477" s="34"/>
      <c r="AL477" s="34"/>
      <c r="AM477" s="34"/>
      <c r="AN477" s="34"/>
      <c r="AO477" s="37"/>
      <c r="AP477" s="37"/>
      <c r="AQ477" s="37"/>
      <c r="AR477" s="25"/>
      <c r="AS477" s="25"/>
      <c r="AT477" s="38"/>
      <c r="AU477" s="39"/>
      <c r="AV477" s="34"/>
      <c r="AW477" s="34"/>
      <c r="AX477" s="34"/>
    </row>
    <row r="478" spans="2:50">
      <c r="B478" s="33"/>
      <c r="C478" s="25"/>
      <c r="D478" s="34"/>
      <c r="E478" s="34"/>
      <c r="F478" s="34"/>
      <c r="G478" s="35"/>
      <c r="H478" s="35"/>
      <c r="I478" s="35"/>
      <c r="J478" s="25"/>
      <c r="K478" s="34"/>
      <c r="L478" s="35"/>
      <c r="M478" s="34"/>
      <c r="N478" s="34"/>
      <c r="O478" s="37"/>
      <c r="P478" s="35"/>
      <c r="Q478" s="36"/>
      <c r="R478" s="25"/>
      <c r="S478" s="25"/>
      <c r="T478" s="34"/>
      <c r="U478" s="25"/>
      <c r="V478" s="25"/>
      <c r="W478" s="25"/>
      <c r="X478" s="34"/>
      <c r="Y478" s="25"/>
      <c r="Z478" s="25"/>
      <c r="AA478" s="34"/>
      <c r="AG478" s="34"/>
      <c r="AH478" s="34"/>
      <c r="AI478" s="34"/>
      <c r="AJ478" s="34"/>
      <c r="AK478" s="34"/>
      <c r="AL478" s="34"/>
      <c r="AM478" s="34"/>
      <c r="AN478" s="34"/>
      <c r="AO478" s="37"/>
      <c r="AP478" s="37"/>
      <c r="AQ478" s="37"/>
      <c r="AR478" s="25"/>
      <c r="AS478" s="25"/>
      <c r="AT478" s="38"/>
      <c r="AU478" s="39"/>
      <c r="AV478" s="34"/>
      <c r="AW478" s="34"/>
      <c r="AX478" s="34"/>
    </row>
    <row r="479" spans="2:50">
      <c r="B479" s="33"/>
      <c r="C479" s="25"/>
      <c r="D479" s="34"/>
      <c r="E479" s="34"/>
      <c r="F479" s="34"/>
      <c r="G479" s="35"/>
      <c r="H479" s="35"/>
      <c r="I479" s="35"/>
      <c r="J479" s="25"/>
      <c r="K479" s="34"/>
      <c r="L479" s="35"/>
      <c r="M479" s="34"/>
      <c r="N479" s="34"/>
      <c r="O479" s="37"/>
      <c r="P479" s="35"/>
      <c r="Q479" s="36"/>
      <c r="R479" s="25"/>
      <c r="S479" s="25"/>
      <c r="T479" s="34"/>
      <c r="U479" s="25"/>
      <c r="V479" s="25"/>
      <c r="W479" s="25"/>
      <c r="X479" s="34"/>
      <c r="Y479" s="25"/>
      <c r="Z479" s="25"/>
      <c r="AA479" s="34"/>
      <c r="AG479" s="34"/>
      <c r="AH479" s="34"/>
      <c r="AI479" s="34"/>
      <c r="AJ479" s="34"/>
      <c r="AK479" s="34"/>
      <c r="AL479" s="34"/>
      <c r="AM479" s="34"/>
      <c r="AN479" s="34"/>
      <c r="AO479" s="37"/>
      <c r="AP479" s="37"/>
      <c r="AQ479" s="37"/>
      <c r="AR479" s="25"/>
      <c r="AS479" s="25"/>
      <c r="AT479" s="38"/>
      <c r="AU479" s="39"/>
      <c r="AV479" s="34"/>
      <c r="AW479" s="34"/>
      <c r="AX479" s="34"/>
    </row>
    <row r="480" spans="2:50">
      <c r="B480" s="33"/>
      <c r="C480" s="25"/>
      <c r="D480" s="34"/>
      <c r="E480" s="34"/>
      <c r="F480" s="34"/>
      <c r="G480" s="35"/>
      <c r="H480" s="35"/>
      <c r="I480" s="35"/>
      <c r="J480" s="25"/>
      <c r="K480" s="34"/>
      <c r="L480" s="35"/>
      <c r="M480" s="34"/>
      <c r="N480" s="34"/>
      <c r="O480" s="37"/>
      <c r="P480" s="35"/>
      <c r="Q480" s="36"/>
      <c r="R480" s="25"/>
      <c r="S480" s="25"/>
      <c r="T480" s="34"/>
      <c r="U480" s="25"/>
      <c r="V480" s="25"/>
      <c r="W480" s="25"/>
      <c r="X480" s="34"/>
      <c r="Y480" s="25"/>
      <c r="Z480" s="25"/>
      <c r="AA480" s="34"/>
      <c r="AG480" s="34"/>
      <c r="AH480" s="34"/>
      <c r="AI480" s="34"/>
      <c r="AJ480" s="34"/>
      <c r="AK480" s="34"/>
      <c r="AL480" s="34"/>
      <c r="AM480" s="34"/>
      <c r="AN480" s="34"/>
      <c r="AO480" s="37"/>
      <c r="AP480" s="37"/>
      <c r="AQ480" s="37"/>
      <c r="AR480" s="25"/>
      <c r="AS480" s="25"/>
      <c r="AT480" s="38"/>
      <c r="AU480" s="39"/>
      <c r="AV480" s="34"/>
      <c r="AW480" s="34"/>
      <c r="AX480" s="34"/>
    </row>
    <row r="481" spans="2:50">
      <c r="B481" s="33"/>
      <c r="C481" s="25"/>
      <c r="D481" s="34"/>
      <c r="E481" s="34"/>
      <c r="F481" s="34"/>
      <c r="G481" s="35"/>
      <c r="H481" s="35"/>
      <c r="I481" s="35"/>
      <c r="J481" s="25"/>
      <c r="K481" s="34"/>
      <c r="L481" s="35"/>
      <c r="M481" s="34"/>
      <c r="N481" s="34"/>
      <c r="O481" s="37"/>
      <c r="P481" s="35"/>
      <c r="Q481" s="36"/>
      <c r="R481" s="25"/>
      <c r="S481" s="25"/>
      <c r="T481" s="34"/>
      <c r="U481" s="25"/>
      <c r="V481" s="25"/>
      <c r="W481" s="25"/>
      <c r="X481" s="34"/>
      <c r="Y481" s="25"/>
      <c r="Z481" s="25"/>
      <c r="AA481" s="34"/>
      <c r="AG481" s="34"/>
      <c r="AH481" s="34"/>
      <c r="AI481" s="34"/>
      <c r="AJ481" s="34"/>
      <c r="AK481" s="34"/>
      <c r="AL481" s="34"/>
      <c r="AM481" s="34"/>
      <c r="AN481" s="34"/>
      <c r="AO481" s="37"/>
      <c r="AP481" s="37"/>
      <c r="AQ481" s="37"/>
      <c r="AR481" s="25"/>
      <c r="AS481" s="25"/>
      <c r="AT481" s="38"/>
      <c r="AU481" s="39"/>
      <c r="AV481" s="34"/>
      <c r="AW481" s="34"/>
      <c r="AX481" s="34"/>
    </row>
    <row r="482" spans="2:50">
      <c r="B482" s="33"/>
      <c r="C482" s="25"/>
      <c r="D482" s="34"/>
      <c r="E482" s="34"/>
      <c r="F482" s="34"/>
      <c r="G482" s="35"/>
      <c r="H482" s="35"/>
      <c r="I482" s="35"/>
      <c r="J482" s="25"/>
      <c r="K482" s="34"/>
      <c r="L482" s="35"/>
      <c r="M482" s="34"/>
      <c r="N482" s="34"/>
      <c r="O482" s="37"/>
      <c r="P482" s="35"/>
      <c r="Q482" s="36"/>
      <c r="R482" s="25"/>
      <c r="S482" s="25"/>
      <c r="T482" s="34"/>
      <c r="U482" s="25"/>
      <c r="V482" s="25"/>
      <c r="W482" s="25"/>
      <c r="X482" s="34"/>
      <c r="Y482" s="25"/>
      <c r="Z482" s="25"/>
      <c r="AA482" s="34"/>
      <c r="AG482" s="34"/>
      <c r="AH482" s="34"/>
      <c r="AI482" s="34"/>
      <c r="AJ482" s="34"/>
      <c r="AK482" s="34"/>
      <c r="AL482" s="34"/>
      <c r="AM482" s="34"/>
      <c r="AN482" s="34"/>
      <c r="AO482" s="37"/>
      <c r="AP482" s="37"/>
      <c r="AQ482" s="37"/>
      <c r="AR482" s="25"/>
      <c r="AS482" s="25"/>
      <c r="AT482" s="38"/>
      <c r="AU482" s="39"/>
      <c r="AV482" s="34"/>
      <c r="AW482" s="34"/>
      <c r="AX482" s="34"/>
    </row>
    <row r="483" spans="2:50">
      <c r="B483" s="33"/>
      <c r="C483" s="25"/>
      <c r="D483" s="34"/>
      <c r="E483" s="34"/>
      <c r="F483" s="34"/>
      <c r="G483" s="35"/>
      <c r="H483" s="35"/>
      <c r="I483" s="35"/>
      <c r="J483" s="25"/>
      <c r="K483" s="34"/>
      <c r="L483" s="35"/>
      <c r="M483" s="34"/>
      <c r="N483" s="34"/>
      <c r="O483" s="37"/>
      <c r="P483" s="35"/>
      <c r="Q483" s="36"/>
      <c r="R483" s="25"/>
      <c r="S483" s="25"/>
      <c r="T483" s="34"/>
      <c r="U483" s="25"/>
      <c r="V483" s="25"/>
      <c r="W483" s="25"/>
      <c r="X483" s="34"/>
      <c r="Y483" s="25"/>
      <c r="Z483" s="25"/>
      <c r="AA483" s="34"/>
      <c r="AG483" s="34"/>
      <c r="AH483" s="34"/>
      <c r="AI483" s="34"/>
      <c r="AJ483" s="34"/>
      <c r="AK483" s="34"/>
      <c r="AL483" s="34"/>
      <c r="AM483" s="34"/>
      <c r="AN483" s="34"/>
      <c r="AO483" s="37"/>
      <c r="AP483" s="37"/>
      <c r="AQ483" s="37"/>
      <c r="AR483" s="25"/>
      <c r="AS483" s="25"/>
      <c r="AT483" s="38"/>
      <c r="AU483" s="39"/>
      <c r="AV483" s="34"/>
      <c r="AW483" s="34"/>
      <c r="AX483" s="34"/>
    </row>
    <row r="484" spans="2:50">
      <c r="B484" s="33"/>
      <c r="C484" s="25"/>
      <c r="D484" s="34"/>
      <c r="E484" s="34"/>
      <c r="F484" s="34"/>
      <c r="G484" s="35"/>
      <c r="H484" s="35"/>
      <c r="I484" s="35"/>
      <c r="J484" s="25"/>
      <c r="K484" s="34"/>
      <c r="L484" s="35"/>
      <c r="M484" s="34"/>
      <c r="N484" s="34"/>
      <c r="O484" s="37"/>
      <c r="P484" s="35"/>
      <c r="Q484" s="36"/>
      <c r="R484" s="25"/>
      <c r="S484" s="25"/>
      <c r="T484" s="34"/>
      <c r="U484" s="25"/>
      <c r="V484" s="25"/>
      <c r="W484" s="25"/>
      <c r="X484" s="34"/>
      <c r="Y484" s="25"/>
      <c r="Z484" s="25"/>
      <c r="AA484" s="34"/>
      <c r="AG484" s="34"/>
      <c r="AH484" s="34"/>
      <c r="AI484" s="34"/>
      <c r="AJ484" s="34"/>
      <c r="AK484" s="34"/>
      <c r="AL484" s="34"/>
      <c r="AM484" s="34"/>
      <c r="AN484" s="34"/>
      <c r="AO484" s="37"/>
      <c r="AP484" s="37"/>
      <c r="AQ484" s="37"/>
      <c r="AR484" s="25"/>
      <c r="AS484" s="25"/>
      <c r="AT484" s="38"/>
      <c r="AU484" s="39"/>
      <c r="AV484" s="34"/>
      <c r="AW484" s="34"/>
      <c r="AX484" s="34"/>
    </row>
    <row r="485" spans="2:50">
      <c r="B485" s="33"/>
      <c r="C485" s="25"/>
      <c r="D485" s="34"/>
      <c r="E485" s="34"/>
      <c r="F485" s="34"/>
      <c r="G485" s="35"/>
      <c r="H485" s="35"/>
      <c r="I485" s="35"/>
      <c r="J485" s="25"/>
      <c r="K485" s="34"/>
      <c r="L485" s="35"/>
      <c r="M485" s="34"/>
      <c r="N485" s="34"/>
      <c r="O485" s="37"/>
      <c r="P485" s="35"/>
      <c r="Q485" s="36"/>
      <c r="R485" s="25"/>
      <c r="S485" s="25"/>
      <c r="T485" s="34"/>
      <c r="U485" s="25"/>
      <c r="V485" s="25"/>
      <c r="W485" s="25"/>
      <c r="X485" s="34"/>
      <c r="Y485" s="25"/>
      <c r="Z485" s="25"/>
      <c r="AA485" s="34"/>
      <c r="AG485" s="34"/>
      <c r="AH485" s="34"/>
      <c r="AI485" s="34"/>
      <c r="AJ485" s="34"/>
      <c r="AK485" s="34"/>
      <c r="AL485" s="34"/>
      <c r="AM485" s="34"/>
      <c r="AN485" s="34"/>
      <c r="AO485" s="37"/>
      <c r="AP485" s="37"/>
      <c r="AQ485" s="37"/>
      <c r="AR485" s="25"/>
      <c r="AS485" s="25"/>
      <c r="AT485" s="38"/>
      <c r="AU485" s="39"/>
      <c r="AV485" s="34"/>
      <c r="AW485" s="34"/>
      <c r="AX485" s="34"/>
    </row>
    <row r="486" spans="2:50">
      <c r="B486" s="33"/>
      <c r="C486" s="25"/>
      <c r="D486" s="34"/>
      <c r="E486" s="34"/>
      <c r="F486" s="34"/>
      <c r="G486" s="35"/>
      <c r="H486" s="35"/>
      <c r="I486" s="35"/>
      <c r="J486" s="25"/>
      <c r="K486" s="34"/>
      <c r="L486" s="35"/>
      <c r="M486" s="34"/>
      <c r="N486" s="34"/>
      <c r="O486" s="37"/>
      <c r="P486" s="35"/>
      <c r="Q486" s="36"/>
      <c r="R486" s="25"/>
      <c r="S486" s="25"/>
      <c r="T486" s="34"/>
      <c r="U486" s="25"/>
      <c r="V486" s="25"/>
      <c r="W486" s="25"/>
      <c r="X486" s="34"/>
      <c r="Y486" s="25"/>
      <c r="Z486" s="25"/>
      <c r="AA486" s="34"/>
      <c r="AG486" s="34"/>
      <c r="AH486" s="34"/>
      <c r="AI486" s="34"/>
      <c r="AJ486" s="34"/>
      <c r="AK486" s="34"/>
      <c r="AL486" s="34"/>
      <c r="AM486" s="34"/>
      <c r="AN486" s="34"/>
      <c r="AO486" s="37"/>
      <c r="AP486" s="37"/>
      <c r="AQ486" s="37"/>
      <c r="AR486" s="25"/>
      <c r="AS486" s="25"/>
      <c r="AT486" s="38"/>
      <c r="AU486" s="39"/>
      <c r="AV486" s="34"/>
      <c r="AW486" s="34"/>
      <c r="AX486" s="34"/>
    </row>
    <row r="487" spans="2:50">
      <c r="B487" s="33"/>
      <c r="C487" s="25"/>
      <c r="D487" s="34"/>
      <c r="E487" s="34"/>
      <c r="F487" s="34"/>
      <c r="G487" s="35"/>
      <c r="H487" s="35"/>
      <c r="I487" s="35"/>
      <c r="J487" s="25"/>
      <c r="K487" s="34"/>
      <c r="L487" s="35"/>
      <c r="M487" s="34"/>
      <c r="N487" s="34"/>
      <c r="O487" s="37"/>
      <c r="P487" s="35"/>
      <c r="Q487" s="36"/>
      <c r="R487" s="25"/>
      <c r="S487" s="25"/>
      <c r="T487" s="34"/>
      <c r="U487" s="25"/>
      <c r="V487" s="25"/>
      <c r="W487" s="25"/>
      <c r="X487" s="34"/>
      <c r="Y487" s="25"/>
      <c r="Z487" s="25"/>
      <c r="AA487" s="34"/>
      <c r="AG487" s="34"/>
      <c r="AH487" s="34"/>
      <c r="AI487" s="34"/>
      <c r="AJ487" s="34"/>
      <c r="AK487" s="34"/>
      <c r="AL487" s="34"/>
      <c r="AM487" s="34"/>
      <c r="AN487" s="34"/>
      <c r="AO487" s="37"/>
      <c r="AP487" s="37"/>
      <c r="AQ487" s="37"/>
      <c r="AR487" s="25"/>
      <c r="AS487" s="25"/>
      <c r="AT487" s="38"/>
      <c r="AU487" s="39"/>
      <c r="AV487" s="34"/>
      <c r="AW487" s="34"/>
      <c r="AX487" s="34"/>
    </row>
    <row r="488" spans="2:50">
      <c r="B488" s="33"/>
      <c r="C488" s="25"/>
      <c r="D488" s="34"/>
      <c r="E488" s="34"/>
      <c r="F488" s="34"/>
      <c r="G488" s="35"/>
      <c r="H488" s="35"/>
      <c r="I488" s="35"/>
      <c r="J488" s="25"/>
      <c r="K488" s="34"/>
      <c r="L488" s="35"/>
      <c r="M488" s="34"/>
      <c r="N488" s="34"/>
      <c r="O488" s="37"/>
      <c r="P488" s="35"/>
      <c r="Q488" s="36"/>
      <c r="R488" s="25"/>
      <c r="S488" s="25"/>
      <c r="T488" s="34"/>
      <c r="U488" s="25"/>
      <c r="V488" s="25"/>
      <c r="W488" s="25"/>
      <c r="X488" s="34"/>
      <c r="Y488" s="25"/>
      <c r="Z488" s="25"/>
      <c r="AA488" s="34"/>
      <c r="AG488" s="34"/>
      <c r="AH488" s="34"/>
      <c r="AI488" s="34"/>
      <c r="AJ488" s="34"/>
      <c r="AK488" s="34"/>
      <c r="AL488" s="34"/>
      <c r="AM488" s="34"/>
      <c r="AN488" s="34"/>
      <c r="AO488" s="37"/>
      <c r="AP488" s="37"/>
      <c r="AQ488" s="37"/>
      <c r="AR488" s="25"/>
      <c r="AS488" s="25"/>
      <c r="AT488" s="38"/>
      <c r="AU488" s="39"/>
      <c r="AV488" s="34"/>
      <c r="AW488" s="34"/>
      <c r="AX488" s="34"/>
    </row>
    <row r="489" spans="2:50">
      <c r="B489" s="33"/>
      <c r="C489" s="25"/>
      <c r="D489" s="34"/>
      <c r="E489" s="34"/>
      <c r="F489" s="34"/>
      <c r="G489" s="35"/>
      <c r="H489" s="35"/>
      <c r="I489" s="35"/>
      <c r="J489" s="25"/>
      <c r="K489" s="34"/>
      <c r="L489" s="35"/>
      <c r="M489" s="34"/>
      <c r="N489" s="34"/>
      <c r="O489" s="37"/>
      <c r="P489" s="35"/>
      <c r="Q489" s="36"/>
      <c r="R489" s="25"/>
      <c r="S489" s="25"/>
      <c r="T489" s="34"/>
      <c r="U489" s="25"/>
      <c r="V489" s="25"/>
      <c r="W489" s="25"/>
      <c r="X489" s="34"/>
      <c r="Y489" s="25"/>
      <c r="Z489" s="25"/>
      <c r="AA489" s="34"/>
      <c r="AG489" s="34"/>
      <c r="AH489" s="34"/>
      <c r="AI489" s="34"/>
      <c r="AJ489" s="34"/>
      <c r="AK489" s="34"/>
      <c r="AL489" s="34"/>
      <c r="AM489" s="34"/>
      <c r="AN489" s="34"/>
      <c r="AO489" s="37"/>
      <c r="AP489" s="37"/>
      <c r="AQ489" s="37"/>
      <c r="AR489" s="25"/>
      <c r="AS489" s="25"/>
      <c r="AT489" s="38"/>
      <c r="AU489" s="39"/>
      <c r="AV489" s="34"/>
      <c r="AW489" s="34"/>
      <c r="AX489" s="34"/>
    </row>
    <row r="490" spans="2:50">
      <c r="B490" s="33"/>
      <c r="C490" s="25"/>
      <c r="D490" s="34"/>
      <c r="E490" s="34"/>
      <c r="F490" s="34"/>
      <c r="G490" s="35"/>
      <c r="H490" s="35"/>
      <c r="I490" s="35"/>
      <c r="J490" s="25"/>
      <c r="K490" s="34"/>
      <c r="L490" s="35"/>
      <c r="M490" s="34"/>
      <c r="N490" s="34"/>
      <c r="O490" s="37"/>
      <c r="P490" s="35"/>
      <c r="Q490" s="36"/>
      <c r="R490" s="25"/>
      <c r="S490" s="25"/>
      <c r="T490" s="34"/>
      <c r="U490" s="25"/>
      <c r="V490" s="25"/>
      <c r="W490" s="25"/>
      <c r="X490" s="34"/>
      <c r="Y490" s="25"/>
      <c r="Z490" s="25"/>
      <c r="AA490" s="34"/>
      <c r="AG490" s="34"/>
      <c r="AH490" s="34"/>
      <c r="AI490" s="34"/>
      <c r="AJ490" s="34"/>
      <c r="AK490" s="34"/>
      <c r="AL490" s="34"/>
      <c r="AM490" s="34"/>
      <c r="AN490" s="34"/>
      <c r="AO490" s="37"/>
      <c r="AP490" s="37"/>
      <c r="AQ490" s="37"/>
      <c r="AR490" s="25"/>
      <c r="AS490" s="25"/>
      <c r="AT490" s="38"/>
      <c r="AU490" s="39"/>
      <c r="AV490" s="34"/>
      <c r="AW490" s="34"/>
      <c r="AX490" s="34"/>
    </row>
    <row r="491" spans="2:50">
      <c r="B491" s="33"/>
      <c r="C491" s="25"/>
      <c r="D491" s="34"/>
      <c r="E491" s="34"/>
      <c r="F491" s="34"/>
      <c r="G491" s="35"/>
      <c r="H491" s="35"/>
      <c r="I491" s="35"/>
      <c r="J491" s="25"/>
      <c r="K491" s="34"/>
      <c r="L491" s="35"/>
      <c r="M491" s="34"/>
      <c r="N491" s="34"/>
      <c r="O491" s="37"/>
      <c r="P491" s="35"/>
      <c r="Q491" s="36"/>
      <c r="R491" s="25"/>
      <c r="S491" s="25"/>
      <c r="T491" s="34"/>
      <c r="U491" s="25"/>
      <c r="V491" s="25"/>
      <c r="W491" s="25"/>
      <c r="X491" s="34"/>
      <c r="Y491" s="25"/>
      <c r="Z491" s="25"/>
      <c r="AA491" s="34"/>
      <c r="AG491" s="34"/>
      <c r="AH491" s="34"/>
      <c r="AI491" s="34"/>
      <c r="AJ491" s="34"/>
      <c r="AK491" s="34"/>
      <c r="AL491" s="34"/>
      <c r="AM491" s="34"/>
      <c r="AN491" s="34"/>
      <c r="AO491" s="37"/>
      <c r="AP491" s="37"/>
      <c r="AQ491" s="37"/>
      <c r="AR491" s="25"/>
      <c r="AS491" s="25"/>
      <c r="AT491" s="38"/>
      <c r="AU491" s="39"/>
      <c r="AV491" s="34"/>
      <c r="AW491" s="34"/>
      <c r="AX491" s="34"/>
    </row>
    <row r="492" spans="2:50">
      <c r="B492" s="33"/>
      <c r="C492" s="25"/>
      <c r="D492" s="34"/>
      <c r="E492" s="34"/>
      <c r="F492" s="34"/>
      <c r="G492" s="35"/>
      <c r="H492" s="35"/>
      <c r="I492" s="35"/>
      <c r="J492" s="25"/>
      <c r="K492" s="34"/>
      <c r="L492" s="35"/>
      <c r="M492" s="34"/>
      <c r="N492" s="34"/>
      <c r="O492" s="37"/>
      <c r="P492" s="35"/>
      <c r="Q492" s="36"/>
      <c r="R492" s="25"/>
      <c r="S492" s="25"/>
      <c r="T492" s="34"/>
      <c r="U492" s="25"/>
      <c r="V492" s="25"/>
      <c r="W492" s="25"/>
      <c r="X492" s="34"/>
      <c r="Y492" s="25"/>
      <c r="Z492" s="25"/>
      <c r="AA492" s="34"/>
      <c r="AG492" s="34"/>
      <c r="AH492" s="34"/>
      <c r="AI492" s="34"/>
      <c r="AJ492" s="34"/>
      <c r="AK492" s="34"/>
      <c r="AL492" s="34"/>
      <c r="AM492" s="34"/>
      <c r="AN492" s="34"/>
      <c r="AO492" s="37"/>
      <c r="AP492" s="37"/>
      <c r="AQ492" s="37"/>
      <c r="AR492" s="25"/>
      <c r="AS492" s="25"/>
      <c r="AT492" s="38"/>
      <c r="AU492" s="39"/>
      <c r="AV492" s="34"/>
      <c r="AW492" s="34"/>
      <c r="AX492" s="34"/>
    </row>
    <row r="493" spans="2:50">
      <c r="B493" s="33"/>
      <c r="C493" s="25"/>
      <c r="D493" s="34"/>
      <c r="E493" s="34"/>
      <c r="F493" s="34"/>
      <c r="G493" s="35"/>
      <c r="H493" s="35"/>
      <c r="I493" s="35"/>
      <c r="J493" s="25"/>
      <c r="K493" s="34"/>
      <c r="L493" s="35"/>
      <c r="M493" s="34"/>
      <c r="N493" s="34"/>
      <c r="O493" s="37"/>
      <c r="P493" s="35"/>
      <c r="Q493" s="36"/>
      <c r="R493" s="25"/>
      <c r="S493" s="25"/>
      <c r="T493" s="34"/>
      <c r="U493" s="25"/>
      <c r="V493" s="25"/>
      <c r="W493" s="25"/>
      <c r="X493" s="34"/>
      <c r="Y493" s="25"/>
      <c r="Z493" s="25"/>
      <c r="AA493" s="34"/>
      <c r="AG493" s="34"/>
      <c r="AH493" s="34"/>
      <c r="AI493" s="34"/>
      <c r="AJ493" s="34"/>
      <c r="AK493" s="34"/>
      <c r="AL493" s="34"/>
      <c r="AM493" s="34"/>
      <c r="AN493" s="34"/>
      <c r="AO493" s="37"/>
      <c r="AP493" s="37"/>
      <c r="AQ493" s="37"/>
      <c r="AR493" s="25"/>
      <c r="AS493" s="25"/>
      <c r="AT493" s="38"/>
      <c r="AU493" s="39"/>
      <c r="AV493" s="34"/>
      <c r="AW493" s="34"/>
      <c r="AX493" s="34"/>
    </row>
    <row r="494" spans="2:50">
      <c r="B494" s="33"/>
      <c r="C494" s="25"/>
      <c r="D494" s="34"/>
      <c r="E494" s="34"/>
      <c r="F494" s="34"/>
      <c r="G494" s="35"/>
      <c r="H494" s="35"/>
      <c r="I494" s="35"/>
      <c r="J494" s="25"/>
      <c r="K494" s="34"/>
      <c r="L494" s="35"/>
      <c r="M494" s="34"/>
      <c r="N494" s="34"/>
      <c r="O494" s="37"/>
      <c r="P494" s="35"/>
      <c r="Q494" s="36"/>
      <c r="R494" s="25"/>
      <c r="S494" s="25"/>
      <c r="T494" s="34"/>
      <c r="U494" s="25"/>
      <c r="V494" s="25"/>
      <c r="W494" s="25"/>
      <c r="X494" s="34"/>
      <c r="Y494" s="25"/>
      <c r="Z494" s="25"/>
      <c r="AA494" s="34"/>
      <c r="AG494" s="34"/>
      <c r="AH494" s="34"/>
      <c r="AI494" s="34"/>
      <c r="AJ494" s="34"/>
      <c r="AK494" s="34"/>
      <c r="AL494" s="34"/>
      <c r="AM494" s="34"/>
      <c r="AN494" s="34"/>
      <c r="AO494" s="37"/>
      <c r="AP494" s="37"/>
      <c r="AQ494" s="37"/>
      <c r="AR494" s="25"/>
      <c r="AS494" s="25"/>
      <c r="AT494" s="38"/>
      <c r="AU494" s="39"/>
      <c r="AV494" s="34"/>
      <c r="AW494" s="34"/>
      <c r="AX494" s="34"/>
    </row>
    <row r="495" spans="2:50">
      <c r="B495" s="33"/>
      <c r="C495" s="25"/>
      <c r="D495" s="34"/>
      <c r="E495" s="34"/>
      <c r="F495" s="34"/>
      <c r="G495" s="35"/>
      <c r="H495" s="35"/>
      <c r="I495" s="35"/>
      <c r="J495" s="25"/>
      <c r="K495" s="34"/>
      <c r="L495" s="35"/>
      <c r="M495" s="34"/>
      <c r="N495" s="34"/>
      <c r="O495" s="37"/>
      <c r="P495" s="35"/>
      <c r="Q495" s="36"/>
      <c r="R495" s="25"/>
      <c r="S495" s="25"/>
      <c r="T495" s="34"/>
      <c r="U495" s="25"/>
      <c r="V495" s="25"/>
      <c r="W495" s="25"/>
      <c r="X495" s="34"/>
      <c r="Y495" s="25"/>
      <c r="Z495" s="25"/>
      <c r="AA495" s="34"/>
      <c r="AG495" s="34"/>
      <c r="AH495" s="34"/>
      <c r="AI495" s="34"/>
      <c r="AJ495" s="34"/>
      <c r="AK495" s="34"/>
      <c r="AL495" s="34"/>
      <c r="AM495" s="34"/>
      <c r="AN495" s="34"/>
      <c r="AO495" s="37"/>
      <c r="AP495" s="37"/>
      <c r="AQ495" s="37"/>
      <c r="AR495" s="25"/>
      <c r="AS495" s="25"/>
      <c r="AT495" s="38"/>
      <c r="AU495" s="39"/>
      <c r="AV495" s="34"/>
      <c r="AW495" s="34"/>
      <c r="AX495" s="34"/>
    </row>
    <row r="496" spans="2:50">
      <c r="B496" s="33"/>
      <c r="C496" s="25"/>
      <c r="D496" s="34"/>
      <c r="E496" s="34"/>
      <c r="F496" s="34"/>
      <c r="G496" s="35"/>
      <c r="H496" s="35"/>
      <c r="I496" s="35"/>
      <c r="J496" s="25"/>
      <c r="K496" s="34"/>
      <c r="L496" s="35"/>
      <c r="M496" s="34"/>
      <c r="N496" s="34"/>
      <c r="O496" s="37"/>
      <c r="P496" s="35"/>
      <c r="Q496" s="36"/>
      <c r="R496" s="25"/>
      <c r="S496" s="25"/>
      <c r="T496" s="34"/>
      <c r="U496" s="25"/>
      <c r="V496" s="25"/>
      <c r="W496" s="25"/>
      <c r="X496" s="34"/>
      <c r="Y496" s="25"/>
      <c r="Z496" s="25"/>
      <c r="AA496" s="34"/>
      <c r="AG496" s="34"/>
      <c r="AH496" s="34"/>
      <c r="AI496" s="34"/>
      <c r="AJ496" s="34"/>
      <c r="AK496" s="34"/>
      <c r="AL496" s="34"/>
      <c r="AM496" s="34"/>
      <c r="AN496" s="34"/>
      <c r="AO496" s="37"/>
      <c r="AP496" s="37"/>
      <c r="AQ496" s="37"/>
      <c r="AR496" s="25"/>
      <c r="AS496" s="25"/>
      <c r="AT496" s="38"/>
      <c r="AU496" s="39"/>
      <c r="AV496" s="34"/>
      <c r="AW496" s="34"/>
      <c r="AX496" s="34"/>
    </row>
    <row r="497" spans="2:50">
      <c r="B497" s="33"/>
      <c r="C497" s="25"/>
      <c r="D497" s="34"/>
      <c r="E497" s="34"/>
      <c r="F497" s="34"/>
      <c r="G497" s="35"/>
      <c r="H497" s="35"/>
      <c r="I497" s="35"/>
      <c r="J497" s="25"/>
      <c r="K497" s="34"/>
      <c r="L497" s="35"/>
      <c r="M497" s="34"/>
      <c r="N497" s="34"/>
      <c r="O497" s="37"/>
      <c r="P497" s="35"/>
      <c r="Q497" s="36"/>
      <c r="R497" s="25"/>
      <c r="S497" s="25"/>
      <c r="T497" s="34"/>
      <c r="U497" s="25"/>
      <c r="V497" s="25"/>
      <c r="W497" s="25"/>
      <c r="X497" s="34"/>
      <c r="Y497" s="25"/>
      <c r="Z497" s="25"/>
      <c r="AA497" s="34"/>
      <c r="AG497" s="34"/>
      <c r="AH497" s="34"/>
      <c r="AI497" s="34"/>
      <c r="AJ497" s="34"/>
      <c r="AK497" s="34"/>
      <c r="AL497" s="34"/>
      <c r="AM497" s="34"/>
      <c r="AN497" s="34"/>
      <c r="AO497" s="37"/>
      <c r="AP497" s="37"/>
      <c r="AQ497" s="37"/>
      <c r="AR497" s="25"/>
      <c r="AS497" s="25"/>
      <c r="AT497" s="38"/>
      <c r="AU497" s="39"/>
      <c r="AV497" s="34"/>
      <c r="AW497" s="34"/>
      <c r="AX497" s="34"/>
    </row>
    <row r="498" spans="2:50">
      <c r="B498" s="33"/>
      <c r="C498" s="25"/>
      <c r="D498" s="34"/>
      <c r="E498" s="34"/>
      <c r="F498" s="34"/>
      <c r="G498" s="35"/>
      <c r="H498" s="35"/>
      <c r="I498" s="35"/>
      <c r="J498" s="25"/>
      <c r="K498" s="34"/>
      <c r="L498" s="35"/>
      <c r="M498" s="34"/>
      <c r="N498" s="34"/>
      <c r="O498" s="37"/>
      <c r="P498" s="35"/>
      <c r="Q498" s="36"/>
      <c r="R498" s="25"/>
      <c r="S498" s="25"/>
      <c r="T498" s="34"/>
      <c r="U498" s="25"/>
      <c r="V498" s="25"/>
      <c r="W498" s="25"/>
      <c r="X498" s="34"/>
      <c r="Y498" s="25"/>
      <c r="Z498" s="25"/>
      <c r="AA498" s="34"/>
      <c r="AG498" s="34"/>
      <c r="AH498" s="34"/>
      <c r="AI498" s="34"/>
      <c r="AJ498" s="34"/>
      <c r="AK498" s="34"/>
      <c r="AL498" s="34"/>
      <c r="AM498" s="34"/>
      <c r="AN498" s="34"/>
      <c r="AO498" s="37"/>
      <c r="AP498" s="37"/>
      <c r="AQ498" s="37"/>
      <c r="AR498" s="25"/>
      <c r="AS498" s="25"/>
      <c r="AT498" s="38"/>
      <c r="AU498" s="39"/>
      <c r="AV498" s="34"/>
      <c r="AW498" s="34"/>
      <c r="AX498" s="34"/>
    </row>
    <row r="499" spans="2:50">
      <c r="B499" s="33"/>
      <c r="C499" s="25"/>
      <c r="D499" s="34"/>
      <c r="E499" s="34"/>
      <c r="F499" s="34"/>
      <c r="G499" s="35"/>
      <c r="H499" s="35"/>
      <c r="I499" s="35"/>
      <c r="J499" s="25"/>
      <c r="K499" s="34"/>
      <c r="L499" s="35"/>
      <c r="M499" s="34"/>
      <c r="N499" s="34"/>
      <c r="O499" s="37"/>
      <c r="P499" s="35"/>
      <c r="Q499" s="36"/>
      <c r="R499" s="25"/>
      <c r="S499" s="25"/>
      <c r="T499" s="34"/>
      <c r="U499" s="25"/>
      <c r="V499" s="25"/>
      <c r="W499" s="25"/>
      <c r="X499" s="34"/>
      <c r="Y499" s="25"/>
      <c r="Z499" s="25"/>
      <c r="AA499" s="34"/>
      <c r="AG499" s="34"/>
      <c r="AH499" s="34"/>
      <c r="AI499" s="34"/>
      <c r="AJ499" s="34"/>
      <c r="AK499" s="34"/>
      <c r="AL499" s="34"/>
      <c r="AM499" s="34"/>
      <c r="AN499" s="34"/>
      <c r="AO499" s="37"/>
      <c r="AP499" s="37"/>
      <c r="AQ499" s="37"/>
      <c r="AR499" s="25"/>
      <c r="AS499" s="25"/>
      <c r="AT499" s="38"/>
      <c r="AU499" s="39"/>
      <c r="AV499" s="34"/>
      <c r="AW499" s="34"/>
      <c r="AX499" s="34"/>
    </row>
    <row r="500" spans="2:50">
      <c r="B500" s="33"/>
      <c r="C500" s="25"/>
      <c r="D500" s="34"/>
      <c r="E500" s="34"/>
      <c r="F500" s="34"/>
      <c r="G500" s="35"/>
      <c r="H500" s="35"/>
      <c r="I500" s="35"/>
      <c r="J500" s="25"/>
      <c r="K500" s="34"/>
      <c r="L500" s="35"/>
      <c r="M500" s="34"/>
      <c r="N500" s="34"/>
      <c r="O500" s="37"/>
      <c r="P500" s="35"/>
      <c r="Q500" s="36"/>
      <c r="R500" s="25"/>
      <c r="S500" s="25"/>
      <c r="T500" s="34"/>
      <c r="U500" s="25"/>
      <c r="V500" s="25"/>
      <c r="W500" s="25"/>
      <c r="X500" s="34"/>
      <c r="Y500" s="25"/>
      <c r="Z500" s="25"/>
      <c r="AA500" s="34"/>
      <c r="AG500" s="34"/>
      <c r="AH500" s="34"/>
      <c r="AI500" s="34"/>
      <c r="AJ500" s="34"/>
      <c r="AK500" s="34"/>
      <c r="AL500" s="34"/>
      <c r="AM500" s="34"/>
      <c r="AN500" s="34"/>
      <c r="AO500" s="37"/>
      <c r="AP500" s="37"/>
      <c r="AQ500" s="37"/>
      <c r="AR500" s="25"/>
      <c r="AS500" s="25"/>
      <c r="AT500" s="38"/>
      <c r="AU500" s="39"/>
      <c r="AV500" s="34"/>
      <c r="AW500" s="34"/>
      <c r="AX500" s="34"/>
    </row>
    <row r="501" spans="2:50">
      <c r="B501" s="33"/>
      <c r="C501" s="25"/>
      <c r="D501" s="34"/>
      <c r="E501" s="34"/>
      <c r="F501" s="34"/>
      <c r="G501" s="35"/>
      <c r="H501" s="35"/>
      <c r="I501" s="35"/>
      <c r="J501" s="25"/>
      <c r="K501" s="34"/>
      <c r="L501" s="35"/>
      <c r="M501" s="34"/>
      <c r="N501" s="34"/>
      <c r="O501" s="37"/>
      <c r="P501" s="35"/>
      <c r="Q501" s="36"/>
      <c r="R501" s="25"/>
      <c r="S501" s="25"/>
      <c r="T501" s="34"/>
      <c r="U501" s="25"/>
      <c r="V501" s="25"/>
      <c r="W501" s="25"/>
      <c r="X501" s="34"/>
      <c r="Y501" s="25"/>
      <c r="Z501" s="25"/>
      <c r="AA501" s="34"/>
      <c r="AG501" s="34"/>
      <c r="AH501" s="34"/>
      <c r="AI501" s="34"/>
      <c r="AJ501" s="34"/>
      <c r="AK501" s="34"/>
      <c r="AL501" s="34"/>
      <c r="AM501" s="34"/>
      <c r="AN501" s="34"/>
      <c r="AO501" s="37"/>
      <c r="AP501" s="37"/>
      <c r="AQ501" s="37"/>
      <c r="AR501" s="25"/>
      <c r="AS501" s="25"/>
      <c r="AT501" s="38"/>
      <c r="AU501" s="39"/>
      <c r="AV501" s="34"/>
      <c r="AW501" s="34"/>
      <c r="AX501" s="34"/>
    </row>
    <row r="502" spans="2:50">
      <c r="B502" s="33"/>
      <c r="C502" s="25"/>
      <c r="D502" s="34"/>
      <c r="E502" s="34"/>
      <c r="F502" s="34"/>
      <c r="G502" s="35"/>
      <c r="H502" s="35"/>
      <c r="I502" s="35"/>
      <c r="J502" s="25"/>
      <c r="K502" s="34"/>
      <c r="L502" s="35"/>
      <c r="M502" s="34"/>
      <c r="N502" s="34"/>
      <c r="O502" s="37"/>
      <c r="P502" s="35"/>
      <c r="Q502" s="36"/>
      <c r="R502" s="25"/>
      <c r="S502" s="25"/>
      <c r="T502" s="34"/>
      <c r="U502" s="25"/>
      <c r="V502" s="25"/>
      <c r="W502" s="25"/>
      <c r="X502" s="34"/>
      <c r="Y502" s="25"/>
      <c r="Z502" s="25"/>
      <c r="AA502" s="34"/>
      <c r="AG502" s="34"/>
      <c r="AH502" s="34"/>
      <c r="AI502" s="34"/>
      <c r="AJ502" s="34"/>
      <c r="AK502" s="34"/>
      <c r="AL502" s="34"/>
      <c r="AM502" s="34"/>
      <c r="AN502" s="34"/>
      <c r="AO502" s="37"/>
      <c r="AP502" s="37"/>
      <c r="AQ502" s="37"/>
      <c r="AR502" s="25"/>
      <c r="AS502" s="25"/>
      <c r="AT502" s="38"/>
      <c r="AU502" s="39"/>
      <c r="AV502" s="34"/>
      <c r="AW502" s="34"/>
      <c r="AX502" s="34"/>
    </row>
    <row r="503" spans="2:50">
      <c r="B503" s="33"/>
      <c r="C503" s="25"/>
      <c r="D503" s="34"/>
      <c r="E503" s="34"/>
      <c r="F503" s="34"/>
      <c r="G503" s="35"/>
      <c r="H503" s="35"/>
      <c r="I503" s="35"/>
      <c r="J503" s="25"/>
      <c r="K503" s="34"/>
      <c r="L503" s="35"/>
      <c r="M503" s="34"/>
      <c r="N503" s="34"/>
      <c r="O503" s="37"/>
      <c r="P503" s="35"/>
      <c r="Q503" s="36"/>
      <c r="R503" s="25"/>
      <c r="S503" s="25"/>
      <c r="T503" s="34"/>
      <c r="U503" s="25"/>
      <c r="V503" s="25"/>
      <c r="W503" s="25"/>
      <c r="X503" s="34"/>
      <c r="Y503" s="25"/>
      <c r="Z503" s="25"/>
      <c r="AA503" s="34"/>
      <c r="AG503" s="34"/>
      <c r="AH503" s="34"/>
      <c r="AI503" s="34"/>
      <c r="AJ503" s="34"/>
      <c r="AK503" s="34"/>
      <c r="AL503" s="34"/>
      <c r="AM503" s="34"/>
      <c r="AN503" s="34"/>
      <c r="AO503" s="37"/>
      <c r="AP503" s="37"/>
      <c r="AQ503" s="37"/>
      <c r="AR503" s="25"/>
      <c r="AS503" s="25"/>
      <c r="AT503" s="38"/>
      <c r="AU503" s="39"/>
      <c r="AV503" s="34"/>
      <c r="AW503" s="34"/>
      <c r="AX503" s="34"/>
    </row>
    <row r="504" spans="2:50">
      <c r="B504" s="33"/>
      <c r="C504" s="25"/>
      <c r="D504" s="34"/>
      <c r="E504" s="34"/>
      <c r="F504" s="34"/>
      <c r="G504" s="35"/>
      <c r="H504" s="35"/>
      <c r="I504" s="35"/>
      <c r="J504" s="25"/>
      <c r="K504" s="34"/>
      <c r="L504" s="35"/>
      <c r="M504" s="34"/>
      <c r="N504" s="34"/>
      <c r="O504" s="37"/>
      <c r="P504" s="35"/>
      <c r="Q504" s="36"/>
      <c r="R504" s="25"/>
      <c r="S504" s="25"/>
      <c r="T504" s="34"/>
      <c r="U504" s="25"/>
      <c r="V504" s="25"/>
      <c r="W504" s="25"/>
      <c r="X504" s="34"/>
      <c r="Y504" s="25"/>
      <c r="Z504" s="25"/>
      <c r="AA504" s="34"/>
      <c r="AG504" s="34"/>
      <c r="AH504" s="34"/>
      <c r="AI504" s="34"/>
      <c r="AJ504" s="34"/>
      <c r="AK504" s="34"/>
      <c r="AL504" s="34"/>
      <c r="AM504" s="34"/>
      <c r="AN504" s="34"/>
      <c r="AO504" s="37"/>
      <c r="AP504" s="37"/>
      <c r="AQ504" s="37"/>
      <c r="AR504" s="25"/>
      <c r="AS504" s="25"/>
      <c r="AT504" s="38"/>
      <c r="AU504" s="39"/>
      <c r="AV504" s="34"/>
      <c r="AW504" s="34"/>
      <c r="AX504" s="34"/>
    </row>
    <row r="505" spans="2:50">
      <c r="B505" s="33"/>
      <c r="C505" s="25"/>
      <c r="D505" s="34"/>
      <c r="E505" s="34"/>
      <c r="F505" s="34"/>
      <c r="G505" s="35"/>
      <c r="H505" s="35"/>
      <c r="I505" s="35"/>
      <c r="J505" s="25"/>
      <c r="K505" s="34"/>
      <c r="L505" s="35"/>
      <c r="M505" s="34"/>
      <c r="N505" s="34"/>
      <c r="O505" s="37"/>
      <c r="P505" s="35"/>
      <c r="Q505" s="36"/>
      <c r="R505" s="25"/>
      <c r="S505" s="25"/>
      <c r="T505" s="34"/>
      <c r="U505" s="25"/>
      <c r="V505" s="25"/>
      <c r="W505" s="25"/>
      <c r="X505" s="34"/>
      <c r="Y505" s="25"/>
      <c r="Z505" s="25"/>
      <c r="AA505" s="34"/>
      <c r="AG505" s="34"/>
      <c r="AH505" s="34"/>
      <c r="AI505" s="34"/>
      <c r="AJ505" s="34"/>
      <c r="AK505" s="34"/>
      <c r="AL505" s="34"/>
      <c r="AM505" s="34"/>
      <c r="AN505" s="34"/>
      <c r="AO505" s="37"/>
      <c r="AP505" s="37"/>
      <c r="AQ505" s="37"/>
      <c r="AR505" s="25"/>
      <c r="AS505" s="25"/>
      <c r="AT505" s="38"/>
      <c r="AU505" s="39"/>
      <c r="AV505" s="34"/>
      <c r="AW505" s="34"/>
      <c r="AX505" s="34"/>
    </row>
    <row r="506" spans="2:50">
      <c r="B506" s="33"/>
      <c r="C506" s="25"/>
      <c r="D506" s="34"/>
      <c r="E506" s="34"/>
      <c r="F506" s="34"/>
      <c r="G506" s="35"/>
      <c r="H506" s="35"/>
      <c r="I506" s="35"/>
      <c r="J506" s="25"/>
      <c r="K506" s="34"/>
      <c r="L506" s="35"/>
      <c r="M506" s="34"/>
      <c r="N506" s="34"/>
      <c r="O506" s="37"/>
      <c r="P506" s="35"/>
      <c r="Q506" s="36"/>
      <c r="R506" s="25"/>
      <c r="S506" s="25"/>
      <c r="T506" s="34"/>
      <c r="U506" s="25"/>
      <c r="V506" s="25"/>
      <c r="W506" s="25"/>
      <c r="X506" s="34"/>
      <c r="Y506" s="25"/>
      <c r="Z506" s="25"/>
      <c r="AA506" s="34"/>
      <c r="AG506" s="34"/>
      <c r="AH506" s="34"/>
      <c r="AI506" s="34"/>
      <c r="AJ506" s="34"/>
      <c r="AK506" s="34"/>
      <c r="AL506" s="34"/>
      <c r="AM506" s="34"/>
      <c r="AN506" s="34"/>
      <c r="AO506" s="37"/>
      <c r="AP506" s="37"/>
      <c r="AQ506" s="37"/>
      <c r="AR506" s="25"/>
      <c r="AS506" s="25"/>
      <c r="AT506" s="38"/>
      <c r="AU506" s="39"/>
      <c r="AV506" s="34"/>
      <c r="AW506" s="34"/>
      <c r="AX506" s="34"/>
    </row>
    <row r="507" spans="2:50">
      <c r="B507" s="33"/>
      <c r="C507" s="25"/>
      <c r="D507" s="34"/>
      <c r="E507" s="34"/>
      <c r="F507" s="34"/>
      <c r="G507" s="35"/>
      <c r="H507" s="35"/>
      <c r="I507" s="35"/>
      <c r="J507" s="25"/>
      <c r="K507" s="34"/>
      <c r="L507" s="35"/>
      <c r="M507" s="34"/>
      <c r="N507" s="34"/>
      <c r="O507" s="37"/>
      <c r="P507" s="35"/>
      <c r="Q507" s="36"/>
      <c r="R507" s="25"/>
      <c r="S507" s="25"/>
      <c r="T507" s="34"/>
      <c r="U507" s="25"/>
      <c r="V507" s="25"/>
      <c r="W507" s="25"/>
      <c r="X507" s="34"/>
      <c r="Y507" s="25"/>
      <c r="Z507" s="25"/>
      <c r="AA507" s="34"/>
      <c r="AG507" s="34"/>
      <c r="AH507" s="34"/>
      <c r="AI507" s="34"/>
      <c r="AJ507" s="34"/>
      <c r="AK507" s="34"/>
      <c r="AL507" s="34"/>
      <c r="AM507" s="34"/>
      <c r="AN507" s="34"/>
      <c r="AO507" s="37"/>
      <c r="AP507" s="37"/>
      <c r="AQ507" s="37"/>
      <c r="AR507" s="25"/>
      <c r="AS507" s="25"/>
      <c r="AT507" s="38"/>
      <c r="AU507" s="39"/>
      <c r="AV507" s="34"/>
      <c r="AW507" s="34"/>
      <c r="AX507" s="34"/>
    </row>
    <row r="508" spans="2:50">
      <c r="B508" s="33"/>
      <c r="C508" s="25"/>
      <c r="D508" s="34"/>
      <c r="E508" s="34"/>
      <c r="F508" s="34"/>
      <c r="G508" s="35"/>
      <c r="H508" s="35"/>
      <c r="I508" s="35"/>
      <c r="J508" s="25"/>
      <c r="K508" s="34"/>
      <c r="L508" s="35"/>
      <c r="M508" s="34"/>
      <c r="N508" s="34"/>
      <c r="O508" s="37"/>
      <c r="P508" s="35"/>
      <c r="Q508" s="36"/>
      <c r="R508" s="25"/>
      <c r="S508" s="25"/>
      <c r="T508" s="34"/>
      <c r="U508" s="25"/>
      <c r="V508" s="25"/>
      <c r="W508" s="25"/>
      <c r="X508" s="34"/>
      <c r="Y508" s="25"/>
      <c r="Z508" s="25"/>
      <c r="AA508" s="34"/>
      <c r="AG508" s="34"/>
      <c r="AH508" s="34"/>
      <c r="AI508" s="34"/>
      <c r="AJ508" s="34"/>
      <c r="AK508" s="34"/>
      <c r="AL508" s="34"/>
      <c r="AM508" s="34"/>
      <c r="AN508" s="34"/>
      <c r="AO508" s="37"/>
      <c r="AP508" s="37"/>
      <c r="AQ508" s="37"/>
      <c r="AR508" s="25"/>
      <c r="AS508" s="25"/>
      <c r="AT508" s="38"/>
      <c r="AU508" s="39"/>
      <c r="AV508" s="34"/>
      <c r="AW508" s="34"/>
      <c r="AX508" s="34"/>
    </row>
    <row r="509" spans="2:50">
      <c r="B509" s="33"/>
      <c r="C509" s="25"/>
      <c r="D509" s="34"/>
      <c r="E509" s="34"/>
      <c r="F509" s="34"/>
      <c r="G509" s="35"/>
      <c r="H509" s="35"/>
      <c r="I509" s="35"/>
      <c r="J509" s="25"/>
      <c r="K509" s="34"/>
      <c r="L509" s="35"/>
      <c r="M509" s="34"/>
      <c r="N509" s="34"/>
      <c r="O509" s="37"/>
      <c r="P509" s="35"/>
      <c r="Q509" s="36"/>
      <c r="R509" s="25"/>
      <c r="S509" s="25"/>
      <c r="T509" s="34"/>
      <c r="U509" s="25"/>
      <c r="V509" s="25"/>
      <c r="W509" s="25"/>
      <c r="X509" s="34"/>
      <c r="Y509" s="25"/>
      <c r="Z509" s="25"/>
      <c r="AA509" s="34"/>
      <c r="AG509" s="34"/>
      <c r="AH509" s="34"/>
      <c r="AI509" s="34"/>
      <c r="AJ509" s="34"/>
      <c r="AK509" s="34"/>
      <c r="AL509" s="34"/>
      <c r="AM509" s="34"/>
      <c r="AN509" s="34"/>
      <c r="AO509" s="37"/>
      <c r="AP509" s="37"/>
      <c r="AQ509" s="37"/>
      <c r="AR509" s="25"/>
      <c r="AS509" s="25"/>
      <c r="AT509" s="38"/>
      <c r="AU509" s="39"/>
      <c r="AV509" s="34"/>
      <c r="AW509" s="34"/>
      <c r="AX509" s="34"/>
    </row>
    <row r="510" spans="2:50">
      <c r="B510" s="33"/>
      <c r="C510" s="25"/>
      <c r="D510" s="34"/>
      <c r="E510" s="34"/>
      <c r="F510" s="34"/>
      <c r="G510" s="35"/>
      <c r="H510" s="35"/>
      <c r="I510" s="35"/>
      <c r="J510" s="25"/>
      <c r="K510" s="34"/>
      <c r="L510" s="35"/>
      <c r="M510" s="34"/>
      <c r="N510" s="34"/>
      <c r="O510" s="37"/>
      <c r="P510" s="35"/>
      <c r="Q510" s="36"/>
      <c r="R510" s="25"/>
      <c r="S510" s="25"/>
      <c r="T510" s="34"/>
      <c r="U510" s="25"/>
      <c r="V510" s="25"/>
      <c r="W510" s="25"/>
      <c r="X510" s="34"/>
      <c r="Y510" s="25"/>
      <c r="Z510" s="25"/>
      <c r="AA510" s="34"/>
      <c r="AG510" s="34"/>
      <c r="AH510" s="34"/>
      <c r="AI510" s="34"/>
      <c r="AJ510" s="34"/>
      <c r="AK510" s="34"/>
      <c r="AL510" s="34"/>
      <c r="AM510" s="34"/>
      <c r="AN510" s="34"/>
      <c r="AO510" s="37"/>
      <c r="AP510" s="37"/>
      <c r="AQ510" s="37"/>
      <c r="AR510" s="25"/>
      <c r="AS510" s="25"/>
      <c r="AT510" s="38"/>
      <c r="AU510" s="39"/>
      <c r="AV510" s="34"/>
      <c r="AW510" s="34"/>
      <c r="AX510" s="34"/>
    </row>
    <row r="511" spans="2:50">
      <c r="B511" s="33"/>
      <c r="C511" s="25"/>
      <c r="D511" s="34"/>
      <c r="E511" s="34"/>
      <c r="F511" s="34"/>
      <c r="G511" s="35"/>
      <c r="H511" s="35"/>
      <c r="I511" s="35"/>
      <c r="J511" s="25"/>
      <c r="K511" s="34"/>
      <c r="L511" s="35"/>
      <c r="M511" s="34"/>
      <c r="N511" s="34"/>
      <c r="O511" s="37"/>
      <c r="P511" s="35"/>
      <c r="Q511" s="36"/>
      <c r="R511" s="25"/>
      <c r="S511" s="25"/>
      <c r="T511" s="34"/>
      <c r="U511" s="25"/>
      <c r="V511" s="25"/>
      <c r="W511" s="25"/>
      <c r="X511" s="34"/>
      <c r="Y511" s="25"/>
      <c r="Z511" s="25"/>
      <c r="AA511" s="34"/>
      <c r="AG511" s="34"/>
      <c r="AH511" s="34"/>
      <c r="AI511" s="34"/>
      <c r="AJ511" s="34"/>
      <c r="AK511" s="34"/>
      <c r="AL511" s="34"/>
      <c r="AM511" s="34"/>
      <c r="AN511" s="34"/>
      <c r="AO511" s="37"/>
      <c r="AP511" s="37"/>
      <c r="AQ511" s="37"/>
      <c r="AR511" s="25"/>
      <c r="AS511" s="25"/>
      <c r="AT511" s="38"/>
      <c r="AU511" s="39"/>
      <c r="AV511" s="34"/>
      <c r="AW511" s="34"/>
      <c r="AX511" s="34"/>
    </row>
    <row r="512" spans="2:50">
      <c r="B512" s="33"/>
      <c r="C512" s="25"/>
      <c r="D512" s="34"/>
      <c r="E512" s="34"/>
      <c r="F512" s="34"/>
      <c r="G512" s="35"/>
      <c r="H512" s="35"/>
      <c r="I512" s="35"/>
      <c r="J512" s="25"/>
      <c r="K512" s="34"/>
      <c r="L512" s="35"/>
      <c r="M512" s="34"/>
      <c r="N512" s="34"/>
      <c r="O512" s="37"/>
      <c r="P512" s="35"/>
      <c r="Q512" s="36"/>
      <c r="R512" s="25"/>
      <c r="S512" s="25"/>
      <c r="T512" s="34"/>
      <c r="U512" s="25"/>
      <c r="V512" s="25"/>
      <c r="W512" s="25"/>
      <c r="X512" s="34"/>
      <c r="Y512" s="25"/>
      <c r="Z512" s="25"/>
      <c r="AA512" s="34"/>
      <c r="AG512" s="34"/>
      <c r="AH512" s="34"/>
      <c r="AI512" s="34"/>
      <c r="AJ512" s="34"/>
      <c r="AK512" s="34"/>
      <c r="AL512" s="34"/>
      <c r="AM512" s="34"/>
      <c r="AN512" s="34"/>
      <c r="AO512" s="37"/>
      <c r="AP512" s="37"/>
      <c r="AQ512" s="37"/>
      <c r="AR512" s="25"/>
      <c r="AS512" s="25"/>
      <c r="AT512" s="38"/>
      <c r="AU512" s="39"/>
      <c r="AV512" s="34"/>
      <c r="AW512" s="34"/>
      <c r="AX512" s="34"/>
    </row>
    <row r="513" spans="2:50">
      <c r="B513" s="33"/>
      <c r="C513" s="25"/>
      <c r="D513" s="34"/>
      <c r="E513" s="34"/>
      <c r="F513" s="34"/>
      <c r="G513" s="35"/>
      <c r="H513" s="35"/>
      <c r="I513" s="35"/>
      <c r="J513" s="25"/>
      <c r="K513" s="34"/>
      <c r="L513" s="35"/>
      <c r="M513" s="34"/>
      <c r="N513" s="34"/>
      <c r="O513" s="37"/>
      <c r="P513" s="35"/>
      <c r="Q513" s="36"/>
      <c r="R513" s="25"/>
      <c r="S513" s="25"/>
      <c r="T513" s="34"/>
      <c r="U513" s="25"/>
      <c r="V513" s="25"/>
      <c r="W513" s="25"/>
      <c r="X513" s="34"/>
      <c r="Y513" s="25"/>
      <c r="Z513" s="25"/>
      <c r="AA513" s="34"/>
      <c r="AG513" s="34"/>
      <c r="AH513" s="34"/>
      <c r="AI513" s="34"/>
      <c r="AJ513" s="34"/>
      <c r="AK513" s="34"/>
      <c r="AL513" s="34"/>
      <c r="AM513" s="34"/>
      <c r="AN513" s="34"/>
      <c r="AO513" s="37"/>
      <c r="AP513" s="37"/>
      <c r="AQ513" s="37"/>
      <c r="AR513" s="25"/>
      <c r="AS513" s="25"/>
      <c r="AT513" s="38"/>
      <c r="AU513" s="39"/>
      <c r="AV513" s="34"/>
      <c r="AW513" s="34"/>
      <c r="AX513" s="34"/>
    </row>
    <row r="514" spans="2:50">
      <c r="B514" s="33"/>
      <c r="C514" s="25"/>
      <c r="D514" s="34"/>
      <c r="E514" s="34"/>
      <c r="F514" s="34"/>
      <c r="G514" s="35"/>
      <c r="H514" s="35"/>
      <c r="I514" s="35"/>
      <c r="J514" s="25"/>
      <c r="K514" s="34"/>
      <c r="L514" s="35"/>
      <c r="M514" s="34"/>
      <c r="N514" s="34"/>
      <c r="O514" s="37"/>
      <c r="P514" s="35"/>
      <c r="Q514" s="36"/>
      <c r="R514" s="25"/>
      <c r="S514" s="25"/>
      <c r="T514" s="34"/>
      <c r="U514" s="25"/>
      <c r="V514" s="25"/>
      <c r="W514" s="25"/>
      <c r="X514" s="34"/>
      <c r="Y514" s="25"/>
      <c r="Z514" s="25"/>
      <c r="AA514" s="34"/>
      <c r="AG514" s="34"/>
      <c r="AH514" s="34"/>
      <c r="AI514" s="34"/>
      <c r="AJ514" s="34"/>
      <c r="AK514" s="34"/>
      <c r="AL514" s="34"/>
      <c r="AM514" s="34"/>
      <c r="AN514" s="34"/>
      <c r="AO514" s="37"/>
      <c r="AP514" s="37"/>
      <c r="AQ514" s="37"/>
      <c r="AR514" s="25"/>
      <c r="AS514" s="25"/>
      <c r="AT514" s="38"/>
      <c r="AU514" s="39"/>
      <c r="AV514" s="34"/>
      <c r="AW514" s="34"/>
      <c r="AX514" s="34"/>
    </row>
    <row r="515" spans="2:50">
      <c r="B515" s="33"/>
      <c r="C515" s="25"/>
      <c r="D515" s="34"/>
      <c r="E515" s="34"/>
      <c r="F515" s="34"/>
      <c r="G515" s="35"/>
      <c r="H515" s="35"/>
      <c r="I515" s="35"/>
      <c r="J515" s="25"/>
      <c r="K515" s="34"/>
      <c r="L515" s="35"/>
      <c r="M515" s="34"/>
      <c r="N515" s="34"/>
      <c r="O515" s="37"/>
      <c r="P515" s="35"/>
      <c r="Q515" s="36"/>
      <c r="R515" s="25"/>
      <c r="S515" s="25"/>
      <c r="T515" s="34"/>
      <c r="U515" s="25"/>
      <c r="V515" s="25"/>
      <c r="W515" s="25"/>
      <c r="X515" s="34"/>
      <c r="Y515" s="25"/>
      <c r="Z515" s="25"/>
      <c r="AA515" s="34"/>
      <c r="AG515" s="34"/>
      <c r="AH515" s="34"/>
      <c r="AI515" s="34"/>
      <c r="AJ515" s="34"/>
      <c r="AK515" s="34"/>
      <c r="AL515" s="34"/>
      <c r="AM515" s="34"/>
      <c r="AN515" s="34"/>
      <c r="AO515" s="37"/>
      <c r="AP515" s="37"/>
      <c r="AQ515" s="37"/>
      <c r="AR515" s="25"/>
      <c r="AS515" s="25"/>
      <c r="AT515" s="38"/>
      <c r="AU515" s="39"/>
      <c r="AV515" s="34"/>
      <c r="AW515" s="34"/>
      <c r="AX515" s="34"/>
    </row>
    <row r="516" spans="2:50">
      <c r="B516" s="33"/>
      <c r="C516" s="25"/>
      <c r="D516" s="34"/>
      <c r="E516" s="34"/>
      <c r="F516" s="34"/>
      <c r="G516" s="35"/>
      <c r="H516" s="35"/>
      <c r="I516" s="35"/>
      <c r="J516" s="25"/>
      <c r="K516" s="34"/>
      <c r="L516" s="35"/>
      <c r="M516" s="34"/>
      <c r="N516" s="34"/>
      <c r="O516" s="37"/>
      <c r="P516" s="35"/>
      <c r="Q516" s="36"/>
      <c r="R516" s="25"/>
      <c r="S516" s="25"/>
      <c r="T516" s="34"/>
      <c r="U516" s="25"/>
      <c r="V516" s="25"/>
      <c r="W516" s="25"/>
      <c r="X516" s="34"/>
      <c r="Y516" s="25"/>
      <c r="Z516" s="25"/>
      <c r="AA516" s="34"/>
      <c r="AG516" s="34"/>
      <c r="AH516" s="34"/>
      <c r="AI516" s="34"/>
      <c r="AJ516" s="34"/>
      <c r="AK516" s="34"/>
      <c r="AL516" s="34"/>
      <c r="AM516" s="34"/>
      <c r="AN516" s="34"/>
      <c r="AO516" s="37"/>
      <c r="AP516" s="37"/>
      <c r="AQ516" s="37"/>
      <c r="AR516" s="25"/>
      <c r="AS516" s="25"/>
      <c r="AT516" s="38"/>
      <c r="AU516" s="39"/>
      <c r="AV516" s="34"/>
      <c r="AW516" s="34"/>
      <c r="AX516" s="34"/>
    </row>
    <row r="517" spans="2:50">
      <c r="B517" s="33"/>
      <c r="C517" s="25"/>
      <c r="D517" s="34"/>
      <c r="E517" s="34"/>
      <c r="F517" s="34"/>
      <c r="G517" s="35"/>
      <c r="H517" s="35"/>
      <c r="I517" s="35"/>
      <c r="J517" s="25"/>
      <c r="K517" s="34"/>
      <c r="L517" s="35"/>
      <c r="M517" s="34"/>
      <c r="N517" s="34"/>
      <c r="O517" s="37"/>
      <c r="P517" s="35"/>
      <c r="Q517" s="36"/>
      <c r="R517" s="25"/>
      <c r="S517" s="25"/>
      <c r="T517" s="34"/>
      <c r="U517" s="25"/>
      <c r="V517" s="25"/>
      <c r="W517" s="25"/>
      <c r="X517" s="34"/>
      <c r="Y517" s="25"/>
      <c r="Z517" s="25"/>
      <c r="AA517" s="34"/>
      <c r="AG517" s="34"/>
      <c r="AH517" s="34"/>
      <c r="AI517" s="34"/>
      <c r="AJ517" s="34"/>
      <c r="AK517" s="34"/>
      <c r="AL517" s="34"/>
      <c r="AM517" s="34"/>
      <c r="AN517" s="34"/>
      <c r="AO517" s="37"/>
      <c r="AP517" s="37"/>
      <c r="AQ517" s="37"/>
      <c r="AR517" s="25"/>
      <c r="AS517" s="25"/>
      <c r="AT517" s="38"/>
      <c r="AU517" s="39"/>
      <c r="AV517" s="34"/>
      <c r="AW517" s="34"/>
      <c r="AX517" s="34"/>
    </row>
    <row r="518" spans="2:50">
      <c r="B518" s="33"/>
      <c r="C518" s="25"/>
      <c r="D518" s="34"/>
      <c r="E518" s="34"/>
      <c r="F518" s="34"/>
      <c r="G518" s="35"/>
      <c r="H518" s="35"/>
      <c r="I518" s="35"/>
      <c r="J518" s="25"/>
      <c r="K518" s="34"/>
      <c r="L518" s="35"/>
      <c r="M518" s="34"/>
      <c r="N518" s="34"/>
      <c r="O518" s="37"/>
      <c r="P518" s="35"/>
      <c r="Q518" s="36"/>
      <c r="R518" s="25"/>
      <c r="S518" s="25"/>
      <c r="T518" s="34"/>
      <c r="U518" s="25"/>
      <c r="V518" s="25"/>
      <c r="W518" s="25"/>
      <c r="X518" s="34"/>
      <c r="Y518" s="25"/>
      <c r="Z518" s="25"/>
      <c r="AA518" s="34"/>
      <c r="AG518" s="34"/>
      <c r="AH518" s="34"/>
      <c r="AI518" s="34"/>
      <c r="AJ518" s="34"/>
      <c r="AK518" s="34"/>
      <c r="AL518" s="34"/>
      <c r="AM518" s="34"/>
      <c r="AN518" s="34"/>
      <c r="AO518" s="37"/>
      <c r="AP518" s="37"/>
      <c r="AQ518" s="37"/>
      <c r="AR518" s="25"/>
      <c r="AS518" s="25"/>
      <c r="AT518" s="38"/>
      <c r="AU518" s="39"/>
      <c r="AV518" s="34"/>
      <c r="AW518" s="34"/>
      <c r="AX518" s="34"/>
    </row>
    <row r="519" spans="2:50">
      <c r="B519" s="33"/>
      <c r="C519" s="25"/>
      <c r="D519" s="34"/>
      <c r="E519" s="34"/>
      <c r="F519" s="34"/>
      <c r="G519" s="35"/>
      <c r="H519" s="35"/>
      <c r="I519" s="35"/>
      <c r="J519" s="25"/>
      <c r="K519" s="34"/>
      <c r="L519" s="35"/>
      <c r="M519" s="34"/>
      <c r="N519" s="34"/>
      <c r="O519" s="37"/>
      <c r="P519" s="35"/>
      <c r="Q519" s="36"/>
      <c r="R519" s="25"/>
      <c r="S519" s="25"/>
      <c r="T519" s="34"/>
      <c r="U519" s="25"/>
      <c r="V519" s="25"/>
      <c r="W519" s="25"/>
      <c r="X519" s="34"/>
      <c r="Y519" s="25"/>
      <c r="Z519" s="25"/>
      <c r="AA519" s="34"/>
      <c r="AG519" s="34"/>
      <c r="AH519" s="34"/>
      <c r="AI519" s="34"/>
      <c r="AJ519" s="34"/>
      <c r="AK519" s="34"/>
      <c r="AL519" s="34"/>
      <c r="AM519" s="34"/>
      <c r="AN519" s="34"/>
      <c r="AO519" s="37"/>
      <c r="AP519" s="37"/>
      <c r="AQ519" s="37"/>
      <c r="AR519" s="25"/>
      <c r="AS519" s="25"/>
      <c r="AT519" s="38"/>
      <c r="AU519" s="39"/>
      <c r="AV519" s="34"/>
      <c r="AW519" s="34"/>
      <c r="AX519" s="34"/>
    </row>
    <row r="520" spans="2:50">
      <c r="B520" s="33"/>
      <c r="C520" s="25"/>
      <c r="D520" s="34"/>
      <c r="E520" s="34"/>
      <c r="F520" s="34"/>
      <c r="G520" s="35"/>
      <c r="H520" s="35"/>
      <c r="I520" s="35"/>
      <c r="J520" s="25"/>
      <c r="K520" s="34"/>
      <c r="L520" s="35"/>
      <c r="M520" s="34"/>
      <c r="N520" s="34"/>
      <c r="O520" s="37"/>
      <c r="P520" s="35"/>
      <c r="Q520" s="36"/>
      <c r="R520" s="25"/>
      <c r="S520" s="25"/>
      <c r="T520" s="34"/>
      <c r="U520" s="25"/>
      <c r="V520" s="25"/>
      <c r="W520" s="25"/>
      <c r="X520" s="34"/>
      <c r="Y520" s="25"/>
      <c r="Z520" s="25"/>
      <c r="AA520" s="34"/>
      <c r="AG520" s="34"/>
      <c r="AH520" s="34"/>
      <c r="AI520" s="34"/>
      <c r="AJ520" s="34"/>
      <c r="AK520" s="34"/>
      <c r="AL520" s="34"/>
      <c r="AM520" s="34"/>
      <c r="AN520" s="34"/>
      <c r="AO520" s="37"/>
      <c r="AP520" s="37"/>
      <c r="AQ520" s="37"/>
      <c r="AR520" s="25"/>
      <c r="AS520" s="25"/>
      <c r="AT520" s="38"/>
      <c r="AU520" s="39"/>
      <c r="AV520" s="34"/>
      <c r="AW520" s="34"/>
      <c r="AX520" s="34"/>
    </row>
    <row r="521" spans="2:50">
      <c r="B521" s="33"/>
      <c r="C521" s="25"/>
      <c r="D521" s="34"/>
      <c r="E521" s="34"/>
      <c r="F521" s="34"/>
      <c r="G521" s="35"/>
      <c r="H521" s="35"/>
      <c r="I521" s="35"/>
      <c r="J521" s="25"/>
      <c r="K521" s="34"/>
      <c r="L521" s="35"/>
      <c r="M521" s="34"/>
      <c r="N521" s="34"/>
      <c r="O521" s="37"/>
      <c r="P521" s="35"/>
      <c r="Q521" s="36"/>
      <c r="R521" s="25"/>
      <c r="S521" s="25"/>
      <c r="T521" s="34"/>
      <c r="U521" s="25"/>
      <c r="V521" s="25"/>
      <c r="W521" s="25"/>
      <c r="X521" s="34"/>
      <c r="Y521" s="25"/>
      <c r="Z521" s="25"/>
      <c r="AA521" s="34"/>
      <c r="AG521" s="34"/>
      <c r="AH521" s="34"/>
      <c r="AI521" s="34"/>
      <c r="AJ521" s="34"/>
      <c r="AK521" s="34"/>
      <c r="AL521" s="34"/>
      <c r="AM521" s="34"/>
      <c r="AN521" s="34"/>
      <c r="AO521" s="37"/>
      <c r="AP521" s="37"/>
      <c r="AQ521" s="37"/>
      <c r="AR521" s="25"/>
      <c r="AS521" s="25"/>
      <c r="AT521" s="38"/>
      <c r="AU521" s="39"/>
      <c r="AV521" s="34"/>
      <c r="AW521" s="34"/>
      <c r="AX521" s="34"/>
    </row>
    <row r="522" spans="2:50">
      <c r="B522" s="33"/>
      <c r="C522" s="25"/>
      <c r="D522" s="34"/>
      <c r="E522" s="34"/>
      <c r="F522" s="34"/>
      <c r="G522" s="35"/>
      <c r="H522" s="35"/>
      <c r="I522" s="35"/>
      <c r="J522" s="25"/>
      <c r="K522" s="34"/>
      <c r="L522" s="35"/>
      <c r="M522" s="34"/>
      <c r="N522" s="34"/>
      <c r="O522" s="37"/>
      <c r="P522" s="35"/>
      <c r="Q522" s="36"/>
      <c r="R522" s="25"/>
      <c r="S522" s="25"/>
      <c r="T522" s="34"/>
      <c r="U522" s="25"/>
      <c r="V522" s="25"/>
      <c r="W522" s="25"/>
      <c r="X522" s="34"/>
      <c r="Y522" s="25"/>
      <c r="Z522" s="25"/>
      <c r="AA522" s="34"/>
      <c r="AG522" s="34"/>
      <c r="AH522" s="34"/>
      <c r="AI522" s="34"/>
      <c r="AJ522" s="34"/>
      <c r="AK522" s="34"/>
      <c r="AL522" s="34"/>
      <c r="AM522" s="34"/>
      <c r="AN522" s="34"/>
      <c r="AO522" s="37"/>
      <c r="AP522" s="37"/>
      <c r="AQ522" s="37"/>
      <c r="AR522" s="25"/>
      <c r="AS522" s="25"/>
      <c r="AT522" s="38"/>
      <c r="AU522" s="39"/>
      <c r="AV522" s="34"/>
      <c r="AW522" s="34"/>
      <c r="AX522" s="34"/>
    </row>
    <row r="523" spans="2:50">
      <c r="B523" s="33"/>
      <c r="C523" s="25"/>
      <c r="D523" s="34"/>
      <c r="E523" s="34"/>
      <c r="F523" s="34"/>
      <c r="G523" s="35"/>
      <c r="H523" s="35"/>
      <c r="I523" s="35"/>
      <c r="J523" s="25"/>
      <c r="K523" s="34"/>
      <c r="L523" s="35"/>
      <c r="M523" s="34"/>
      <c r="N523" s="34"/>
      <c r="O523" s="37"/>
      <c r="P523" s="35"/>
      <c r="Q523" s="36"/>
      <c r="R523" s="25"/>
      <c r="S523" s="25"/>
      <c r="T523" s="34"/>
      <c r="U523" s="25"/>
      <c r="V523" s="25"/>
      <c r="W523" s="25"/>
      <c r="X523" s="34"/>
      <c r="Y523" s="25"/>
      <c r="Z523" s="25"/>
      <c r="AA523" s="34"/>
      <c r="AG523" s="34"/>
      <c r="AH523" s="34"/>
      <c r="AI523" s="34"/>
      <c r="AJ523" s="34"/>
      <c r="AK523" s="34"/>
      <c r="AL523" s="34"/>
      <c r="AM523" s="34"/>
      <c r="AN523" s="34"/>
      <c r="AO523" s="37"/>
      <c r="AP523" s="37"/>
      <c r="AQ523" s="37"/>
      <c r="AR523" s="25"/>
      <c r="AS523" s="25"/>
      <c r="AT523" s="38"/>
      <c r="AU523" s="39"/>
      <c r="AV523" s="34"/>
      <c r="AW523" s="34"/>
      <c r="AX523" s="34"/>
    </row>
    <row r="524" spans="2:50">
      <c r="B524" s="33"/>
      <c r="C524" s="25"/>
      <c r="D524" s="34"/>
      <c r="E524" s="34"/>
      <c r="F524" s="34"/>
      <c r="G524" s="35"/>
      <c r="H524" s="35"/>
      <c r="I524" s="35"/>
      <c r="J524" s="25"/>
      <c r="K524" s="34"/>
      <c r="L524" s="35"/>
      <c r="M524" s="34"/>
      <c r="N524" s="34"/>
      <c r="O524" s="37"/>
      <c r="P524" s="35"/>
      <c r="Q524" s="36"/>
      <c r="R524" s="25"/>
      <c r="S524" s="25"/>
      <c r="T524" s="34"/>
      <c r="U524" s="25"/>
      <c r="V524" s="25"/>
      <c r="W524" s="25"/>
      <c r="X524" s="34"/>
      <c r="Y524" s="25"/>
      <c r="Z524" s="25"/>
      <c r="AA524" s="34"/>
      <c r="AG524" s="34"/>
      <c r="AH524" s="34"/>
      <c r="AI524" s="34"/>
      <c r="AJ524" s="34"/>
      <c r="AK524" s="34"/>
      <c r="AL524" s="34"/>
      <c r="AM524" s="34"/>
      <c r="AN524" s="34"/>
      <c r="AO524" s="37"/>
      <c r="AP524" s="37"/>
      <c r="AQ524" s="37"/>
      <c r="AR524" s="25"/>
      <c r="AS524" s="25"/>
      <c r="AT524" s="38"/>
      <c r="AU524" s="39"/>
      <c r="AV524" s="34"/>
      <c r="AW524" s="34"/>
      <c r="AX524" s="34"/>
    </row>
    <row r="525" spans="2:50">
      <c r="B525" s="33"/>
      <c r="C525" s="25"/>
      <c r="D525" s="34"/>
      <c r="E525" s="34"/>
      <c r="F525" s="34"/>
      <c r="G525" s="35"/>
      <c r="H525" s="35"/>
      <c r="I525" s="35"/>
      <c r="J525" s="25"/>
      <c r="K525" s="34"/>
      <c r="L525" s="35"/>
      <c r="M525" s="34"/>
      <c r="N525" s="34"/>
      <c r="O525" s="37"/>
      <c r="P525" s="35"/>
      <c r="Q525" s="36"/>
      <c r="R525" s="25"/>
      <c r="S525" s="25"/>
      <c r="T525" s="34"/>
      <c r="U525" s="25"/>
      <c r="V525" s="25"/>
      <c r="W525" s="25"/>
      <c r="X525" s="34"/>
      <c r="Y525" s="25"/>
      <c r="Z525" s="25"/>
      <c r="AA525" s="34"/>
      <c r="AG525" s="34"/>
      <c r="AH525" s="34"/>
      <c r="AI525" s="34"/>
      <c r="AJ525" s="34"/>
      <c r="AK525" s="34"/>
      <c r="AL525" s="34"/>
      <c r="AM525" s="34"/>
      <c r="AN525" s="34"/>
      <c r="AO525" s="37"/>
      <c r="AP525" s="37"/>
      <c r="AQ525" s="37"/>
      <c r="AR525" s="25"/>
      <c r="AS525" s="25"/>
      <c r="AT525" s="38"/>
      <c r="AU525" s="39"/>
      <c r="AV525" s="34"/>
      <c r="AW525" s="34"/>
      <c r="AX525" s="34"/>
    </row>
    <row r="526" spans="2:50">
      <c r="B526" s="33"/>
      <c r="C526" s="25"/>
      <c r="D526" s="34"/>
      <c r="E526" s="34"/>
      <c r="F526" s="34"/>
      <c r="G526" s="35"/>
      <c r="H526" s="35"/>
      <c r="I526" s="35"/>
      <c r="J526" s="25"/>
      <c r="K526" s="34"/>
      <c r="L526" s="35"/>
      <c r="M526" s="34"/>
      <c r="N526" s="34"/>
      <c r="O526" s="37"/>
      <c r="P526" s="35"/>
      <c r="Q526" s="36"/>
      <c r="R526" s="25"/>
      <c r="S526" s="25"/>
      <c r="T526" s="34"/>
      <c r="U526" s="25"/>
      <c r="V526" s="25"/>
      <c r="W526" s="25"/>
      <c r="X526" s="34"/>
      <c r="Y526" s="25"/>
      <c r="Z526" s="25"/>
      <c r="AA526" s="34"/>
      <c r="AG526" s="34"/>
      <c r="AH526" s="34"/>
      <c r="AI526" s="34"/>
      <c r="AJ526" s="34"/>
      <c r="AK526" s="34"/>
      <c r="AL526" s="34"/>
      <c r="AM526" s="34"/>
      <c r="AN526" s="34"/>
      <c r="AO526" s="37"/>
      <c r="AP526" s="37"/>
      <c r="AQ526" s="37"/>
      <c r="AR526" s="25"/>
      <c r="AS526" s="25"/>
      <c r="AT526" s="38"/>
      <c r="AU526" s="39"/>
      <c r="AV526" s="34"/>
      <c r="AW526" s="34"/>
      <c r="AX526" s="34"/>
    </row>
    <row r="527" spans="2:50">
      <c r="B527" s="33"/>
      <c r="C527" s="25"/>
      <c r="D527" s="34"/>
      <c r="E527" s="34"/>
      <c r="F527" s="34"/>
      <c r="G527" s="35"/>
      <c r="H527" s="35"/>
      <c r="I527" s="35"/>
      <c r="J527" s="25"/>
      <c r="K527" s="34"/>
      <c r="L527" s="35"/>
      <c r="M527" s="34"/>
      <c r="N527" s="34"/>
      <c r="O527" s="37"/>
      <c r="P527" s="35"/>
      <c r="Q527" s="36"/>
      <c r="R527" s="25"/>
      <c r="S527" s="25"/>
      <c r="T527" s="34"/>
      <c r="U527" s="25"/>
      <c r="V527" s="25"/>
      <c r="W527" s="25"/>
      <c r="X527" s="34"/>
      <c r="Y527" s="25"/>
      <c r="Z527" s="25"/>
      <c r="AA527" s="34"/>
      <c r="AG527" s="34"/>
      <c r="AH527" s="34"/>
      <c r="AI527" s="34"/>
      <c r="AJ527" s="34"/>
      <c r="AK527" s="34"/>
      <c r="AL527" s="34"/>
      <c r="AM527" s="34"/>
      <c r="AN527" s="34"/>
      <c r="AO527" s="37"/>
      <c r="AP527" s="37"/>
      <c r="AQ527" s="37"/>
      <c r="AR527" s="25"/>
      <c r="AS527" s="25"/>
      <c r="AT527" s="38"/>
      <c r="AU527" s="39"/>
      <c r="AV527" s="34"/>
      <c r="AW527" s="34"/>
      <c r="AX527" s="34"/>
    </row>
    <row r="528" spans="2:50">
      <c r="B528" s="33"/>
      <c r="C528" s="25"/>
      <c r="D528" s="34"/>
      <c r="E528" s="34"/>
      <c r="F528" s="34"/>
      <c r="G528" s="35"/>
      <c r="H528" s="35"/>
      <c r="I528" s="35"/>
      <c r="J528" s="25"/>
      <c r="K528" s="34"/>
      <c r="L528" s="35"/>
      <c r="M528" s="34"/>
      <c r="N528" s="34"/>
      <c r="O528" s="37"/>
      <c r="P528" s="35"/>
      <c r="Q528" s="36"/>
      <c r="R528" s="25"/>
      <c r="S528" s="25"/>
      <c r="T528" s="34"/>
      <c r="U528" s="25"/>
      <c r="V528" s="25"/>
      <c r="W528" s="25"/>
      <c r="X528" s="34"/>
      <c r="Y528" s="25"/>
      <c r="Z528" s="25"/>
      <c r="AA528" s="34"/>
      <c r="AG528" s="34"/>
      <c r="AH528" s="34"/>
      <c r="AI528" s="34"/>
      <c r="AJ528" s="34"/>
      <c r="AK528" s="34"/>
      <c r="AL528" s="34"/>
      <c r="AM528" s="34"/>
      <c r="AN528" s="34"/>
      <c r="AO528" s="37"/>
      <c r="AP528" s="37"/>
      <c r="AQ528" s="37"/>
      <c r="AR528" s="25"/>
      <c r="AS528" s="25"/>
      <c r="AT528" s="38"/>
      <c r="AU528" s="39"/>
      <c r="AV528" s="34"/>
      <c r="AW528" s="34"/>
      <c r="AX528" s="34"/>
    </row>
    <row r="529" spans="2:50">
      <c r="B529" s="33"/>
      <c r="C529" s="25"/>
      <c r="D529" s="34"/>
      <c r="E529" s="34"/>
      <c r="F529" s="34"/>
      <c r="G529" s="35"/>
      <c r="H529" s="35"/>
      <c r="I529" s="35"/>
      <c r="J529" s="25"/>
      <c r="K529" s="34"/>
      <c r="L529" s="35"/>
      <c r="M529" s="34"/>
      <c r="N529" s="34"/>
      <c r="O529" s="37"/>
      <c r="P529" s="35"/>
      <c r="Q529" s="36"/>
      <c r="R529" s="25"/>
      <c r="S529" s="25"/>
      <c r="T529" s="34"/>
      <c r="U529" s="25"/>
      <c r="V529" s="25"/>
      <c r="W529" s="25"/>
      <c r="X529" s="34"/>
      <c r="Y529" s="25"/>
      <c r="Z529" s="25"/>
      <c r="AA529" s="34"/>
      <c r="AG529" s="34"/>
      <c r="AH529" s="34"/>
      <c r="AI529" s="34"/>
      <c r="AJ529" s="34"/>
      <c r="AK529" s="34"/>
      <c r="AL529" s="34"/>
      <c r="AM529" s="34"/>
      <c r="AN529" s="34"/>
      <c r="AO529" s="37"/>
      <c r="AP529" s="37"/>
      <c r="AQ529" s="37"/>
      <c r="AR529" s="25"/>
      <c r="AS529" s="25"/>
      <c r="AT529" s="38"/>
      <c r="AU529" s="39"/>
      <c r="AV529" s="34"/>
      <c r="AW529" s="34"/>
      <c r="AX529" s="34"/>
    </row>
    <row r="530" spans="2:50">
      <c r="B530" s="33"/>
      <c r="C530" s="25"/>
      <c r="D530" s="34"/>
      <c r="E530" s="34"/>
      <c r="F530" s="34"/>
      <c r="G530" s="35"/>
      <c r="H530" s="35"/>
      <c r="I530" s="35"/>
      <c r="J530" s="25"/>
      <c r="K530" s="34"/>
      <c r="L530" s="35"/>
      <c r="M530" s="34"/>
      <c r="N530" s="34"/>
      <c r="O530" s="37"/>
      <c r="P530" s="35"/>
      <c r="Q530" s="36"/>
      <c r="R530" s="25"/>
      <c r="S530" s="25"/>
      <c r="T530" s="34"/>
      <c r="U530" s="25"/>
      <c r="V530" s="25"/>
      <c r="W530" s="25"/>
      <c r="X530" s="34"/>
      <c r="Y530" s="25"/>
      <c r="Z530" s="25"/>
      <c r="AA530" s="34"/>
      <c r="AG530" s="34"/>
      <c r="AH530" s="34"/>
      <c r="AI530" s="34"/>
      <c r="AJ530" s="34"/>
      <c r="AK530" s="34"/>
      <c r="AL530" s="34"/>
      <c r="AM530" s="34"/>
      <c r="AN530" s="34"/>
      <c r="AO530" s="37"/>
      <c r="AP530" s="37"/>
      <c r="AQ530" s="37"/>
      <c r="AR530" s="25"/>
      <c r="AS530" s="25"/>
      <c r="AT530" s="38"/>
      <c r="AU530" s="39"/>
      <c r="AV530" s="34"/>
      <c r="AW530" s="34"/>
      <c r="AX530" s="34"/>
    </row>
    <row r="531" spans="2:50">
      <c r="B531" s="33"/>
      <c r="C531" s="25"/>
      <c r="D531" s="34"/>
      <c r="E531" s="34"/>
      <c r="F531" s="34"/>
      <c r="G531" s="35"/>
      <c r="H531" s="35"/>
      <c r="I531" s="35"/>
      <c r="J531" s="25"/>
      <c r="K531" s="34"/>
      <c r="L531" s="35"/>
      <c r="M531" s="34"/>
      <c r="N531" s="34"/>
      <c r="O531" s="37"/>
      <c r="P531" s="35"/>
      <c r="Q531" s="36"/>
      <c r="R531" s="25"/>
      <c r="S531" s="25"/>
      <c r="T531" s="34"/>
      <c r="U531" s="25"/>
      <c r="V531" s="25"/>
      <c r="W531" s="25"/>
      <c r="X531" s="34"/>
      <c r="Y531" s="25"/>
      <c r="Z531" s="25"/>
      <c r="AA531" s="34"/>
      <c r="AG531" s="34"/>
      <c r="AH531" s="34"/>
      <c r="AI531" s="34"/>
      <c r="AJ531" s="34"/>
      <c r="AK531" s="34"/>
      <c r="AL531" s="34"/>
      <c r="AM531" s="34"/>
      <c r="AN531" s="34"/>
      <c r="AO531" s="37"/>
      <c r="AP531" s="37"/>
      <c r="AQ531" s="37"/>
      <c r="AR531" s="25"/>
      <c r="AS531" s="25"/>
      <c r="AT531" s="38"/>
      <c r="AU531" s="39"/>
      <c r="AV531" s="34"/>
      <c r="AW531" s="34"/>
      <c r="AX531" s="34"/>
    </row>
    <row r="532" spans="2:50">
      <c r="B532" s="33"/>
      <c r="C532" s="25"/>
      <c r="D532" s="34"/>
      <c r="E532" s="34"/>
      <c r="F532" s="34"/>
      <c r="G532" s="35"/>
      <c r="H532" s="35"/>
      <c r="I532" s="35"/>
      <c r="J532" s="25"/>
      <c r="K532" s="34"/>
      <c r="L532" s="35"/>
      <c r="M532" s="34"/>
      <c r="N532" s="34"/>
      <c r="O532" s="37"/>
      <c r="P532" s="35"/>
      <c r="Q532" s="36"/>
      <c r="R532" s="25"/>
      <c r="S532" s="25"/>
      <c r="T532" s="34"/>
      <c r="U532" s="25"/>
      <c r="V532" s="25"/>
      <c r="W532" s="25"/>
      <c r="X532" s="34"/>
      <c r="Y532" s="25"/>
      <c r="Z532" s="25"/>
      <c r="AA532" s="34"/>
      <c r="AG532" s="34"/>
      <c r="AH532" s="34"/>
      <c r="AI532" s="34"/>
      <c r="AJ532" s="34"/>
      <c r="AK532" s="34"/>
      <c r="AL532" s="34"/>
      <c r="AM532" s="34"/>
      <c r="AN532" s="34"/>
      <c r="AO532" s="37"/>
      <c r="AP532" s="37"/>
      <c r="AQ532" s="37"/>
      <c r="AR532" s="25"/>
      <c r="AS532" s="25"/>
      <c r="AT532" s="38"/>
      <c r="AU532" s="39"/>
      <c r="AV532" s="34"/>
      <c r="AW532" s="34"/>
      <c r="AX532" s="34"/>
    </row>
    <row r="533" spans="2:50">
      <c r="B533" s="33"/>
      <c r="C533" s="25"/>
      <c r="D533" s="34"/>
      <c r="E533" s="34"/>
      <c r="F533" s="34"/>
      <c r="G533" s="35"/>
      <c r="H533" s="35"/>
      <c r="I533" s="35"/>
      <c r="J533" s="25"/>
      <c r="K533" s="34"/>
      <c r="L533" s="35"/>
      <c r="M533" s="34"/>
      <c r="N533" s="34"/>
      <c r="O533" s="37"/>
      <c r="P533" s="35"/>
      <c r="Q533" s="36"/>
      <c r="R533" s="25"/>
      <c r="S533" s="25"/>
      <c r="T533" s="34"/>
      <c r="U533" s="25"/>
      <c r="V533" s="25"/>
      <c r="W533" s="25"/>
      <c r="X533" s="34"/>
      <c r="Y533" s="25"/>
      <c r="Z533" s="25"/>
      <c r="AA533" s="34"/>
      <c r="AG533" s="34"/>
      <c r="AH533" s="34"/>
      <c r="AI533" s="34"/>
      <c r="AJ533" s="34"/>
      <c r="AK533" s="34"/>
      <c r="AL533" s="34"/>
      <c r="AM533" s="34"/>
      <c r="AN533" s="34"/>
      <c r="AO533" s="37"/>
      <c r="AP533" s="37"/>
      <c r="AQ533" s="37"/>
      <c r="AR533" s="25"/>
      <c r="AS533" s="25"/>
      <c r="AT533" s="38"/>
      <c r="AU533" s="39"/>
      <c r="AV533" s="34"/>
      <c r="AW533" s="34"/>
      <c r="AX533" s="34"/>
    </row>
    <row r="534" spans="2:50">
      <c r="B534" s="33"/>
      <c r="C534" s="25"/>
      <c r="D534" s="34"/>
      <c r="E534" s="34"/>
      <c r="F534" s="34"/>
      <c r="G534" s="35"/>
      <c r="H534" s="35"/>
      <c r="I534" s="35"/>
      <c r="J534" s="25"/>
      <c r="K534" s="34"/>
      <c r="L534" s="35"/>
      <c r="M534" s="34"/>
      <c r="N534" s="34"/>
      <c r="O534" s="37"/>
      <c r="P534" s="35"/>
      <c r="Q534" s="36"/>
      <c r="R534" s="25"/>
      <c r="S534" s="25"/>
      <c r="T534" s="34"/>
      <c r="U534" s="25"/>
      <c r="V534" s="25"/>
      <c r="W534" s="25"/>
      <c r="X534" s="34"/>
      <c r="Y534" s="25"/>
      <c r="Z534" s="25"/>
      <c r="AA534" s="34"/>
      <c r="AG534" s="34"/>
      <c r="AH534" s="34"/>
      <c r="AI534" s="34"/>
      <c r="AJ534" s="34"/>
      <c r="AK534" s="34"/>
      <c r="AL534" s="34"/>
      <c r="AM534" s="34"/>
      <c r="AN534" s="34"/>
      <c r="AO534" s="37"/>
      <c r="AP534" s="37"/>
      <c r="AQ534" s="37"/>
      <c r="AR534" s="25"/>
      <c r="AS534" s="25"/>
      <c r="AT534" s="38"/>
      <c r="AU534" s="39"/>
      <c r="AV534" s="34"/>
      <c r="AW534" s="34"/>
      <c r="AX534" s="34"/>
    </row>
    <row r="535" spans="2:50">
      <c r="B535" s="33"/>
      <c r="C535" s="25"/>
      <c r="D535" s="34"/>
      <c r="E535" s="34"/>
      <c r="F535" s="34"/>
      <c r="G535" s="35"/>
      <c r="H535" s="35"/>
      <c r="I535" s="35"/>
      <c r="J535" s="25"/>
      <c r="K535" s="34"/>
      <c r="L535" s="35"/>
      <c r="M535" s="34"/>
      <c r="N535" s="34"/>
      <c r="O535" s="37"/>
      <c r="P535" s="35"/>
      <c r="Q535" s="36"/>
      <c r="R535" s="25"/>
      <c r="S535" s="25"/>
      <c r="T535" s="34"/>
      <c r="U535" s="25"/>
      <c r="V535" s="25"/>
      <c r="W535" s="25"/>
      <c r="X535" s="34"/>
      <c r="Y535" s="25"/>
      <c r="Z535" s="25"/>
      <c r="AA535" s="34"/>
      <c r="AG535" s="34"/>
      <c r="AH535" s="34"/>
      <c r="AI535" s="34"/>
      <c r="AJ535" s="34"/>
      <c r="AK535" s="34"/>
      <c r="AL535" s="34"/>
      <c r="AM535" s="34"/>
      <c r="AN535" s="34"/>
      <c r="AO535" s="37"/>
      <c r="AP535" s="37"/>
      <c r="AQ535" s="37"/>
      <c r="AR535" s="25"/>
      <c r="AS535" s="25"/>
      <c r="AT535" s="38"/>
      <c r="AU535" s="39"/>
      <c r="AV535" s="34"/>
      <c r="AW535" s="34"/>
      <c r="AX535" s="34"/>
    </row>
    <row r="536" spans="2:50">
      <c r="B536" s="33"/>
      <c r="C536" s="25"/>
      <c r="D536" s="34"/>
      <c r="E536" s="34"/>
      <c r="F536" s="34"/>
      <c r="G536" s="35"/>
      <c r="H536" s="35"/>
      <c r="I536" s="35"/>
      <c r="J536" s="25"/>
      <c r="K536" s="34"/>
      <c r="L536" s="35"/>
      <c r="M536" s="34"/>
      <c r="N536" s="34"/>
      <c r="O536" s="37"/>
      <c r="P536" s="35"/>
      <c r="Q536" s="36"/>
      <c r="R536" s="25"/>
      <c r="S536" s="25"/>
      <c r="T536" s="34"/>
      <c r="U536" s="25"/>
      <c r="V536" s="25"/>
      <c r="W536" s="25"/>
      <c r="X536" s="34"/>
      <c r="Y536" s="25"/>
      <c r="Z536" s="25"/>
      <c r="AA536" s="34"/>
      <c r="AG536" s="34"/>
      <c r="AH536" s="34"/>
      <c r="AI536" s="34"/>
      <c r="AJ536" s="34"/>
      <c r="AK536" s="34"/>
      <c r="AL536" s="34"/>
      <c r="AM536" s="34"/>
      <c r="AN536" s="34"/>
      <c r="AO536" s="37"/>
      <c r="AP536" s="37"/>
      <c r="AQ536" s="37"/>
      <c r="AR536" s="25"/>
      <c r="AS536" s="25"/>
      <c r="AT536" s="38"/>
      <c r="AU536" s="39"/>
      <c r="AV536" s="34"/>
      <c r="AW536" s="34"/>
      <c r="AX536" s="34"/>
    </row>
    <row r="537" spans="2:50">
      <c r="B537" s="33"/>
      <c r="C537" s="25"/>
      <c r="D537" s="34"/>
      <c r="E537" s="34"/>
      <c r="F537" s="34"/>
      <c r="G537" s="35"/>
      <c r="H537" s="35"/>
      <c r="I537" s="35"/>
      <c r="J537" s="25"/>
      <c r="K537" s="34"/>
      <c r="L537" s="35"/>
      <c r="M537" s="34"/>
      <c r="N537" s="34"/>
      <c r="O537" s="37"/>
      <c r="P537" s="35"/>
      <c r="Q537" s="36"/>
      <c r="R537" s="25"/>
      <c r="S537" s="25"/>
      <c r="T537" s="34"/>
      <c r="U537" s="25"/>
      <c r="V537" s="25"/>
      <c r="W537" s="25"/>
      <c r="X537" s="34"/>
      <c r="Y537" s="25"/>
      <c r="Z537" s="25"/>
      <c r="AA537" s="34"/>
      <c r="AG537" s="34"/>
      <c r="AH537" s="34"/>
      <c r="AI537" s="34"/>
      <c r="AJ537" s="34"/>
      <c r="AK537" s="34"/>
      <c r="AL537" s="34"/>
      <c r="AM537" s="34"/>
      <c r="AN537" s="34"/>
      <c r="AO537" s="37"/>
      <c r="AP537" s="37"/>
      <c r="AQ537" s="37"/>
      <c r="AR537" s="25"/>
      <c r="AS537" s="25"/>
      <c r="AT537" s="38"/>
      <c r="AU537" s="39"/>
      <c r="AV537" s="34"/>
      <c r="AW537" s="34"/>
      <c r="AX537" s="34"/>
    </row>
    <row r="538" spans="2:50">
      <c r="B538" s="33"/>
      <c r="C538" s="25"/>
      <c r="D538" s="34"/>
      <c r="E538" s="34"/>
      <c r="F538" s="34"/>
      <c r="G538" s="35"/>
      <c r="H538" s="35"/>
      <c r="I538" s="35"/>
      <c r="J538" s="25"/>
      <c r="K538" s="34"/>
      <c r="L538" s="35"/>
      <c r="M538" s="34"/>
      <c r="N538" s="34"/>
      <c r="O538" s="37"/>
      <c r="P538" s="35"/>
      <c r="Q538" s="36"/>
      <c r="R538" s="25"/>
      <c r="S538" s="25"/>
      <c r="T538" s="34"/>
      <c r="U538" s="25"/>
      <c r="V538" s="25"/>
      <c r="W538" s="25"/>
      <c r="X538" s="34"/>
      <c r="Y538" s="25"/>
      <c r="Z538" s="25"/>
      <c r="AA538" s="34"/>
      <c r="AG538" s="34"/>
      <c r="AH538" s="34"/>
      <c r="AI538" s="34"/>
      <c r="AJ538" s="34"/>
      <c r="AK538" s="34"/>
      <c r="AL538" s="34"/>
      <c r="AM538" s="34"/>
      <c r="AN538" s="34"/>
      <c r="AO538" s="37"/>
      <c r="AP538" s="37"/>
      <c r="AQ538" s="37"/>
      <c r="AR538" s="25"/>
      <c r="AS538" s="25"/>
      <c r="AT538" s="38"/>
      <c r="AU538" s="39"/>
      <c r="AV538" s="34"/>
      <c r="AW538" s="34"/>
      <c r="AX538" s="34"/>
    </row>
    <row r="539" spans="2:50">
      <c r="B539" s="33"/>
      <c r="C539" s="25"/>
      <c r="D539" s="34"/>
      <c r="E539" s="34"/>
      <c r="F539" s="34"/>
      <c r="G539" s="35"/>
      <c r="H539" s="35"/>
      <c r="I539" s="35"/>
      <c r="J539" s="25"/>
      <c r="K539" s="34"/>
      <c r="L539" s="35"/>
      <c r="M539" s="34"/>
      <c r="N539" s="34"/>
      <c r="O539" s="37"/>
      <c r="P539" s="35"/>
      <c r="Q539" s="36"/>
      <c r="R539" s="25"/>
      <c r="S539" s="25"/>
      <c r="T539" s="34"/>
      <c r="U539" s="25"/>
      <c r="V539" s="25"/>
      <c r="W539" s="25"/>
      <c r="X539" s="34"/>
      <c r="Y539" s="25"/>
      <c r="Z539" s="25"/>
      <c r="AA539" s="34"/>
      <c r="AG539" s="34"/>
      <c r="AH539" s="34"/>
      <c r="AI539" s="34"/>
      <c r="AJ539" s="34"/>
      <c r="AK539" s="34"/>
      <c r="AL539" s="34"/>
      <c r="AM539" s="34"/>
      <c r="AN539" s="34"/>
      <c r="AO539" s="37"/>
      <c r="AP539" s="37"/>
      <c r="AQ539" s="37"/>
      <c r="AR539" s="25"/>
      <c r="AS539" s="25"/>
      <c r="AT539" s="38"/>
      <c r="AU539" s="39"/>
      <c r="AV539" s="34"/>
      <c r="AW539" s="34"/>
      <c r="AX539" s="34"/>
    </row>
    <row r="540" spans="2:50">
      <c r="B540" s="33"/>
      <c r="C540" s="25"/>
      <c r="D540" s="34"/>
      <c r="E540" s="34"/>
      <c r="F540" s="34"/>
      <c r="G540" s="35"/>
      <c r="H540" s="35"/>
      <c r="I540" s="35"/>
      <c r="J540" s="25"/>
      <c r="K540" s="34"/>
      <c r="L540" s="35"/>
      <c r="M540" s="34"/>
      <c r="N540" s="34"/>
      <c r="O540" s="37"/>
      <c r="P540" s="35"/>
      <c r="Q540" s="36"/>
      <c r="R540" s="25"/>
      <c r="S540" s="25"/>
      <c r="T540" s="34"/>
      <c r="U540" s="25"/>
      <c r="V540" s="25"/>
      <c r="W540" s="25"/>
      <c r="X540" s="34"/>
      <c r="Y540" s="25"/>
      <c r="Z540" s="25"/>
      <c r="AA540" s="34"/>
      <c r="AG540" s="34"/>
      <c r="AH540" s="34"/>
      <c r="AI540" s="34"/>
      <c r="AJ540" s="34"/>
      <c r="AK540" s="34"/>
      <c r="AL540" s="34"/>
      <c r="AM540" s="34"/>
      <c r="AN540" s="34"/>
      <c r="AO540" s="37"/>
      <c r="AP540" s="37"/>
      <c r="AQ540" s="37"/>
      <c r="AR540" s="25"/>
      <c r="AS540" s="25"/>
      <c r="AT540" s="38"/>
      <c r="AU540" s="39"/>
      <c r="AV540" s="34"/>
      <c r="AW540" s="34"/>
      <c r="AX540" s="34"/>
    </row>
    <row r="541" spans="2:50">
      <c r="B541" s="33"/>
      <c r="C541" s="25"/>
      <c r="D541" s="34"/>
      <c r="E541" s="34"/>
      <c r="F541" s="34"/>
      <c r="G541" s="35"/>
      <c r="H541" s="35"/>
      <c r="I541" s="35"/>
      <c r="J541" s="25"/>
      <c r="K541" s="34"/>
      <c r="L541" s="35"/>
      <c r="M541" s="34"/>
      <c r="N541" s="34"/>
      <c r="O541" s="37"/>
      <c r="P541" s="35"/>
      <c r="Q541" s="36"/>
      <c r="R541" s="25"/>
      <c r="S541" s="25"/>
      <c r="T541" s="34"/>
      <c r="U541" s="25"/>
      <c r="V541" s="25"/>
      <c r="W541" s="25"/>
      <c r="X541" s="34"/>
      <c r="Y541" s="25"/>
      <c r="Z541" s="25"/>
      <c r="AA541" s="34"/>
      <c r="AG541" s="34"/>
      <c r="AH541" s="34"/>
      <c r="AI541" s="34"/>
      <c r="AJ541" s="34"/>
      <c r="AK541" s="34"/>
      <c r="AL541" s="34"/>
      <c r="AM541" s="34"/>
      <c r="AN541" s="34"/>
      <c r="AO541" s="37"/>
      <c r="AP541" s="37"/>
      <c r="AQ541" s="37"/>
      <c r="AR541" s="25"/>
      <c r="AS541" s="25"/>
      <c r="AT541" s="38"/>
      <c r="AU541" s="39"/>
      <c r="AV541" s="34"/>
      <c r="AW541" s="34"/>
      <c r="AX541" s="34"/>
    </row>
    <row r="542" spans="2:50">
      <c r="B542" s="33"/>
      <c r="C542" s="25"/>
      <c r="D542" s="34"/>
      <c r="E542" s="34"/>
      <c r="F542" s="34"/>
      <c r="G542" s="35"/>
      <c r="H542" s="35"/>
      <c r="I542" s="35"/>
      <c r="J542" s="25"/>
      <c r="K542" s="34"/>
      <c r="L542" s="35"/>
      <c r="M542" s="34"/>
      <c r="N542" s="34"/>
      <c r="O542" s="37"/>
      <c r="P542" s="35"/>
      <c r="Q542" s="36"/>
      <c r="R542" s="25"/>
      <c r="S542" s="25"/>
      <c r="T542" s="34"/>
      <c r="U542" s="25"/>
      <c r="V542" s="25"/>
      <c r="W542" s="25"/>
      <c r="X542" s="34"/>
      <c r="Y542" s="25"/>
      <c r="Z542" s="25"/>
      <c r="AA542" s="34"/>
      <c r="AG542" s="34"/>
      <c r="AH542" s="34"/>
      <c r="AI542" s="34"/>
      <c r="AJ542" s="34"/>
      <c r="AK542" s="34"/>
      <c r="AL542" s="34"/>
      <c r="AM542" s="34"/>
      <c r="AN542" s="34"/>
      <c r="AO542" s="37"/>
      <c r="AP542" s="37"/>
      <c r="AQ542" s="37"/>
      <c r="AR542" s="25"/>
      <c r="AS542" s="25"/>
      <c r="AT542" s="38"/>
      <c r="AU542" s="39"/>
      <c r="AV542" s="34"/>
      <c r="AW542" s="34"/>
      <c r="AX542" s="34"/>
    </row>
    <row r="543" spans="2:50">
      <c r="B543" s="33"/>
      <c r="C543" s="25"/>
      <c r="D543" s="34"/>
      <c r="E543" s="34"/>
      <c r="F543" s="34"/>
      <c r="G543" s="35"/>
      <c r="H543" s="35"/>
      <c r="I543" s="35"/>
      <c r="J543" s="25"/>
      <c r="K543" s="34"/>
      <c r="L543" s="35"/>
      <c r="M543" s="34"/>
      <c r="N543" s="34"/>
      <c r="O543" s="37"/>
      <c r="P543" s="35"/>
      <c r="Q543" s="36"/>
      <c r="R543" s="25"/>
      <c r="S543" s="25"/>
      <c r="T543" s="34"/>
      <c r="U543" s="25"/>
      <c r="V543" s="25"/>
      <c r="W543" s="25"/>
      <c r="X543" s="34"/>
      <c r="Y543" s="25"/>
      <c r="Z543" s="25"/>
      <c r="AA543" s="34"/>
      <c r="AG543" s="34"/>
      <c r="AH543" s="34"/>
      <c r="AI543" s="34"/>
      <c r="AJ543" s="34"/>
      <c r="AK543" s="34"/>
      <c r="AL543" s="34"/>
      <c r="AM543" s="34"/>
      <c r="AN543" s="34"/>
      <c r="AO543" s="37"/>
      <c r="AP543" s="37"/>
      <c r="AQ543" s="37"/>
      <c r="AR543" s="25"/>
      <c r="AS543" s="25"/>
      <c r="AT543" s="38"/>
      <c r="AU543" s="39"/>
      <c r="AV543" s="34"/>
      <c r="AW543" s="34"/>
      <c r="AX543" s="34"/>
    </row>
    <row r="544" spans="2:50">
      <c r="B544" s="33"/>
      <c r="C544" s="25"/>
      <c r="D544" s="34"/>
      <c r="E544" s="34"/>
      <c r="F544" s="34"/>
      <c r="G544" s="35"/>
      <c r="H544" s="35"/>
      <c r="I544" s="35"/>
      <c r="J544" s="25"/>
      <c r="K544" s="34"/>
      <c r="L544" s="35"/>
      <c r="M544" s="34"/>
      <c r="N544" s="34"/>
      <c r="O544" s="37"/>
      <c r="P544" s="35"/>
      <c r="Q544" s="36"/>
      <c r="R544" s="25"/>
      <c r="S544" s="25"/>
      <c r="T544" s="34"/>
      <c r="U544" s="25"/>
      <c r="V544" s="25"/>
      <c r="W544" s="25"/>
      <c r="X544" s="34"/>
      <c r="Y544" s="25"/>
      <c r="Z544" s="25"/>
      <c r="AA544" s="34"/>
      <c r="AG544" s="34"/>
      <c r="AH544" s="34"/>
      <c r="AI544" s="34"/>
      <c r="AJ544" s="34"/>
      <c r="AK544" s="34"/>
      <c r="AL544" s="34"/>
      <c r="AM544" s="34"/>
      <c r="AN544" s="34"/>
      <c r="AO544" s="37"/>
      <c r="AP544" s="37"/>
      <c r="AQ544" s="37"/>
      <c r="AR544" s="25"/>
      <c r="AS544" s="25"/>
      <c r="AT544" s="38"/>
      <c r="AU544" s="39"/>
      <c r="AV544" s="34"/>
      <c r="AW544" s="34"/>
      <c r="AX544" s="34"/>
    </row>
    <row r="545" spans="2:50">
      <c r="B545" s="33"/>
      <c r="C545" s="25"/>
      <c r="D545" s="34"/>
      <c r="E545" s="34"/>
      <c r="F545" s="34"/>
      <c r="G545" s="35"/>
      <c r="H545" s="35"/>
      <c r="I545" s="35"/>
      <c r="J545" s="25"/>
      <c r="K545" s="34"/>
      <c r="L545" s="35"/>
      <c r="M545" s="34"/>
      <c r="N545" s="34"/>
      <c r="O545" s="37"/>
      <c r="P545" s="35"/>
      <c r="Q545" s="36"/>
      <c r="R545" s="25"/>
      <c r="S545" s="25"/>
      <c r="T545" s="34"/>
      <c r="U545" s="25"/>
      <c r="V545" s="25"/>
      <c r="W545" s="25"/>
      <c r="X545" s="34"/>
      <c r="Y545" s="25"/>
      <c r="Z545" s="25"/>
      <c r="AA545" s="34"/>
      <c r="AG545" s="34"/>
      <c r="AH545" s="34"/>
      <c r="AI545" s="34"/>
      <c r="AJ545" s="34"/>
      <c r="AK545" s="34"/>
      <c r="AL545" s="34"/>
      <c r="AM545" s="34"/>
      <c r="AN545" s="34"/>
      <c r="AO545" s="37"/>
      <c r="AP545" s="37"/>
      <c r="AQ545" s="37"/>
      <c r="AR545" s="25"/>
      <c r="AS545" s="25"/>
      <c r="AT545" s="38"/>
      <c r="AU545" s="39"/>
      <c r="AV545" s="34"/>
      <c r="AW545" s="34"/>
      <c r="AX545" s="34"/>
    </row>
    <row r="546" spans="2:50">
      <c r="B546" s="33"/>
      <c r="C546" s="25"/>
      <c r="D546" s="34"/>
      <c r="E546" s="34"/>
      <c r="F546" s="34"/>
      <c r="G546" s="35"/>
      <c r="H546" s="35"/>
      <c r="I546" s="35"/>
      <c r="J546" s="25"/>
      <c r="K546" s="34"/>
      <c r="L546" s="35"/>
      <c r="M546" s="34"/>
      <c r="N546" s="34"/>
      <c r="O546" s="37"/>
      <c r="P546" s="35"/>
      <c r="Q546" s="36"/>
      <c r="R546" s="25"/>
      <c r="S546" s="25"/>
      <c r="T546" s="34"/>
      <c r="U546" s="25"/>
      <c r="V546" s="25"/>
      <c r="W546" s="25"/>
      <c r="X546" s="34"/>
      <c r="Y546" s="25"/>
      <c r="Z546" s="25"/>
      <c r="AA546" s="34"/>
      <c r="AG546" s="34"/>
      <c r="AH546" s="34"/>
      <c r="AI546" s="34"/>
      <c r="AJ546" s="34"/>
      <c r="AK546" s="34"/>
      <c r="AL546" s="34"/>
      <c r="AM546" s="34"/>
      <c r="AN546" s="34"/>
      <c r="AO546" s="37"/>
      <c r="AP546" s="37"/>
      <c r="AQ546" s="37"/>
      <c r="AR546" s="25"/>
      <c r="AS546" s="25"/>
      <c r="AT546" s="38"/>
      <c r="AU546" s="39"/>
      <c r="AV546" s="34"/>
      <c r="AW546" s="34"/>
      <c r="AX546" s="34"/>
    </row>
    <row r="547" spans="2:50">
      <c r="B547" s="33"/>
      <c r="C547" s="25"/>
      <c r="D547" s="34"/>
      <c r="E547" s="34"/>
      <c r="F547" s="34"/>
      <c r="G547" s="35"/>
      <c r="H547" s="35"/>
      <c r="I547" s="35"/>
      <c r="J547" s="25"/>
      <c r="K547" s="34"/>
      <c r="L547" s="35"/>
      <c r="M547" s="34"/>
      <c r="N547" s="34"/>
      <c r="O547" s="37"/>
      <c r="P547" s="35"/>
      <c r="Q547" s="36"/>
      <c r="R547" s="25"/>
      <c r="S547" s="25"/>
      <c r="T547" s="34"/>
      <c r="U547" s="25"/>
      <c r="V547" s="25"/>
      <c r="W547" s="25"/>
      <c r="X547" s="34"/>
      <c r="Y547" s="25"/>
      <c r="Z547" s="25"/>
      <c r="AA547" s="34"/>
      <c r="AG547" s="34"/>
      <c r="AH547" s="34"/>
      <c r="AI547" s="34"/>
      <c r="AJ547" s="34"/>
      <c r="AK547" s="34"/>
      <c r="AL547" s="34"/>
      <c r="AM547" s="34"/>
      <c r="AN547" s="34"/>
      <c r="AO547" s="37"/>
      <c r="AP547" s="37"/>
      <c r="AQ547" s="37"/>
      <c r="AR547" s="25"/>
      <c r="AS547" s="25"/>
      <c r="AT547" s="38"/>
      <c r="AU547" s="39"/>
      <c r="AV547" s="34"/>
      <c r="AW547" s="34"/>
      <c r="AX547" s="34"/>
    </row>
    <row r="548" spans="2:50">
      <c r="B548" s="33"/>
      <c r="C548" s="25"/>
      <c r="D548" s="34"/>
      <c r="E548" s="34"/>
      <c r="F548" s="34"/>
      <c r="G548" s="35"/>
      <c r="H548" s="35"/>
      <c r="I548" s="35"/>
      <c r="J548" s="25"/>
      <c r="K548" s="34"/>
      <c r="L548" s="35"/>
      <c r="M548" s="34"/>
      <c r="N548" s="34"/>
      <c r="O548" s="37"/>
      <c r="P548" s="35"/>
      <c r="Q548" s="36"/>
      <c r="R548" s="25"/>
      <c r="S548" s="25"/>
      <c r="T548" s="34"/>
      <c r="U548" s="25"/>
      <c r="V548" s="25"/>
      <c r="W548" s="25"/>
      <c r="X548" s="34"/>
      <c r="Y548" s="25"/>
      <c r="Z548" s="25"/>
      <c r="AA548" s="34"/>
      <c r="AG548" s="34"/>
      <c r="AH548" s="34"/>
      <c r="AI548" s="34"/>
      <c r="AJ548" s="34"/>
      <c r="AK548" s="34"/>
      <c r="AL548" s="34"/>
      <c r="AM548" s="34"/>
      <c r="AN548" s="34"/>
      <c r="AO548" s="37"/>
      <c r="AP548" s="37"/>
      <c r="AQ548" s="37"/>
      <c r="AR548" s="25"/>
      <c r="AS548" s="25"/>
      <c r="AT548" s="38"/>
      <c r="AU548" s="39"/>
      <c r="AV548" s="34"/>
      <c r="AW548" s="34"/>
      <c r="AX548" s="34"/>
    </row>
    <row r="549" spans="2:50">
      <c r="B549" s="33"/>
      <c r="C549" s="25"/>
      <c r="D549" s="34"/>
      <c r="E549" s="34"/>
      <c r="F549" s="34"/>
      <c r="G549" s="35"/>
      <c r="H549" s="35"/>
      <c r="I549" s="35"/>
      <c r="J549" s="25"/>
      <c r="K549" s="34"/>
      <c r="L549" s="35"/>
      <c r="M549" s="34"/>
      <c r="N549" s="34"/>
      <c r="O549" s="37"/>
      <c r="P549" s="35"/>
      <c r="Q549" s="36"/>
      <c r="R549" s="25"/>
      <c r="S549" s="25"/>
      <c r="T549" s="34"/>
      <c r="U549" s="25"/>
      <c r="V549" s="25"/>
      <c r="W549" s="25"/>
      <c r="X549" s="34"/>
      <c r="Y549" s="25"/>
      <c r="Z549" s="25"/>
      <c r="AA549" s="34"/>
      <c r="AG549" s="34"/>
      <c r="AH549" s="34"/>
      <c r="AI549" s="34"/>
      <c r="AJ549" s="34"/>
      <c r="AK549" s="34"/>
      <c r="AL549" s="34"/>
      <c r="AM549" s="34"/>
      <c r="AN549" s="34"/>
      <c r="AO549" s="37"/>
      <c r="AP549" s="37"/>
      <c r="AQ549" s="37"/>
      <c r="AR549" s="25"/>
      <c r="AS549" s="25"/>
      <c r="AT549" s="38"/>
      <c r="AU549" s="39"/>
      <c r="AV549" s="34"/>
      <c r="AW549" s="34"/>
      <c r="AX549" s="34"/>
    </row>
    <row r="550" spans="2:50">
      <c r="B550" s="33"/>
      <c r="C550" s="25"/>
      <c r="D550" s="34"/>
      <c r="E550" s="34"/>
      <c r="F550" s="34"/>
      <c r="G550" s="35"/>
      <c r="H550" s="35"/>
      <c r="I550" s="35"/>
      <c r="J550" s="25"/>
      <c r="K550" s="34"/>
      <c r="L550" s="35"/>
      <c r="M550" s="34"/>
      <c r="N550" s="34"/>
      <c r="O550" s="37"/>
      <c r="P550" s="35"/>
      <c r="Q550" s="36"/>
      <c r="R550" s="25"/>
      <c r="S550" s="25"/>
      <c r="T550" s="34"/>
      <c r="U550" s="25"/>
      <c r="V550" s="25"/>
      <c r="W550" s="25"/>
      <c r="X550" s="34"/>
      <c r="Y550" s="25"/>
      <c r="Z550" s="25"/>
      <c r="AA550" s="34"/>
      <c r="AG550" s="34"/>
      <c r="AH550" s="34"/>
      <c r="AI550" s="34"/>
      <c r="AJ550" s="34"/>
      <c r="AK550" s="34"/>
      <c r="AL550" s="34"/>
      <c r="AM550" s="34"/>
      <c r="AN550" s="34"/>
      <c r="AO550" s="37"/>
      <c r="AP550" s="37"/>
      <c r="AQ550" s="37"/>
      <c r="AR550" s="25"/>
      <c r="AS550" s="25"/>
      <c r="AT550" s="38"/>
      <c r="AU550" s="39"/>
      <c r="AV550" s="34"/>
      <c r="AW550" s="34"/>
      <c r="AX550" s="34"/>
    </row>
    <row r="551" spans="2:50">
      <c r="B551" s="33"/>
      <c r="C551" s="25"/>
      <c r="D551" s="34"/>
      <c r="E551" s="34"/>
      <c r="F551" s="34"/>
      <c r="G551" s="35"/>
      <c r="H551" s="35"/>
      <c r="I551" s="35"/>
      <c r="J551" s="25"/>
      <c r="K551" s="34"/>
      <c r="L551" s="35"/>
      <c r="M551" s="34"/>
      <c r="N551" s="34"/>
      <c r="O551" s="37"/>
      <c r="P551" s="35"/>
      <c r="Q551" s="36"/>
      <c r="R551" s="25"/>
      <c r="S551" s="25"/>
      <c r="T551" s="34"/>
      <c r="U551" s="25"/>
      <c r="V551" s="25"/>
      <c r="W551" s="25"/>
      <c r="X551" s="34"/>
      <c r="Y551" s="25"/>
      <c r="Z551" s="25"/>
      <c r="AA551" s="34"/>
      <c r="AG551" s="34"/>
      <c r="AH551" s="34"/>
      <c r="AI551" s="34"/>
      <c r="AJ551" s="34"/>
      <c r="AK551" s="34"/>
      <c r="AL551" s="34"/>
      <c r="AM551" s="34"/>
      <c r="AN551" s="34"/>
      <c r="AO551" s="37"/>
      <c r="AP551" s="37"/>
      <c r="AQ551" s="37"/>
      <c r="AR551" s="25"/>
      <c r="AS551" s="25"/>
      <c r="AT551" s="38"/>
      <c r="AU551" s="39"/>
      <c r="AV551" s="34"/>
      <c r="AW551" s="34"/>
      <c r="AX551" s="34"/>
    </row>
    <row r="552" spans="2:50">
      <c r="B552" s="33"/>
      <c r="C552" s="25"/>
      <c r="D552" s="34"/>
      <c r="E552" s="34"/>
      <c r="F552" s="34"/>
      <c r="G552" s="35"/>
      <c r="H552" s="35"/>
      <c r="I552" s="35"/>
      <c r="J552" s="25"/>
      <c r="K552" s="34"/>
      <c r="L552" s="35"/>
      <c r="M552" s="34"/>
      <c r="N552" s="34"/>
      <c r="O552" s="37"/>
      <c r="P552" s="35"/>
      <c r="Q552" s="36"/>
      <c r="R552" s="25"/>
      <c r="S552" s="25"/>
      <c r="T552" s="34"/>
      <c r="U552" s="25"/>
      <c r="V552" s="25"/>
      <c r="W552" s="25"/>
      <c r="X552" s="34"/>
      <c r="Y552" s="25"/>
      <c r="Z552" s="25"/>
      <c r="AA552" s="34"/>
      <c r="AG552" s="34"/>
      <c r="AH552" s="34"/>
      <c r="AI552" s="34"/>
      <c r="AJ552" s="34"/>
      <c r="AK552" s="34"/>
      <c r="AL552" s="34"/>
      <c r="AM552" s="34"/>
      <c r="AN552" s="34"/>
      <c r="AO552" s="37"/>
      <c r="AP552" s="37"/>
      <c r="AQ552" s="37"/>
      <c r="AR552" s="25"/>
      <c r="AS552" s="25"/>
      <c r="AT552" s="38"/>
      <c r="AU552" s="39"/>
      <c r="AV552" s="34"/>
      <c r="AW552" s="34"/>
      <c r="AX552" s="34"/>
    </row>
    <row r="553" spans="2:50">
      <c r="B553" s="33"/>
      <c r="C553" s="25"/>
      <c r="D553" s="34"/>
      <c r="E553" s="34"/>
      <c r="F553" s="34"/>
      <c r="G553" s="35"/>
      <c r="H553" s="35"/>
      <c r="I553" s="35"/>
      <c r="J553" s="25"/>
      <c r="K553" s="34"/>
      <c r="L553" s="35"/>
      <c r="M553" s="34"/>
      <c r="N553" s="34"/>
      <c r="O553" s="37"/>
      <c r="P553" s="35"/>
      <c r="Q553" s="36"/>
      <c r="R553" s="25"/>
      <c r="S553" s="25"/>
      <c r="T553" s="34"/>
      <c r="U553" s="25"/>
      <c r="V553" s="25"/>
      <c r="W553" s="25"/>
      <c r="X553" s="34"/>
      <c r="Y553" s="25"/>
      <c r="Z553" s="25"/>
      <c r="AA553" s="34"/>
      <c r="AG553" s="34"/>
      <c r="AH553" s="34"/>
      <c r="AI553" s="34"/>
      <c r="AJ553" s="34"/>
      <c r="AK553" s="34"/>
      <c r="AL553" s="34"/>
      <c r="AM553" s="34"/>
      <c r="AN553" s="34"/>
      <c r="AO553" s="37"/>
      <c r="AP553" s="37"/>
      <c r="AQ553" s="37"/>
      <c r="AR553" s="25"/>
      <c r="AS553" s="25"/>
      <c r="AT553" s="38"/>
      <c r="AU553" s="39"/>
      <c r="AV553" s="34"/>
      <c r="AW553" s="34"/>
      <c r="AX553" s="34"/>
    </row>
    <row r="554" spans="2:50">
      <c r="B554" s="33"/>
      <c r="C554" s="25"/>
      <c r="D554" s="34"/>
      <c r="E554" s="34"/>
      <c r="F554" s="34"/>
      <c r="G554" s="35"/>
      <c r="H554" s="35"/>
      <c r="I554" s="35"/>
      <c r="J554" s="25"/>
      <c r="K554" s="34"/>
      <c r="L554" s="35"/>
      <c r="M554" s="34"/>
      <c r="N554" s="34"/>
      <c r="O554" s="37"/>
      <c r="P554" s="35"/>
      <c r="Q554" s="36"/>
      <c r="R554" s="25"/>
      <c r="S554" s="25"/>
      <c r="T554" s="34"/>
      <c r="U554" s="25"/>
      <c r="V554" s="25"/>
      <c r="W554" s="25"/>
      <c r="X554" s="34"/>
      <c r="Y554" s="25"/>
      <c r="Z554" s="25"/>
      <c r="AA554" s="34"/>
      <c r="AG554" s="34"/>
      <c r="AH554" s="34"/>
      <c r="AI554" s="34"/>
      <c r="AJ554" s="34"/>
      <c r="AK554" s="34"/>
      <c r="AL554" s="34"/>
      <c r="AM554" s="34"/>
      <c r="AN554" s="34"/>
      <c r="AO554" s="37"/>
      <c r="AP554" s="37"/>
      <c r="AQ554" s="37"/>
      <c r="AR554" s="25"/>
      <c r="AS554" s="25"/>
      <c r="AT554" s="38"/>
      <c r="AU554" s="39"/>
      <c r="AV554" s="34"/>
      <c r="AW554" s="34"/>
      <c r="AX554" s="34"/>
    </row>
    <row r="555" spans="2:50">
      <c r="B555" s="33"/>
      <c r="C555" s="25"/>
      <c r="D555" s="34"/>
      <c r="E555" s="34"/>
      <c r="F555" s="34"/>
      <c r="G555" s="35"/>
      <c r="H555" s="35"/>
      <c r="I555" s="35"/>
      <c r="J555" s="25"/>
      <c r="K555" s="34"/>
      <c r="L555" s="35"/>
      <c r="M555" s="34"/>
      <c r="N555" s="34"/>
      <c r="O555" s="37"/>
      <c r="P555" s="35"/>
      <c r="Q555" s="36"/>
      <c r="R555" s="25"/>
      <c r="S555" s="25"/>
      <c r="T555" s="34"/>
      <c r="U555" s="25"/>
      <c r="V555" s="25"/>
      <c r="W555" s="25"/>
      <c r="X555" s="34"/>
      <c r="Y555" s="25"/>
      <c r="Z555" s="25"/>
      <c r="AA555" s="34"/>
      <c r="AG555" s="34"/>
      <c r="AH555" s="34"/>
      <c r="AI555" s="34"/>
      <c r="AJ555" s="34"/>
      <c r="AK555" s="34"/>
      <c r="AL555" s="34"/>
      <c r="AM555" s="34"/>
      <c r="AN555" s="34"/>
      <c r="AO555" s="37"/>
      <c r="AP555" s="37"/>
      <c r="AQ555" s="37"/>
      <c r="AR555" s="25"/>
      <c r="AS555" s="25"/>
      <c r="AT555" s="38"/>
      <c r="AU555" s="39"/>
      <c r="AV555" s="34"/>
      <c r="AW555" s="34"/>
      <c r="AX555" s="34"/>
    </row>
    <row r="556" spans="2:50">
      <c r="B556" s="33"/>
      <c r="C556" s="25"/>
      <c r="D556" s="34"/>
      <c r="E556" s="34"/>
      <c r="F556" s="34"/>
      <c r="G556" s="35"/>
      <c r="H556" s="35"/>
      <c r="I556" s="35"/>
      <c r="J556" s="25"/>
      <c r="K556" s="34"/>
      <c r="L556" s="35"/>
      <c r="M556" s="34"/>
      <c r="N556" s="34"/>
      <c r="O556" s="37"/>
      <c r="P556" s="35"/>
      <c r="Q556" s="36"/>
      <c r="R556" s="25"/>
      <c r="S556" s="25"/>
      <c r="T556" s="34"/>
      <c r="U556" s="25"/>
      <c r="V556" s="25"/>
      <c r="W556" s="25"/>
      <c r="X556" s="34"/>
      <c r="Y556" s="25"/>
      <c r="Z556" s="25"/>
      <c r="AA556" s="34"/>
      <c r="AG556" s="34"/>
      <c r="AH556" s="34"/>
      <c r="AI556" s="34"/>
      <c r="AJ556" s="34"/>
      <c r="AK556" s="34"/>
      <c r="AL556" s="34"/>
      <c r="AM556" s="34"/>
      <c r="AN556" s="34"/>
      <c r="AO556" s="37"/>
      <c r="AP556" s="37"/>
      <c r="AQ556" s="37"/>
      <c r="AR556" s="25"/>
      <c r="AS556" s="25"/>
      <c r="AT556" s="38"/>
      <c r="AU556" s="39"/>
      <c r="AV556" s="34"/>
      <c r="AW556" s="34"/>
      <c r="AX556" s="34"/>
    </row>
    <row r="557" spans="2:50">
      <c r="B557" s="33"/>
      <c r="C557" s="25"/>
      <c r="D557" s="34"/>
      <c r="E557" s="34"/>
      <c r="F557" s="34"/>
      <c r="G557" s="35"/>
      <c r="H557" s="35"/>
      <c r="I557" s="35"/>
      <c r="J557" s="25"/>
      <c r="K557" s="34"/>
      <c r="L557" s="35"/>
      <c r="M557" s="34"/>
      <c r="N557" s="34"/>
      <c r="O557" s="37"/>
      <c r="P557" s="35"/>
      <c r="Q557" s="36"/>
      <c r="R557" s="25"/>
      <c r="S557" s="25"/>
      <c r="T557" s="34"/>
      <c r="U557" s="25"/>
      <c r="V557" s="25"/>
      <c r="W557" s="25"/>
      <c r="X557" s="34"/>
      <c r="Y557" s="25"/>
      <c r="Z557" s="25"/>
      <c r="AA557" s="34"/>
      <c r="AG557" s="34"/>
      <c r="AH557" s="34"/>
      <c r="AI557" s="34"/>
      <c r="AJ557" s="34"/>
      <c r="AK557" s="34"/>
      <c r="AL557" s="34"/>
      <c r="AM557" s="34"/>
      <c r="AN557" s="34"/>
      <c r="AO557" s="37"/>
      <c r="AP557" s="37"/>
      <c r="AQ557" s="37"/>
      <c r="AR557" s="25"/>
      <c r="AS557" s="25"/>
      <c r="AT557" s="38"/>
      <c r="AU557" s="39"/>
      <c r="AV557" s="34"/>
      <c r="AW557" s="34"/>
      <c r="AX557" s="34"/>
    </row>
    <row r="558" spans="2:50">
      <c r="B558" s="33"/>
      <c r="C558" s="25"/>
      <c r="D558" s="34"/>
      <c r="E558" s="34"/>
      <c r="F558" s="34"/>
      <c r="G558" s="35"/>
      <c r="H558" s="35"/>
      <c r="I558" s="35"/>
      <c r="J558" s="25"/>
      <c r="K558" s="34"/>
      <c r="L558" s="35"/>
      <c r="M558" s="34"/>
      <c r="N558" s="34"/>
      <c r="O558" s="37"/>
      <c r="P558" s="35"/>
      <c r="Q558" s="36"/>
      <c r="R558" s="25"/>
      <c r="S558" s="25"/>
      <c r="T558" s="34"/>
      <c r="U558" s="25"/>
      <c r="V558" s="25"/>
      <c r="W558" s="25"/>
      <c r="X558" s="34"/>
      <c r="Y558" s="25"/>
      <c r="Z558" s="25"/>
      <c r="AA558" s="34"/>
      <c r="AG558" s="34"/>
      <c r="AH558" s="34"/>
      <c r="AI558" s="34"/>
      <c r="AJ558" s="34"/>
      <c r="AK558" s="34"/>
      <c r="AL558" s="34"/>
      <c r="AM558" s="34"/>
      <c r="AN558" s="34"/>
      <c r="AO558" s="37"/>
      <c r="AP558" s="37"/>
      <c r="AQ558" s="37"/>
      <c r="AR558" s="25"/>
      <c r="AS558" s="25"/>
      <c r="AT558" s="38"/>
      <c r="AU558" s="39"/>
      <c r="AV558" s="34"/>
      <c r="AW558" s="34"/>
      <c r="AX558" s="34"/>
    </row>
    <row r="559" spans="2:50">
      <c r="B559" s="33"/>
      <c r="C559" s="25"/>
      <c r="D559" s="34"/>
      <c r="E559" s="34"/>
      <c r="F559" s="34"/>
      <c r="G559" s="35"/>
      <c r="H559" s="35"/>
      <c r="I559" s="35"/>
      <c r="J559" s="25"/>
      <c r="K559" s="34"/>
      <c r="L559" s="35"/>
      <c r="M559" s="34"/>
      <c r="N559" s="34"/>
      <c r="O559" s="37"/>
      <c r="P559" s="35"/>
      <c r="Q559" s="36"/>
      <c r="R559" s="25"/>
      <c r="S559" s="25"/>
      <c r="T559" s="34"/>
      <c r="U559" s="25"/>
      <c r="V559" s="25"/>
      <c r="W559" s="25"/>
      <c r="X559" s="34"/>
      <c r="Y559" s="25"/>
      <c r="Z559" s="25"/>
      <c r="AA559" s="34"/>
      <c r="AG559" s="34"/>
      <c r="AH559" s="34"/>
      <c r="AI559" s="34"/>
      <c r="AJ559" s="34"/>
      <c r="AK559" s="34"/>
      <c r="AL559" s="34"/>
      <c r="AM559" s="34"/>
      <c r="AN559" s="34"/>
      <c r="AO559" s="37"/>
      <c r="AP559" s="37"/>
      <c r="AQ559" s="37"/>
      <c r="AR559" s="25"/>
      <c r="AS559" s="25"/>
      <c r="AT559" s="38"/>
      <c r="AU559" s="39"/>
      <c r="AV559" s="34"/>
      <c r="AW559" s="34"/>
      <c r="AX559" s="34"/>
    </row>
    <row r="560" spans="2:50">
      <c r="B560" s="33"/>
      <c r="C560" s="25"/>
      <c r="D560" s="34"/>
      <c r="E560" s="34"/>
      <c r="F560" s="34"/>
      <c r="G560" s="35"/>
      <c r="H560" s="35"/>
      <c r="I560" s="35"/>
      <c r="J560" s="25"/>
      <c r="K560" s="34"/>
      <c r="L560" s="35"/>
      <c r="M560" s="34"/>
      <c r="N560" s="34"/>
      <c r="O560" s="37"/>
      <c r="P560" s="35"/>
      <c r="Q560" s="36"/>
      <c r="R560" s="25"/>
      <c r="S560" s="25"/>
      <c r="T560" s="34"/>
      <c r="U560" s="25"/>
      <c r="V560" s="25"/>
      <c r="W560" s="25"/>
      <c r="X560" s="34"/>
      <c r="Y560" s="25"/>
      <c r="Z560" s="25"/>
      <c r="AA560" s="34"/>
      <c r="AG560" s="34"/>
      <c r="AH560" s="34"/>
      <c r="AI560" s="34"/>
      <c r="AJ560" s="34"/>
      <c r="AK560" s="34"/>
      <c r="AL560" s="34"/>
      <c r="AM560" s="34"/>
      <c r="AN560" s="34"/>
      <c r="AO560" s="37"/>
      <c r="AP560" s="37"/>
      <c r="AQ560" s="37"/>
      <c r="AR560" s="25"/>
      <c r="AS560" s="25"/>
      <c r="AT560" s="38"/>
      <c r="AU560" s="39"/>
      <c r="AV560" s="34"/>
      <c r="AW560" s="34"/>
      <c r="AX560" s="34"/>
    </row>
    <row r="561" spans="2:50">
      <c r="B561" s="33"/>
      <c r="C561" s="25"/>
      <c r="D561" s="34"/>
      <c r="E561" s="34"/>
      <c r="F561" s="34"/>
      <c r="G561" s="35"/>
      <c r="H561" s="35"/>
      <c r="I561" s="35"/>
      <c r="J561" s="25"/>
      <c r="K561" s="34"/>
      <c r="L561" s="35"/>
      <c r="M561" s="34"/>
      <c r="N561" s="34"/>
      <c r="O561" s="37"/>
      <c r="P561" s="35"/>
      <c r="Q561" s="36"/>
      <c r="R561" s="25"/>
      <c r="S561" s="25"/>
      <c r="T561" s="34"/>
      <c r="U561" s="25"/>
      <c r="V561" s="25"/>
      <c r="W561" s="25"/>
      <c r="X561" s="34"/>
      <c r="Y561" s="25"/>
      <c r="Z561" s="25"/>
      <c r="AA561" s="34"/>
      <c r="AG561" s="34"/>
      <c r="AH561" s="34"/>
      <c r="AI561" s="34"/>
      <c r="AJ561" s="34"/>
      <c r="AK561" s="34"/>
      <c r="AL561" s="34"/>
      <c r="AM561" s="34"/>
      <c r="AN561" s="34"/>
      <c r="AO561" s="37"/>
      <c r="AP561" s="37"/>
      <c r="AQ561" s="37"/>
      <c r="AR561" s="25"/>
      <c r="AS561" s="25"/>
      <c r="AT561" s="38"/>
      <c r="AU561" s="39"/>
      <c r="AV561" s="34"/>
      <c r="AW561" s="34"/>
      <c r="AX561" s="34"/>
    </row>
    <row r="562" spans="2:50">
      <c r="B562" s="33"/>
      <c r="C562" s="25"/>
      <c r="D562" s="34"/>
      <c r="E562" s="34"/>
      <c r="F562" s="34"/>
      <c r="G562" s="35"/>
      <c r="H562" s="35"/>
      <c r="I562" s="35"/>
      <c r="J562" s="25"/>
      <c r="K562" s="34"/>
      <c r="L562" s="35"/>
      <c r="M562" s="34"/>
      <c r="N562" s="34"/>
      <c r="O562" s="37"/>
      <c r="P562" s="35"/>
      <c r="Q562" s="36"/>
      <c r="R562" s="25"/>
      <c r="S562" s="25"/>
      <c r="T562" s="34"/>
      <c r="U562" s="25"/>
      <c r="V562" s="25"/>
      <c r="W562" s="25"/>
      <c r="X562" s="34"/>
      <c r="Y562" s="25"/>
      <c r="Z562" s="25"/>
      <c r="AA562" s="34"/>
      <c r="AG562" s="34"/>
      <c r="AH562" s="34"/>
      <c r="AI562" s="34"/>
      <c r="AJ562" s="34"/>
      <c r="AK562" s="34"/>
      <c r="AL562" s="34"/>
      <c r="AM562" s="34"/>
      <c r="AN562" s="34"/>
      <c r="AO562" s="37"/>
      <c r="AP562" s="37"/>
      <c r="AQ562" s="37"/>
      <c r="AR562" s="25"/>
      <c r="AS562" s="25"/>
      <c r="AT562" s="38"/>
      <c r="AU562" s="39"/>
      <c r="AV562" s="34"/>
      <c r="AW562" s="34"/>
      <c r="AX562" s="34"/>
    </row>
    <row r="563" spans="2:50">
      <c r="B563" s="33"/>
      <c r="C563" s="25"/>
      <c r="D563" s="34"/>
      <c r="E563" s="34"/>
      <c r="F563" s="34"/>
      <c r="G563" s="35"/>
      <c r="H563" s="35"/>
      <c r="I563" s="35"/>
      <c r="J563" s="25"/>
      <c r="K563" s="34"/>
      <c r="L563" s="35"/>
      <c r="M563" s="34"/>
      <c r="N563" s="34"/>
      <c r="O563" s="37"/>
      <c r="P563" s="35"/>
      <c r="Q563" s="36"/>
      <c r="R563" s="25"/>
      <c r="S563" s="25"/>
      <c r="T563" s="34"/>
      <c r="U563" s="25"/>
      <c r="V563" s="25"/>
      <c r="W563" s="25"/>
      <c r="X563" s="34"/>
      <c r="Y563" s="25"/>
      <c r="Z563" s="25"/>
      <c r="AA563" s="34"/>
      <c r="AG563" s="34"/>
      <c r="AH563" s="34"/>
      <c r="AI563" s="34"/>
      <c r="AJ563" s="34"/>
      <c r="AK563" s="34"/>
      <c r="AL563" s="34"/>
      <c r="AM563" s="34"/>
      <c r="AN563" s="34"/>
      <c r="AO563" s="37"/>
      <c r="AP563" s="37"/>
      <c r="AQ563" s="37"/>
      <c r="AR563" s="25"/>
      <c r="AS563" s="25"/>
      <c r="AT563" s="38"/>
      <c r="AU563" s="39"/>
      <c r="AV563" s="34"/>
      <c r="AW563" s="34"/>
      <c r="AX563" s="34"/>
    </row>
    <row r="564" spans="2:50">
      <c r="B564" s="33"/>
      <c r="C564" s="25"/>
      <c r="D564" s="34"/>
      <c r="E564" s="34"/>
      <c r="F564" s="34"/>
      <c r="G564" s="35"/>
      <c r="H564" s="35"/>
      <c r="I564" s="35"/>
      <c r="J564" s="25"/>
      <c r="K564" s="34"/>
      <c r="L564" s="35"/>
      <c r="M564" s="34"/>
      <c r="N564" s="34"/>
      <c r="O564" s="37"/>
      <c r="P564" s="35"/>
      <c r="Q564" s="36"/>
      <c r="R564" s="25"/>
      <c r="S564" s="25"/>
      <c r="T564" s="34"/>
      <c r="U564" s="25"/>
      <c r="V564" s="25"/>
      <c r="W564" s="25"/>
      <c r="X564" s="34"/>
      <c r="Y564" s="25"/>
      <c r="Z564" s="25"/>
      <c r="AA564" s="34"/>
      <c r="AG564" s="34"/>
      <c r="AH564" s="34"/>
      <c r="AI564" s="34"/>
      <c r="AJ564" s="34"/>
      <c r="AK564" s="34"/>
      <c r="AL564" s="34"/>
      <c r="AM564" s="34"/>
      <c r="AN564" s="34"/>
      <c r="AO564" s="37"/>
      <c r="AP564" s="37"/>
      <c r="AQ564" s="37"/>
      <c r="AR564" s="25"/>
      <c r="AS564" s="25"/>
      <c r="AT564" s="38"/>
      <c r="AU564" s="39"/>
      <c r="AV564" s="34"/>
      <c r="AW564" s="34"/>
      <c r="AX564" s="34"/>
    </row>
    <row r="565" spans="2:50">
      <c r="B565" s="33"/>
      <c r="C565" s="25"/>
      <c r="D565" s="34"/>
      <c r="E565" s="34"/>
      <c r="F565" s="34"/>
      <c r="G565" s="35"/>
      <c r="H565" s="35"/>
      <c r="I565" s="35"/>
      <c r="J565" s="25"/>
      <c r="K565" s="34"/>
      <c r="L565" s="35"/>
      <c r="M565" s="34"/>
      <c r="N565" s="34"/>
      <c r="O565" s="37"/>
      <c r="P565" s="35"/>
      <c r="Q565" s="36"/>
      <c r="R565" s="25"/>
      <c r="S565" s="25"/>
      <c r="T565" s="34"/>
      <c r="U565" s="25"/>
      <c r="V565" s="25"/>
      <c r="W565" s="25"/>
      <c r="X565" s="34"/>
      <c r="Y565" s="25"/>
      <c r="Z565" s="25"/>
      <c r="AA565" s="34"/>
      <c r="AG565" s="34"/>
      <c r="AH565" s="34"/>
      <c r="AI565" s="34"/>
      <c r="AJ565" s="34"/>
      <c r="AK565" s="34"/>
      <c r="AL565" s="34"/>
      <c r="AM565" s="34"/>
      <c r="AN565" s="34"/>
      <c r="AO565" s="37"/>
      <c r="AP565" s="37"/>
      <c r="AQ565" s="37"/>
      <c r="AR565" s="25"/>
      <c r="AS565" s="25"/>
      <c r="AT565" s="38"/>
      <c r="AU565" s="39"/>
      <c r="AV565" s="34"/>
      <c r="AW565" s="34"/>
      <c r="AX565" s="34"/>
    </row>
    <row r="566" spans="2:50">
      <c r="B566" s="33"/>
      <c r="C566" s="25"/>
      <c r="D566" s="34"/>
      <c r="E566" s="34"/>
      <c r="F566" s="34"/>
      <c r="G566" s="35"/>
      <c r="H566" s="35"/>
      <c r="I566" s="35"/>
      <c r="J566" s="25"/>
      <c r="K566" s="34"/>
      <c r="L566" s="35"/>
      <c r="M566" s="34"/>
      <c r="N566" s="34"/>
      <c r="O566" s="37"/>
      <c r="P566" s="35"/>
      <c r="Q566" s="36"/>
      <c r="R566" s="25"/>
      <c r="S566" s="25"/>
      <c r="T566" s="34"/>
      <c r="U566" s="25"/>
      <c r="V566" s="25"/>
      <c r="W566" s="25"/>
      <c r="X566" s="34"/>
      <c r="Y566" s="25"/>
      <c r="Z566" s="25"/>
      <c r="AA566" s="34"/>
      <c r="AG566" s="34"/>
      <c r="AH566" s="34"/>
      <c r="AI566" s="34"/>
      <c r="AJ566" s="34"/>
      <c r="AK566" s="34"/>
      <c r="AL566" s="34"/>
      <c r="AM566" s="34"/>
      <c r="AN566" s="34"/>
      <c r="AO566" s="37"/>
      <c r="AP566" s="37"/>
      <c r="AQ566" s="37"/>
      <c r="AR566" s="25"/>
      <c r="AS566" s="25"/>
      <c r="AT566" s="38"/>
      <c r="AU566" s="39"/>
      <c r="AV566" s="34"/>
      <c r="AW566" s="34"/>
      <c r="AX566" s="34"/>
    </row>
    <row r="567" spans="2:50">
      <c r="B567" s="33"/>
      <c r="C567" s="25"/>
      <c r="D567" s="34"/>
      <c r="E567" s="34"/>
      <c r="F567" s="34"/>
      <c r="G567" s="35"/>
      <c r="H567" s="35"/>
      <c r="I567" s="35"/>
      <c r="J567" s="25"/>
      <c r="K567" s="34"/>
      <c r="L567" s="35"/>
      <c r="M567" s="34"/>
      <c r="N567" s="34"/>
      <c r="O567" s="37"/>
      <c r="P567" s="35"/>
      <c r="Q567" s="36"/>
      <c r="R567" s="25"/>
      <c r="S567" s="25"/>
      <c r="T567" s="34"/>
      <c r="U567" s="25"/>
      <c r="V567" s="25"/>
      <c r="W567" s="25"/>
      <c r="X567" s="34"/>
      <c r="Y567" s="25"/>
      <c r="Z567" s="25"/>
      <c r="AA567" s="34"/>
      <c r="AG567" s="34"/>
      <c r="AH567" s="34"/>
      <c r="AI567" s="34"/>
      <c r="AJ567" s="34"/>
      <c r="AK567" s="34"/>
      <c r="AL567" s="34"/>
      <c r="AM567" s="34"/>
      <c r="AN567" s="34"/>
      <c r="AO567" s="37"/>
      <c r="AP567" s="37"/>
      <c r="AQ567" s="37"/>
      <c r="AR567" s="25"/>
      <c r="AS567" s="25"/>
      <c r="AT567" s="38"/>
      <c r="AU567" s="39"/>
      <c r="AV567" s="34"/>
      <c r="AW567" s="34"/>
      <c r="AX567" s="34"/>
    </row>
    <row r="568" spans="2:50">
      <c r="B568" s="33"/>
      <c r="C568" s="25"/>
      <c r="D568" s="34"/>
      <c r="E568" s="34"/>
      <c r="F568" s="34"/>
      <c r="G568" s="35"/>
      <c r="H568" s="35"/>
      <c r="I568" s="35"/>
      <c r="J568" s="25"/>
      <c r="K568" s="34"/>
      <c r="L568" s="35"/>
      <c r="M568" s="34"/>
      <c r="N568" s="34"/>
      <c r="O568" s="37"/>
      <c r="P568" s="35"/>
      <c r="Q568" s="36"/>
      <c r="R568" s="25"/>
      <c r="S568" s="25"/>
      <c r="T568" s="34"/>
      <c r="U568" s="25"/>
      <c r="V568" s="25"/>
      <c r="W568" s="25"/>
      <c r="X568" s="34"/>
      <c r="Y568" s="25"/>
      <c r="Z568" s="25"/>
      <c r="AA568" s="34"/>
      <c r="AG568" s="34"/>
      <c r="AH568" s="34"/>
      <c r="AI568" s="34"/>
      <c r="AJ568" s="34"/>
      <c r="AK568" s="34"/>
      <c r="AL568" s="34"/>
      <c r="AM568" s="34"/>
      <c r="AN568" s="34"/>
      <c r="AO568" s="37"/>
      <c r="AP568" s="37"/>
      <c r="AQ568" s="37"/>
      <c r="AR568" s="25"/>
      <c r="AS568" s="25"/>
      <c r="AT568" s="38"/>
      <c r="AU568" s="39"/>
      <c r="AV568" s="34"/>
      <c r="AW568" s="34"/>
      <c r="AX568" s="34"/>
    </row>
    <row r="569" spans="2:50">
      <c r="B569" s="33"/>
      <c r="C569" s="25"/>
      <c r="D569" s="34"/>
      <c r="E569" s="34"/>
      <c r="F569" s="34"/>
      <c r="G569" s="35"/>
      <c r="H569" s="35"/>
      <c r="I569" s="35"/>
      <c r="J569" s="25"/>
      <c r="K569" s="34"/>
      <c r="L569" s="35"/>
      <c r="M569" s="34"/>
      <c r="N569" s="34"/>
      <c r="O569" s="37"/>
      <c r="P569" s="35"/>
      <c r="Q569" s="36"/>
      <c r="R569" s="25"/>
      <c r="S569" s="25"/>
      <c r="T569" s="34"/>
      <c r="U569" s="25"/>
      <c r="V569" s="25"/>
      <c r="W569" s="25"/>
      <c r="X569" s="34"/>
      <c r="Y569" s="25"/>
      <c r="Z569" s="25"/>
      <c r="AA569" s="34"/>
      <c r="AG569" s="34"/>
      <c r="AH569" s="34"/>
      <c r="AI569" s="34"/>
      <c r="AJ569" s="34"/>
      <c r="AK569" s="34"/>
      <c r="AL569" s="34"/>
      <c r="AM569" s="34"/>
      <c r="AN569" s="34"/>
      <c r="AO569" s="37"/>
      <c r="AP569" s="37"/>
      <c r="AQ569" s="37"/>
      <c r="AR569" s="25"/>
      <c r="AS569" s="25"/>
      <c r="AT569" s="38"/>
      <c r="AU569" s="39"/>
      <c r="AV569" s="34"/>
      <c r="AW569" s="34"/>
      <c r="AX569" s="34"/>
    </row>
    <row r="570" spans="2:50">
      <c r="B570" s="33"/>
      <c r="C570" s="25"/>
      <c r="D570" s="34"/>
      <c r="E570" s="34"/>
      <c r="F570" s="34"/>
      <c r="G570" s="35"/>
      <c r="H570" s="35"/>
      <c r="I570" s="35"/>
      <c r="J570" s="25"/>
      <c r="K570" s="34"/>
      <c r="L570" s="35"/>
      <c r="M570" s="34"/>
      <c r="N570" s="34"/>
      <c r="O570" s="37"/>
      <c r="P570" s="35"/>
      <c r="Q570" s="36"/>
      <c r="R570" s="25"/>
      <c r="S570" s="25"/>
      <c r="T570" s="34"/>
      <c r="U570" s="25"/>
      <c r="V570" s="25"/>
      <c r="W570" s="25"/>
      <c r="X570" s="34"/>
      <c r="Y570" s="25"/>
      <c r="Z570" s="25"/>
      <c r="AA570" s="34"/>
      <c r="AG570" s="34"/>
      <c r="AH570" s="34"/>
      <c r="AI570" s="34"/>
      <c r="AJ570" s="34"/>
      <c r="AK570" s="34"/>
      <c r="AL570" s="34"/>
      <c r="AM570" s="34"/>
      <c r="AN570" s="34"/>
      <c r="AO570" s="37"/>
      <c r="AP570" s="37"/>
      <c r="AQ570" s="37"/>
      <c r="AR570" s="25"/>
      <c r="AS570" s="25"/>
      <c r="AT570" s="38"/>
      <c r="AU570" s="39"/>
      <c r="AV570" s="34"/>
      <c r="AW570" s="34"/>
      <c r="AX570" s="34"/>
    </row>
    <row r="571" spans="2:50">
      <c r="B571" s="33"/>
      <c r="C571" s="25"/>
      <c r="D571" s="34"/>
      <c r="E571" s="34"/>
      <c r="F571" s="34"/>
      <c r="G571" s="35"/>
      <c r="H571" s="35"/>
      <c r="I571" s="35"/>
      <c r="J571" s="25"/>
      <c r="K571" s="34"/>
      <c r="L571" s="35"/>
      <c r="M571" s="34"/>
      <c r="N571" s="34"/>
      <c r="O571" s="37"/>
      <c r="P571" s="35"/>
      <c r="Q571" s="36"/>
      <c r="R571" s="25"/>
      <c r="S571" s="25"/>
      <c r="T571" s="34"/>
      <c r="U571" s="25"/>
      <c r="V571" s="25"/>
      <c r="W571" s="25"/>
      <c r="X571" s="34"/>
      <c r="Y571" s="25"/>
      <c r="Z571" s="25"/>
      <c r="AA571" s="34"/>
      <c r="AG571" s="34"/>
      <c r="AH571" s="34"/>
      <c r="AI571" s="34"/>
      <c r="AJ571" s="34"/>
      <c r="AK571" s="34"/>
      <c r="AL571" s="34"/>
      <c r="AM571" s="34"/>
      <c r="AN571" s="34"/>
      <c r="AO571" s="37"/>
      <c r="AP571" s="37"/>
      <c r="AQ571" s="37"/>
      <c r="AR571" s="25"/>
      <c r="AS571" s="25"/>
      <c r="AT571" s="38"/>
      <c r="AU571" s="39"/>
      <c r="AV571" s="34"/>
      <c r="AW571" s="34"/>
      <c r="AX571" s="34"/>
    </row>
    <row r="572" spans="2:50">
      <c r="B572" s="33"/>
      <c r="C572" s="25"/>
      <c r="D572" s="34"/>
      <c r="E572" s="34"/>
      <c r="F572" s="34"/>
      <c r="G572" s="35"/>
      <c r="H572" s="35"/>
      <c r="I572" s="35"/>
      <c r="J572" s="25"/>
      <c r="K572" s="34"/>
      <c r="L572" s="35"/>
      <c r="M572" s="34"/>
      <c r="N572" s="34"/>
      <c r="O572" s="37"/>
      <c r="P572" s="35"/>
      <c r="Q572" s="36"/>
      <c r="R572" s="25"/>
      <c r="S572" s="25"/>
      <c r="T572" s="34"/>
      <c r="U572" s="25"/>
      <c r="V572" s="25"/>
      <c r="W572" s="25"/>
      <c r="X572" s="34"/>
      <c r="Y572" s="25"/>
      <c r="Z572" s="25"/>
      <c r="AA572" s="34"/>
      <c r="AG572" s="34"/>
      <c r="AH572" s="34"/>
      <c r="AI572" s="34"/>
      <c r="AJ572" s="34"/>
      <c r="AK572" s="34"/>
      <c r="AL572" s="34"/>
      <c r="AM572" s="34"/>
      <c r="AN572" s="34"/>
      <c r="AO572" s="37"/>
      <c r="AP572" s="37"/>
      <c r="AQ572" s="37"/>
      <c r="AR572" s="25"/>
      <c r="AS572" s="25"/>
      <c r="AT572" s="38"/>
      <c r="AU572" s="39"/>
      <c r="AV572" s="34"/>
      <c r="AW572" s="34"/>
      <c r="AX572" s="34"/>
    </row>
    <row r="573" spans="2:50">
      <c r="B573" s="33"/>
      <c r="C573" s="25"/>
      <c r="D573" s="34"/>
      <c r="E573" s="34"/>
      <c r="F573" s="34"/>
      <c r="G573" s="35"/>
      <c r="H573" s="35"/>
      <c r="I573" s="35"/>
      <c r="J573" s="25"/>
      <c r="K573" s="34"/>
      <c r="L573" s="35"/>
      <c r="M573" s="34"/>
      <c r="N573" s="34"/>
      <c r="O573" s="37"/>
      <c r="P573" s="35"/>
      <c r="Q573" s="36"/>
      <c r="R573" s="25"/>
      <c r="S573" s="25"/>
      <c r="T573" s="34"/>
      <c r="U573" s="25"/>
      <c r="V573" s="25"/>
      <c r="W573" s="25"/>
      <c r="X573" s="34"/>
      <c r="Y573" s="25"/>
      <c r="Z573" s="25"/>
      <c r="AA573" s="34"/>
      <c r="AG573" s="34"/>
      <c r="AH573" s="34"/>
      <c r="AI573" s="34"/>
      <c r="AJ573" s="34"/>
      <c r="AK573" s="34"/>
      <c r="AL573" s="34"/>
      <c r="AM573" s="34"/>
      <c r="AN573" s="34"/>
      <c r="AO573" s="37"/>
      <c r="AP573" s="37"/>
      <c r="AQ573" s="37"/>
      <c r="AR573" s="25"/>
      <c r="AS573" s="25"/>
      <c r="AT573" s="38"/>
      <c r="AU573" s="39"/>
      <c r="AV573" s="34"/>
      <c r="AW573" s="34"/>
      <c r="AX573" s="34"/>
    </row>
    <row r="574" spans="2:50">
      <c r="B574" s="33"/>
      <c r="C574" s="25"/>
      <c r="D574" s="34"/>
      <c r="E574" s="34"/>
      <c r="F574" s="34"/>
      <c r="G574" s="35"/>
      <c r="H574" s="35"/>
      <c r="I574" s="35"/>
      <c r="J574" s="25"/>
      <c r="K574" s="34"/>
      <c r="L574" s="35"/>
      <c r="M574" s="34"/>
      <c r="N574" s="34"/>
      <c r="O574" s="37"/>
      <c r="P574" s="35"/>
      <c r="Q574" s="36"/>
      <c r="R574" s="25"/>
      <c r="S574" s="25"/>
      <c r="T574" s="34"/>
      <c r="U574" s="25"/>
      <c r="V574" s="25"/>
      <c r="W574" s="25"/>
      <c r="X574" s="34"/>
      <c r="Y574" s="25"/>
      <c r="Z574" s="25"/>
      <c r="AA574" s="34"/>
      <c r="AG574" s="34"/>
      <c r="AH574" s="34"/>
      <c r="AI574" s="34"/>
      <c r="AJ574" s="34"/>
      <c r="AK574" s="34"/>
      <c r="AL574" s="34"/>
      <c r="AM574" s="34"/>
      <c r="AN574" s="34"/>
      <c r="AO574" s="37"/>
      <c r="AP574" s="37"/>
      <c r="AQ574" s="37"/>
      <c r="AR574" s="25"/>
      <c r="AS574" s="25"/>
      <c r="AT574" s="38"/>
      <c r="AU574" s="39"/>
      <c r="AV574" s="34"/>
      <c r="AW574" s="34"/>
      <c r="AX574" s="34"/>
    </row>
    <row r="575" spans="2:50">
      <c r="B575" s="33"/>
      <c r="C575" s="25"/>
      <c r="D575" s="34"/>
      <c r="E575" s="34"/>
      <c r="F575" s="34"/>
      <c r="G575" s="35"/>
      <c r="H575" s="35"/>
      <c r="I575" s="35"/>
      <c r="J575" s="25"/>
      <c r="K575" s="34"/>
      <c r="L575" s="35"/>
      <c r="M575" s="34"/>
      <c r="N575" s="34"/>
      <c r="O575" s="37"/>
      <c r="P575" s="35"/>
      <c r="Q575" s="36"/>
      <c r="R575" s="25"/>
      <c r="S575" s="25"/>
      <c r="T575" s="34"/>
      <c r="U575" s="25"/>
      <c r="V575" s="25"/>
      <c r="W575" s="25"/>
      <c r="X575" s="34"/>
      <c r="Y575" s="25"/>
      <c r="Z575" s="25"/>
      <c r="AA575" s="34"/>
      <c r="AG575" s="34"/>
      <c r="AH575" s="34"/>
      <c r="AI575" s="34"/>
      <c r="AJ575" s="34"/>
      <c r="AK575" s="34"/>
      <c r="AL575" s="34"/>
      <c r="AM575" s="34"/>
      <c r="AN575" s="34"/>
      <c r="AO575" s="37"/>
      <c r="AP575" s="37"/>
      <c r="AQ575" s="37"/>
      <c r="AR575" s="25"/>
      <c r="AS575" s="25"/>
      <c r="AT575" s="38"/>
      <c r="AU575" s="39"/>
      <c r="AV575" s="34"/>
      <c r="AW575" s="34"/>
      <c r="AX575" s="34"/>
    </row>
    <row r="576" spans="2:50">
      <c r="B576" s="33"/>
      <c r="C576" s="25"/>
      <c r="D576" s="34"/>
      <c r="E576" s="34"/>
      <c r="F576" s="34"/>
      <c r="G576" s="35"/>
      <c r="H576" s="35"/>
      <c r="I576" s="35"/>
      <c r="J576" s="25"/>
      <c r="K576" s="34"/>
      <c r="L576" s="35"/>
      <c r="M576" s="34"/>
      <c r="N576" s="34"/>
      <c r="O576" s="37"/>
      <c r="P576" s="35"/>
      <c r="Q576" s="36"/>
      <c r="R576" s="25"/>
      <c r="S576" s="25"/>
      <c r="T576" s="34"/>
      <c r="U576" s="25"/>
      <c r="V576" s="25"/>
      <c r="W576" s="25"/>
      <c r="X576" s="34"/>
      <c r="Y576" s="25"/>
      <c r="Z576" s="25"/>
      <c r="AA576" s="34"/>
      <c r="AG576" s="34"/>
      <c r="AH576" s="34"/>
      <c r="AI576" s="34"/>
      <c r="AJ576" s="34"/>
      <c r="AK576" s="34"/>
      <c r="AL576" s="34"/>
      <c r="AM576" s="34"/>
      <c r="AN576" s="34"/>
      <c r="AO576" s="37"/>
      <c r="AP576" s="37"/>
      <c r="AQ576" s="37"/>
      <c r="AR576" s="25"/>
      <c r="AS576" s="25"/>
      <c r="AT576" s="38"/>
      <c r="AU576" s="39"/>
      <c r="AV576" s="34"/>
      <c r="AW576" s="34"/>
      <c r="AX576" s="34"/>
    </row>
    <row r="577" spans="2:50">
      <c r="B577" s="33"/>
      <c r="C577" s="25"/>
      <c r="D577" s="34"/>
      <c r="E577" s="34"/>
      <c r="F577" s="34"/>
      <c r="G577" s="35"/>
      <c r="H577" s="35"/>
      <c r="I577" s="35"/>
      <c r="J577" s="25"/>
      <c r="K577" s="34"/>
      <c r="L577" s="35"/>
      <c r="M577" s="34"/>
      <c r="N577" s="34"/>
      <c r="O577" s="37"/>
      <c r="P577" s="35"/>
      <c r="Q577" s="36"/>
      <c r="R577" s="25"/>
      <c r="S577" s="25"/>
      <c r="T577" s="34"/>
      <c r="U577" s="25"/>
      <c r="V577" s="25"/>
      <c r="W577" s="25"/>
      <c r="X577" s="34"/>
      <c r="Y577" s="25"/>
      <c r="Z577" s="25"/>
      <c r="AA577" s="34"/>
      <c r="AG577" s="34"/>
      <c r="AH577" s="34"/>
      <c r="AI577" s="34"/>
      <c r="AJ577" s="34"/>
      <c r="AK577" s="34"/>
      <c r="AL577" s="34"/>
      <c r="AM577" s="34"/>
      <c r="AN577" s="34"/>
      <c r="AO577" s="37"/>
      <c r="AP577" s="37"/>
      <c r="AQ577" s="37"/>
      <c r="AR577" s="25"/>
      <c r="AS577" s="25"/>
      <c r="AT577" s="38"/>
      <c r="AU577" s="39"/>
      <c r="AV577" s="34"/>
      <c r="AW577" s="34"/>
      <c r="AX577" s="34"/>
    </row>
    <row r="578" spans="2:50">
      <c r="B578" s="33"/>
      <c r="C578" s="25"/>
      <c r="D578" s="34"/>
      <c r="E578" s="34"/>
      <c r="F578" s="34"/>
      <c r="G578" s="35"/>
      <c r="H578" s="35"/>
      <c r="I578" s="35"/>
      <c r="J578" s="25"/>
      <c r="K578" s="34"/>
      <c r="L578" s="35"/>
      <c r="M578" s="34"/>
      <c r="N578" s="34"/>
      <c r="O578" s="37"/>
      <c r="P578" s="35"/>
      <c r="Q578" s="36"/>
      <c r="R578" s="25"/>
      <c r="S578" s="25"/>
      <c r="T578" s="34"/>
      <c r="U578" s="25"/>
      <c r="V578" s="25"/>
      <c r="W578" s="25"/>
      <c r="X578" s="34"/>
      <c r="Y578" s="25"/>
      <c r="Z578" s="25"/>
      <c r="AA578" s="34"/>
      <c r="AG578" s="34"/>
      <c r="AH578" s="34"/>
      <c r="AI578" s="34"/>
      <c r="AJ578" s="34"/>
      <c r="AK578" s="34"/>
      <c r="AL578" s="34"/>
      <c r="AM578" s="34"/>
      <c r="AN578" s="34"/>
      <c r="AO578" s="37"/>
      <c r="AP578" s="37"/>
      <c r="AQ578" s="37"/>
      <c r="AR578" s="25"/>
      <c r="AS578" s="25"/>
      <c r="AT578" s="38"/>
      <c r="AU578" s="39"/>
      <c r="AV578" s="34"/>
      <c r="AW578" s="34"/>
      <c r="AX578" s="34"/>
    </row>
    <row r="579" spans="2:50">
      <c r="B579" s="33"/>
      <c r="C579" s="25"/>
      <c r="D579" s="34"/>
      <c r="E579" s="34"/>
      <c r="F579" s="34"/>
      <c r="G579" s="35"/>
      <c r="H579" s="35"/>
      <c r="I579" s="35"/>
      <c r="J579" s="25"/>
      <c r="K579" s="34"/>
      <c r="L579" s="35"/>
      <c r="M579" s="34"/>
      <c r="N579" s="34"/>
      <c r="O579" s="37"/>
      <c r="P579" s="35"/>
      <c r="Q579" s="36"/>
      <c r="R579" s="25"/>
      <c r="S579" s="25"/>
      <c r="T579" s="34"/>
      <c r="U579" s="25"/>
      <c r="V579" s="25"/>
      <c r="W579" s="25"/>
      <c r="X579" s="34"/>
      <c r="Y579" s="25"/>
      <c r="Z579" s="25"/>
      <c r="AA579" s="34"/>
      <c r="AG579" s="34"/>
      <c r="AH579" s="34"/>
      <c r="AI579" s="34"/>
      <c r="AJ579" s="34"/>
      <c r="AK579" s="34"/>
      <c r="AL579" s="34"/>
      <c r="AM579" s="34"/>
      <c r="AN579" s="34"/>
      <c r="AO579" s="37"/>
      <c r="AP579" s="37"/>
      <c r="AQ579" s="37"/>
      <c r="AR579" s="25"/>
      <c r="AS579" s="25"/>
      <c r="AT579" s="38"/>
      <c r="AU579" s="39"/>
      <c r="AV579" s="34"/>
      <c r="AW579" s="34"/>
      <c r="AX579" s="34"/>
    </row>
    <row r="580" spans="2:50">
      <c r="B580" s="33"/>
      <c r="C580" s="25"/>
      <c r="D580" s="34"/>
      <c r="E580" s="34"/>
      <c r="F580" s="34"/>
      <c r="G580" s="35"/>
      <c r="H580" s="35"/>
      <c r="I580" s="35"/>
      <c r="J580" s="25"/>
      <c r="K580" s="34"/>
      <c r="L580" s="35"/>
      <c r="M580" s="34"/>
      <c r="N580" s="34"/>
      <c r="O580" s="37"/>
      <c r="P580" s="35"/>
      <c r="Q580" s="36"/>
      <c r="R580" s="25"/>
      <c r="S580" s="25"/>
      <c r="T580" s="34"/>
      <c r="U580" s="25"/>
      <c r="V580" s="25"/>
      <c r="W580" s="25"/>
      <c r="X580" s="34"/>
      <c r="Y580" s="25"/>
      <c r="Z580" s="25"/>
      <c r="AA580" s="34"/>
      <c r="AG580" s="34"/>
      <c r="AH580" s="34"/>
      <c r="AI580" s="34"/>
      <c r="AJ580" s="34"/>
      <c r="AK580" s="34"/>
      <c r="AL580" s="34"/>
      <c r="AM580" s="34"/>
      <c r="AN580" s="34"/>
      <c r="AO580" s="37"/>
      <c r="AP580" s="37"/>
      <c r="AQ580" s="37"/>
      <c r="AR580" s="25"/>
      <c r="AS580" s="25"/>
      <c r="AT580" s="38"/>
      <c r="AU580" s="39"/>
      <c r="AV580" s="34"/>
      <c r="AW580" s="34"/>
      <c r="AX580" s="34"/>
    </row>
    <row r="581" spans="2:50">
      <c r="B581" s="33"/>
      <c r="C581" s="25"/>
      <c r="D581" s="34"/>
      <c r="E581" s="34"/>
      <c r="F581" s="34"/>
      <c r="G581" s="35"/>
      <c r="H581" s="35"/>
      <c r="I581" s="35"/>
      <c r="J581" s="25"/>
      <c r="K581" s="34"/>
      <c r="L581" s="35"/>
      <c r="M581" s="34"/>
      <c r="N581" s="34"/>
      <c r="O581" s="37"/>
      <c r="P581" s="35"/>
      <c r="Q581" s="36"/>
      <c r="R581" s="25"/>
      <c r="S581" s="25"/>
      <c r="T581" s="34"/>
      <c r="U581" s="25"/>
      <c r="V581" s="25"/>
      <c r="W581" s="25"/>
      <c r="X581" s="34"/>
      <c r="Y581" s="25"/>
      <c r="Z581" s="25"/>
      <c r="AA581" s="34"/>
      <c r="AG581" s="34"/>
      <c r="AH581" s="34"/>
      <c r="AI581" s="34"/>
      <c r="AJ581" s="34"/>
      <c r="AK581" s="34"/>
      <c r="AL581" s="34"/>
      <c r="AM581" s="34"/>
      <c r="AN581" s="34"/>
      <c r="AO581" s="37"/>
      <c r="AP581" s="37"/>
      <c r="AQ581" s="37"/>
      <c r="AR581" s="25"/>
      <c r="AS581" s="25"/>
      <c r="AT581" s="38"/>
      <c r="AU581" s="39"/>
      <c r="AV581" s="34"/>
      <c r="AW581" s="34"/>
      <c r="AX581" s="34"/>
    </row>
    <row r="582" spans="2:50">
      <c r="B582" s="33"/>
      <c r="C582" s="25"/>
      <c r="D582" s="34"/>
      <c r="E582" s="34"/>
      <c r="F582" s="34"/>
      <c r="G582" s="35"/>
      <c r="H582" s="35"/>
      <c r="I582" s="35"/>
      <c r="J582" s="25"/>
      <c r="K582" s="34"/>
      <c r="L582" s="35"/>
      <c r="M582" s="34"/>
      <c r="N582" s="34"/>
      <c r="O582" s="37"/>
      <c r="P582" s="35"/>
      <c r="Q582" s="36"/>
      <c r="R582" s="25"/>
      <c r="S582" s="25"/>
      <c r="T582" s="34"/>
      <c r="U582" s="25"/>
      <c r="V582" s="25"/>
      <c r="W582" s="25"/>
      <c r="X582" s="34"/>
      <c r="Y582" s="25"/>
      <c r="Z582" s="25"/>
      <c r="AA582" s="34"/>
      <c r="AG582" s="34"/>
      <c r="AH582" s="34"/>
      <c r="AI582" s="34"/>
      <c r="AJ582" s="34"/>
      <c r="AK582" s="34"/>
      <c r="AL582" s="34"/>
      <c r="AM582" s="34"/>
      <c r="AN582" s="34"/>
      <c r="AO582" s="37"/>
      <c r="AP582" s="37"/>
      <c r="AQ582" s="37"/>
      <c r="AR582" s="25"/>
      <c r="AS582" s="25"/>
      <c r="AT582" s="38"/>
      <c r="AU582" s="39"/>
      <c r="AV582" s="34"/>
      <c r="AW582" s="34"/>
      <c r="AX582" s="34"/>
    </row>
    <row r="583" spans="2:50">
      <c r="B583" s="33"/>
      <c r="C583" s="25"/>
      <c r="D583" s="34"/>
      <c r="E583" s="34"/>
      <c r="F583" s="34"/>
      <c r="G583" s="35"/>
      <c r="H583" s="35"/>
      <c r="I583" s="35"/>
      <c r="J583" s="25"/>
      <c r="K583" s="34"/>
      <c r="L583" s="35"/>
      <c r="M583" s="34"/>
      <c r="N583" s="34"/>
      <c r="O583" s="37"/>
      <c r="P583" s="35"/>
      <c r="Q583" s="36"/>
      <c r="R583" s="25"/>
      <c r="S583" s="25"/>
      <c r="T583" s="34"/>
      <c r="U583" s="25"/>
      <c r="V583" s="25"/>
      <c r="W583" s="25"/>
      <c r="X583" s="34"/>
      <c r="Y583" s="25"/>
      <c r="Z583" s="25"/>
      <c r="AA583" s="34"/>
      <c r="AG583" s="34"/>
      <c r="AH583" s="34"/>
      <c r="AI583" s="34"/>
      <c r="AJ583" s="34"/>
      <c r="AK583" s="34"/>
      <c r="AL583" s="34"/>
      <c r="AM583" s="34"/>
      <c r="AN583" s="34"/>
      <c r="AO583" s="37"/>
      <c r="AP583" s="37"/>
      <c r="AQ583" s="37"/>
      <c r="AR583" s="25"/>
      <c r="AS583" s="25"/>
      <c r="AT583" s="38"/>
      <c r="AU583" s="39"/>
      <c r="AV583" s="34"/>
      <c r="AW583" s="34"/>
      <c r="AX583" s="34"/>
    </row>
    <row r="584" spans="2:50">
      <c r="B584" s="33"/>
      <c r="C584" s="25"/>
      <c r="D584" s="34"/>
      <c r="E584" s="34"/>
      <c r="F584" s="34"/>
      <c r="G584" s="35"/>
      <c r="H584" s="35"/>
      <c r="I584" s="35"/>
      <c r="J584" s="25"/>
      <c r="K584" s="34"/>
      <c r="L584" s="35"/>
      <c r="M584" s="34"/>
      <c r="N584" s="34"/>
      <c r="O584" s="37"/>
      <c r="P584" s="35"/>
      <c r="Q584" s="36"/>
      <c r="R584" s="25"/>
      <c r="S584" s="25"/>
      <c r="T584" s="34"/>
      <c r="U584" s="25"/>
      <c r="V584" s="25"/>
      <c r="W584" s="25"/>
      <c r="X584" s="34"/>
      <c r="Y584" s="25"/>
      <c r="Z584" s="25"/>
      <c r="AA584" s="34"/>
      <c r="AG584" s="34"/>
      <c r="AH584" s="34"/>
      <c r="AI584" s="34"/>
      <c r="AJ584" s="34"/>
      <c r="AK584" s="34"/>
      <c r="AL584" s="34"/>
      <c r="AM584" s="34"/>
      <c r="AN584" s="34"/>
      <c r="AO584" s="37"/>
      <c r="AP584" s="37"/>
      <c r="AQ584" s="37"/>
      <c r="AR584" s="25"/>
      <c r="AS584" s="25"/>
      <c r="AT584" s="38"/>
      <c r="AU584" s="39"/>
      <c r="AV584" s="34"/>
      <c r="AW584" s="34"/>
      <c r="AX584" s="34"/>
    </row>
    <row r="585" spans="2:50">
      <c r="B585" s="33"/>
      <c r="C585" s="25"/>
      <c r="D585" s="34"/>
      <c r="E585" s="34"/>
      <c r="F585" s="34"/>
      <c r="G585" s="35"/>
      <c r="H585" s="35"/>
      <c r="I585" s="35"/>
      <c r="J585" s="25"/>
      <c r="K585" s="34"/>
      <c r="L585" s="35"/>
      <c r="M585" s="34"/>
      <c r="N585" s="34"/>
      <c r="O585" s="37"/>
      <c r="P585" s="35"/>
      <c r="Q585" s="36"/>
      <c r="R585" s="25"/>
      <c r="S585" s="25"/>
      <c r="T585" s="34"/>
      <c r="U585" s="25"/>
      <c r="V585" s="25"/>
      <c r="W585" s="25"/>
      <c r="X585" s="34"/>
      <c r="Y585" s="25"/>
      <c r="Z585" s="25"/>
      <c r="AA585" s="34"/>
      <c r="AG585" s="34"/>
      <c r="AH585" s="34"/>
      <c r="AI585" s="34"/>
      <c r="AJ585" s="34"/>
      <c r="AK585" s="34"/>
      <c r="AL585" s="34"/>
      <c r="AM585" s="34"/>
      <c r="AN585" s="34"/>
      <c r="AO585" s="37"/>
      <c r="AP585" s="37"/>
      <c r="AQ585" s="37"/>
      <c r="AR585" s="25"/>
      <c r="AS585" s="25"/>
      <c r="AT585" s="38"/>
      <c r="AU585" s="39"/>
      <c r="AV585" s="34"/>
      <c r="AW585" s="34"/>
      <c r="AX585" s="34"/>
    </row>
    <row r="586" spans="2:50">
      <c r="B586" s="33"/>
      <c r="C586" s="25"/>
      <c r="D586" s="34"/>
      <c r="E586" s="34"/>
      <c r="F586" s="34"/>
      <c r="G586" s="35"/>
      <c r="H586" s="35"/>
      <c r="I586" s="35"/>
      <c r="J586" s="25"/>
      <c r="K586" s="34"/>
      <c r="L586" s="35"/>
      <c r="M586" s="34"/>
      <c r="N586" s="34"/>
      <c r="O586" s="37"/>
      <c r="P586" s="35"/>
      <c r="Q586" s="36"/>
      <c r="R586" s="25"/>
      <c r="S586" s="25"/>
      <c r="T586" s="34"/>
      <c r="U586" s="25"/>
      <c r="V586" s="25"/>
      <c r="W586" s="25"/>
      <c r="X586" s="34"/>
      <c r="Y586" s="25"/>
      <c r="Z586" s="25"/>
      <c r="AA586" s="34"/>
      <c r="AG586" s="34"/>
      <c r="AH586" s="34"/>
      <c r="AI586" s="34"/>
      <c r="AJ586" s="34"/>
      <c r="AK586" s="34"/>
      <c r="AL586" s="34"/>
      <c r="AM586" s="34"/>
      <c r="AN586" s="34"/>
      <c r="AO586" s="37"/>
      <c r="AP586" s="37"/>
      <c r="AQ586" s="37"/>
      <c r="AR586" s="25"/>
      <c r="AS586" s="25"/>
      <c r="AT586" s="38"/>
      <c r="AU586" s="39"/>
      <c r="AV586" s="34"/>
      <c r="AW586" s="34"/>
      <c r="AX586" s="34"/>
    </row>
    <row r="587" spans="2:50">
      <c r="B587" s="33"/>
      <c r="C587" s="25"/>
      <c r="D587" s="34"/>
      <c r="E587" s="34"/>
      <c r="F587" s="34"/>
      <c r="G587" s="35"/>
      <c r="H587" s="35"/>
      <c r="I587" s="35"/>
      <c r="J587" s="25"/>
      <c r="K587" s="34"/>
      <c r="L587" s="35"/>
      <c r="M587" s="34"/>
      <c r="N587" s="34"/>
      <c r="O587" s="37"/>
      <c r="P587" s="35"/>
      <c r="Q587" s="36"/>
      <c r="R587" s="25"/>
      <c r="S587" s="25"/>
      <c r="T587" s="34"/>
      <c r="U587" s="25"/>
      <c r="V587" s="25"/>
      <c r="W587" s="25"/>
      <c r="X587" s="34"/>
      <c r="Y587" s="25"/>
      <c r="Z587" s="25"/>
      <c r="AA587" s="34"/>
      <c r="AG587" s="34"/>
      <c r="AH587" s="34"/>
      <c r="AI587" s="34"/>
      <c r="AJ587" s="34"/>
      <c r="AK587" s="34"/>
      <c r="AL587" s="34"/>
      <c r="AM587" s="34"/>
      <c r="AN587" s="34"/>
      <c r="AO587" s="37"/>
      <c r="AP587" s="37"/>
      <c r="AQ587" s="37"/>
      <c r="AR587" s="25"/>
      <c r="AS587" s="25"/>
      <c r="AT587" s="38"/>
      <c r="AU587" s="39"/>
      <c r="AV587" s="34"/>
      <c r="AW587" s="34"/>
      <c r="AX587" s="34"/>
    </row>
    <row r="588" spans="2:50">
      <c r="B588" s="33"/>
      <c r="C588" s="25"/>
      <c r="D588" s="34"/>
      <c r="E588" s="34"/>
      <c r="F588" s="34"/>
      <c r="G588" s="35"/>
      <c r="H588" s="35"/>
      <c r="I588" s="35"/>
      <c r="J588" s="25"/>
      <c r="K588" s="34"/>
      <c r="L588" s="35"/>
      <c r="M588" s="34"/>
      <c r="N588" s="34"/>
      <c r="O588" s="37"/>
      <c r="P588" s="35"/>
      <c r="Q588" s="36"/>
      <c r="R588" s="25"/>
      <c r="S588" s="25"/>
      <c r="T588" s="34"/>
      <c r="U588" s="25"/>
      <c r="V588" s="25"/>
      <c r="W588" s="25"/>
      <c r="X588" s="34"/>
      <c r="Y588" s="25"/>
      <c r="Z588" s="25"/>
      <c r="AA588" s="34"/>
      <c r="AG588" s="34"/>
      <c r="AH588" s="34"/>
      <c r="AI588" s="34"/>
      <c r="AJ588" s="34"/>
      <c r="AK588" s="34"/>
      <c r="AL588" s="34"/>
      <c r="AM588" s="34"/>
      <c r="AN588" s="34"/>
      <c r="AO588" s="37"/>
      <c r="AP588" s="37"/>
      <c r="AQ588" s="37"/>
      <c r="AR588" s="25"/>
      <c r="AS588" s="25"/>
      <c r="AT588" s="38"/>
      <c r="AU588" s="39"/>
      <c r="AV588" s="34"/>
      <c r="AW588" s="34"/>
      <c r="AX588" s="34"/>
    </row>
    <row r="589" spans="2:50">
      <c r="B589" s="33"/>
      <c r="C589" s="25"/>
      <c r="D589" s="34"/>
      <c r="E589" s="34"/>
      <c r="F589" s="34"/>
      <c r="G589" s="35"/>
      <c r="H589" s="35"/>
      <c r="I589" s="35"/>
      <c r="J589" s="25"/>
      <c r="K589" s="34"/>
      <c r="L589" s="35"/>
      <c r="M589" s="34"/>
      <c r="N589" s="34"/>
      <c r="O589" s="37"/>
      <c r="P589" s="35"/>
      <c r="Q589" s="36"/>
      <c r="R589" s="25"/>
      <c r="S589" s="25"/>
      <c r="T589" s="34"/>
      <c r="U589" s="25"/>
      <c r="V589" s="25"/>
      <c r="W589" s="25"/>
      <c r="X589" s="34"/>
      <c r="Y589" s="25"/>
      <c r="Z589" s="25"/>
      <c r="AA589" s="34"/>
      <c r="AG589" s="34"/>
      <c r="AH589" s="34"/>
      <c r="AI589" s="34"/>
      <c r="AJ589" s="34"/>
      <c r="AK589" s="34"/>
      <c r="AL589" s="34"/>
      <c r="AM589" s="34"/>
      <c r="AN589" s="34"/>
      <c r="AO589" s="37"/>
      <c r="AP589" s="37"/>
      <c r="AQ589" s="37"/>
      <c r="AR589" s="25"/>
      <c r="AS589" s="25"/>
      <c r="AT589" s="38"/>
      <c r="AU589" s="39"/>
      <c r="AV589" s="34"/>
      <c r="AW589" s="34"/>
      <c r="AX589" s="34"/>
    </row>
    <row r="590" spans="2:50">
      <c r="B590" s="33"/>
      <c r="C590" s="25"/>
      <c r="D590" s="34"/>
      <c r="E590" s="34"/>
      <c r="F590" s="34"/>
      <c r="G590" s="35"/>
      <c r="H590" s="35"/>
      <c r="I590" s="35"/>
      <c r="J590" s="25"/>
      <c r="K590" s="34"/>
      <c r="L590" s="35"/>
      <c r="M590" s="34"/>
      <c r="N590" s="34"/>
      <c r="O590" s="37"/>
      <c r="P590" s="35"/>
      <c r="Q590" s="36"/>
      <c r="R590" s="25"/>
      <c r="S590" s="25"/>
      <c r="T590" s="34"/>
      <c r="U590" s="25"/>
      <c r="V590" s="25"/>
      <c r="W590" s="25"/>
      <c r="X590" s="34"/>
      <c r="Y590" s="25"/>
      <c r="Z590" s="25"/>
      <c r="AA590" s="34"/>
      <c r="AG590" s="34"/>
      <c r="AH590" s="34"/>
      <c r="AI590" s="34"/>
      <c r="AJ590" s="34"/>
      <c r="AK590" s="34"/>
      <c r="AL590" s="34"/>
      <c r="AM590" s="34"/>
      <c r="AN590" s="34"/>
      <c r="AO590" s="37"/>
      <c r="AP590" s="37"/>
      <c r="AQ590" s="37"/>
      <c r="AR590" s="25"/>
      <c r="AS590" s="25"/>
      <c r="AT590" s="38"/>
      <c r="AU590" s="39"/>
      <c r="AV590" s="34"/>
      <c r="AW590" s="34"/>
      <c r="AX590" s="34"/>
    </row>
    <row r="591" spans="2:50">
      <c r="B591" s="33"/>
      <c r="C591" s="25"/>
      <c r="D591" s="34"/>
      <c r="E591" s="34"/>
      <c r="F591" s="34"/>
      <c r="G591" s="35"/>
      <c r="H591" s="35"/>
      <c r="I591" s="35"/>
      <c r="J591" s="25"/>
      <c r="K591" s="34"/>
      <c r="L591" s="35"/>
      <c r="M591" s="34"/>
      <c r="N591" s="34"/>
      <c r="O591" s="37"/>
      <c r="P591" s="35"/>
      <c r="Q591" s="36"/>
      <c r="R591" s="25"/>
      <c r="S591" s="25"/>
      <c r="T591" s="34"/>
      <c r="U591" s="25"/>
      <c r="V591" s="25"/>
      <c r="W591" s="25"/>
      <c r="X591" s="34"/>
      <c r="Y591" s="25"/>
      <c r="Z591" s="25"/>
      <c r="AA591" s="34"/>
      <c r="AG591" s="34"/>
      <c r="AH591" s="34"/>
      <c r="AI591" s="34"/>
      <c r="AJ591" s="34"/>
      <c r="AK591" s="34"/>
      <c r="AL591" s="34"/>
      <c r="AM591" s="34"/>
      <c r="AN591" s="34"/>
      <c r="AO591" s="37"/>
      <c r="AP591" s="37"/>
      <c r="AQ591" s="37"/>
      <c r="AR591" s="25"/>
      <c r="AS591" s="25"/>
      <c r="AT591" s="38"/>
      <c r="AU591" s="39"/>
      <c r="AV591" s="34"/>
      <c r="AW591" s="34"/>
      <c r="AX591" s="34"/>
    </row>
    <row r="592" spans="2:50">
      <c r="B592" s="33"/>
      <c r="C592" s="25"/>
      <c r="D592" s="34"/>
      <c r="E592" s="34"/>
      <c r="F592" s="34"/>
      <c r="G592" s="35"/>
      <c r="H592" s="35"/>
      <c r="I592" s="35"/>
      <c r="J592" s="25"/>
      <c r="K592" s="34"/>
      <c r="L592" s="35"/>
      <c r="M592" s="34"/>
      <c r="N592" s="34"/>
      <c r="O592" s="37"/>
      <c r="P592" s="35"/>
      <c r="Q592" s="36"/>
      <c r="R592" s="25"/>
      <c r="S592" s="25"/>
      <c r="T592" s="34"/>
      <c r="U592" s="25"/>
      <c r="V592" s="25"/>
      <c r="W592" s="25"/>
      <c r="X592" s="34"/>
      <c r="Y592" s="25"/>
      <c r="Z592" s="25"/>
      <c r="AA592" s="34"/>
      <c r="AG592" s="34"/>
      <c r="AH592" s="34"/>
      <c r="AI592" s="34"/>
      <c r="AJ592" s="34"/>
      <c r="AK592" s="34"/>
      <c r="AL592" s="34"/>
      <c r="AM592" s="34"/>
      <c r="AN592" s="34"/>
      <c r="AO592" s="37"/>
      <c r="AP592" s="37"/>
      <c r="AQ592" s="37"/>
      <c r="AR592" s="25"/>
      <c r="AS592" s="25"/>
      <c r="AT592" s="38"/>
      <c r="AU592" s="39"/>
      <c r="AV592" s="34"/>
      <c r="AW592" s="34"/>
      <c r="AX592" s="34"/>
    </row>
    <row r="593" spans="2:50">
      <c r="B593" s="33"/>
      <c r="C593" s="25"/>
      <c r="D593" s="34"/>
      <c r="E593" s="34"/>
      <c r="F593" s="34"/>
      <c r="G593" s="35"/>
      <c r="H593" s="35"/>
      <c r="I593" s="35"/>
      <c r="J593" s="25"/>
      <c r="K593" s="34"/>
      <c r="L593" s="35"/>
      <c r="M593" s="34"/>
      <c r="N593" s="34"/>
      <c r="O593" s="37"/>
      <c r="P593" s="35"/>
      <c r="Q593" s="36"/>
      <c r="R593" s="25"/>
      <c r="S593" s="25"/>
      <c r="T593" s="34"/>
      <c r="U593" s="25"/>
      <c r="V593" s="25"/>
      <c r="W593" s="25"/>
      <c r="X593" s="34"/>
      <c r="Y593" s="25"/>
      <c r="Z593" s="25"/>
      <c r="AA593" s="34"/>
      <c r="AG593" s="34"/>
      <c r="AH593" s="34"/>
      <c r="AI593" s="34"/>
      <c r="AJ593" s="34"/>
      <c r="AK593" s="34"/>
      <c r="AL593" s="34"/>
      <c r="AM593" s="34"/>
      <c r="AN593" s="34"/>
      <c r="AO593" s="37"/>
      <c r="AP593" s="37"/>
      <c r="AQ593" s="37"/>
      <c r="AR593" s="25"/>
      <c r="AS593" s="25"/>
      <c r="AT593" s="38"/>
      <c r="AU593" s="39"/>
      <c r="AV593" s="34"/>
      <c r="AW593" s="34"/>
      <c r="AX593" s="34"/>
    </row>
    <row r="594" spans="2:50">
      <c r="B594" s="33"/>
      <c r="C594" s="25"/>
      <c r="D594" s="34"/>
      <c r="E594" s="34"/>
      <c r="F594" s="34"/>
      <c r="G594" s="35"/>
      <c r="H594" s="35"/>
      <c r="I594" s="35"/>
      <c r="J594" s="25"/>
      <c r="K594" s="34"/>
      <c r="L594" s="35"/>
      <c r="M594" s="34"/>
      <c r="N594" s="34"/>
      <c r="O594" s="37"/>
      <c r="P594" s="35"/>
      <c r="Q594" s="36"/>
      <c r="R594" s="25"/>
      <c r="S594" s="25"/>
      <c r="T594" s="34"/>
      <c r="U594" s="25"/>
      <c r="V594" s="25"/>
      <c r="W594" s="25"/>
      <c r="X594" s="34"/>
      <c r="Y594" s="25"/>
      <c r="Z594" s="25"/>
      <c r="AA594" s="34"/>
      <c r="AG594" s="34"/>
      <c r="AH594" s="34"/>
      <c r="AI594" s="34"/>
      <c r="AJ594" s="34"/>
      <c r="AK594" s="34"/>
      <c r="AL594" s="34"/>
      <c r="AM594" s="34"/>
      <c r="AN594" s="34"/>
      <c r="AO594" s="37"/>
      <c r="AP594" s="37"/>
      <c r="AQ594" s="37"/>
      <c r="AR594" s="25"/>
      <c r="AS594" s="25"/>
      <c r="AT594" s="38"/>
      <c r="AU594" s="39"/>
      <c r="AV594" s="34"/>
      <c r="AW594" s="34"/>
      <c r="AX594" s="34"/>
    </row>
    <row r="595" spans="2:50">
      <c r="B595" s="33"/>
      <c r="C595" s="25"/>
      <c r="D595" s="34"/>
      <c r="E595" s="34"/>
      <c r="F595" s="34"/>
      <c r="G595" s="35"/>
      <c r="H595" s="35"/>
      <c r="I595" s="35"/>
      <c r="J595" s="25"/>
      <c r="K595" s="34"/>
      <c r="L595" s="35"/>
      <c r="M595" s="34"/>
      <c r="N595" s="34"/>
      <c r="O595" s="37"/>
      <c r="P595" s="35"/>
      <c r="Q595" s="36"/>
      <c r="R595" s="25"/>
      <c r="S595" s="25"/>
      <c r="T595" s="34"/>
      <c r="U595" s="25"/>
      <c r="V595" s="25"/>
      <c r="W595" s="25"/>
      <c r="X595" s="34"/>
      <c r="Y595" s="25"/>
      <c r="Z595" s="25"/>
      <c r="AA595" s="34"/>
      <c r="AG595" s="34"/>
      <c r="AH595" s="34"/>
      <c r="AI595" s="34"/>
      <c r="AJ595" s="34"/>
      <c r="AK595" s="34"/>
      <c r="AL595" s="34"/>
      <c r="AM595" s="34"/>
      <c r="AN595" s="34"/>
      <c r="AO595" s="37"/>
      <c r="AP595" s="37"/>
      <c r="AQ595" s="37"/>
      <c r="AR595" s="25"/>
      <c r="AS595" s="25"/>
      <c r="AT595" s="38"/>
      <c r="AU595" s="39"/>
      <c r="AV595" s="34"/>
      <c r="AW595" s="34"/>
      <c r="AX595" s="34"/>
    </row>
    <row r="596" spans="2:50">
      <c r="B596" s="33"/>
      <c r="C596" s="25"/>
      <c r="D596" s="34"/>
      <c r="E596" s="34"/>
      <c r="F596" s="34"/>
      <c r="G596" s="35"/>
      <c r="H596" s="35"/>
      <c r="I596" s="35"/>
      <c r="J596" s="25"/>
      <c r="K596" s="34"/>
      <c r="L596" s="35"/>
      <c r="M596" s="34"/>
      <c r="N596" s="34"/>
      <c r="O596" s="37"/>
      <c r="P596" s="35"/>
      <c r="Q596" s="36"/>
      <c r="R596" s="25"/>
      <c r="S596" s="25"/>
      <c r="T596" s="34"/>
      <c r="U596" s="25"/>
      <c r="V596" s="25"/>
      <c r="W596" s="25"/>
      <c r="X596" s="34"/>
      <c r="Y596" s="25"/>
      <c r="Z596" s="25"/>
      <c r="AA596" s="34"/>
      <c r="AG596" s="34"/>
      <c r="AH596" s="34"/>
      <c r="AI596" s="34"/>
      <c r="AJ596" s="34"/>
      <c r="AK596" s="34"/>
      <c r="AL596" s="34"/>
      <c r="AM596" s="34"/>
      <c r="AN596" s="34"/>
      <c r="AO596" s="37"/>
      <c r="AP596" s="37"/>
      <c r="AQ596" s="37"/>
      <c r="AR596" s="25"/>
      <c r="AS596" s="25"/>
      <c r="AT596" s="38"/>
      <c r="AU596" s="39"/>
      <c r="AV596" s="34"/>
      <c r="AW596" s="34"/>
      <c r="AX596" s="34"/>
    </row>
    <row r="597" spans="2:50">
      <c r="B597" s="33"/>
      <c r="C597" s="25"/>
      <c r="D597" s="34"/>
      <c r="E597" s="34"/>
      <c r="F597" s="34"/>
      <c r="G597" s="35"/>
      <c r="H597" s="35"/>
      <c r="I597" s="35"/>
      <c r="J597" s="25"/>
      <c r="K597" s="34"/>
      <c r="L597" s="35"/>
      <c r="M597" s="34"/>
      <c r="N597" s="34"/>
      <c r="O597" s="37"/>
      <c r="P597" s="35"/>
      <c r="Q597" s="36"/>
      <c r="R597" s="25"/>
      <c r="S597" s="25"/>
      <c r="T597" s="34"/>
      <c r="U597" s="25"/>
      <c r="V597" s="25"/>
      <c r="W597" s="25"/>
      <c r="X597" s="34"/>
      <c r="Y597" s="25"/>
      <c r="Z597" s="25"/>
      <c r="AA597" s="34"/>
      <c r="AG597" s="34"/>
      <c r="AH597" s="34"/>
      <c r="AI597" s="34"/>
      <c r="AJ597" s="34"/>
      <c r="AK597" s="34"/>
      <c r="AL597" s="34"/>
      <c r="AM597" s="34"/>
      <c r="AN597" s="34"/>
      <c r="AO597" s="37"/>
      <c r="AP597" s="37"/>
      <c r="AQ597" s="37"/>
      <c r="AR597" s="25"/>
      <c r="AS597" s="25"/>
      <c r="AT597" s="38"/>
      <c r="AU597" s="39"/>
      <c r="AV597" s="34"/>
      <c r="AW597" s="34"/>
      <c r="AX597" s="34"/>
    </row>
    <row r="598" spans="2:50">
      <c r="B598" s="33"/>
      <c r="C598" s="25"/>
      <c r="D598" s="34"/>
      <c r="E598" s="34"/>
      <c r="F598" s="34"/>
      <c r="G598" s="35"/>
      <c r="H598" s="35"/>
      <c r="I598" s="35"/>
      <c r="J598" s="25"/>
      <c r="K598" s="34"/>
      <c r="L598" s="35"/>
      <c r="M598" s="34"/>
      <c r="N598" s="34"/>
      <c r="O598" s="37"/>
      <c r="P598" s="35"/>
      <c r="Q598" s="36"/>
      <c r="R598" s="25"/>
      <c r="S598" s="25"/>
      <c r="T598" s="34"/>
      <c r="U598" s="25"/>
      <c r="V598" s="25"/>
      <c r="W598" s="25"/>
      <c r="X598" s="34"/>
      <c r="Y598" s="25"/>
      <c r="Z598" s="25"/>
      <c r="AA598" s="34"/>
      <c r="AG598" s="34"/>
      <c r="AH598" s="34"/>
      <c r="AI598" s="34"/>
      <c r="AJ598" s="34"/>
      <c r="AK598" s="34"/>
      <c r="AL598" s="34"/>
      <c r="AM598" s="34"/>
      <c r="AN598" s="34"/>
      <c r="AO598" s="37"/>
      <c r="AP598" s="37"/>
      <c r="AQ598" s="37"/>
      <c r="AR598" s="25"/>
      <c r="AS598" s="25"/>
      <c r="AT598" s="38"/>
      <c r="AU598" s="39"/>
      <c r="AV598" s="34"/>
      <c r="AW598" s="34"/>
      <c r="AX598" s="34"/>
    </row>
    <row r="599" spans="2:50">
      <c r="B599" s="33"/>
      <c r="C599" s="25"/>
      <c r="D599" s="34"/>
      <c r="E599" s="34"/>
      <c r="F599" s="34"/>
      <c r="G599" s="35"/>
      <c r="H599" s="35"/>
      <c r="I599" s="35"/>
      <c r="J599" s="25"/>
      <c r="K599" s="34"/>
      <c r="L599" s="35"/>
      <c r="M599" s="34"/>
      <c r="N599" s="34"/>
      <c r="O599" s="37"/>
      <c r="P599" s="35"/>
      <c r="Q599" s="36"/>
      <c r="R599" s="25"/>
      <c r="S599" s="25"/>
      <c r="T599" s="34"/>
      <c r="U599" s="25"/>
      <c r="V599" s="25"/>
      <c r="W599" s="25"/>
      <c r="X599" s="34"/>
      <c r="Y599" s="25"/>
      <c r="Z599" s="25"/>
      <c r="AA599" s="34"/>
      <c r="AG599" s="34"/>
      <c r="AH599" s="34"/>
      <c r="AI599" s="34"/>
      <c r="AJ599" s="34"/>
      <c r="AK599" s="34"/>
      <c r="AL599" s="34"/>
      <c r="AM599" s="34"/>
      <c r="AN599" s="34"/>
      <c r="AO599" s="37"/>
      <c r="AP599" s="37"/>
      <c r="AQ599" s="37"/>
      <c r="AR599" s="25"/>
      <c r="AS599" s="25"/>
      <c r="AT599" s="38"/>
      <c r="AU599" s="39"/>
      <c r="AV599" s="34"/>
      <c r="AW599" s="34"/>
      <c r="AX599" s="34"/>
    </row>
    <row r="600" spans="2:50">
      <c r="B600" s="33"/>
      <c r="C600" s="25"/>
      <c r="D600" s="34"/>
      <c r="E600" s="34"/>
      <c r="F600" s="34"/>
      <c r="G600" s="35"/>
      <c r="H600" s="35"/>
      <c r="I600" s="35"/>
      <c r="J600" s="25"/>
      <c r="K600" s="34"/>
      <c r="L600" s="35"/>
      <c r="M600" s="34"/>
      <c r="N600" s="34"/>
      <c r="O600" s="37"/>
      <c r="P600" s="35"/>
      <c r="Q600" s="36"/>
      <c r="R600" s="25"/>
      <c r="S600" s="25"/>
      <c r="T600" s="34"/>
      <c r="U600" s="25"/>
      <c r="V600" s="25"/>
      <c r="W600" s="25"/>
      <c r="X600" s="34"/>
      <c r="Y600" s="25"/>
      <c r="Z600" s="25"/>
      <c r="AA600" s="34"/>
      <c r="AG600" s="34"/>
      <c r="AH600" s="34"/>
      <c r="AI600" s="34"/>
      <c r="AJ600" s="34"/>
      <c r="AK600" s="34"/>
      <c r="AL600" s="34"/>
      <c r="AM600" s="34"/>
      <c r="AN600" s="34"/>
      <c r="AO600" s="37"/>
      <c r="AP600" s="37"/>
      <c r="AQ600" s="37"/>
      <c r="AR600" s="25"/>
      <c r="AS600" s="25"/>
      <c r="AT600" s="38"/>
      <c r="AU600" s="39"/>
      <c r="AV600" s="34"/>
      <c r="AW600" s="34"/>
      <c r="AX600" s="34"/>
    </row>
    <row r="601" spans="2:50">
      <c r="B601" s="33"/>
      <c r="C601" s="25"/>
      <c r="D601" s="34"/>
      <c r="E601" s="34"/>
      <c r="F601" s="34"/>
      <c r="G601" s="35"/>
      <c r="H601" s="35"/>
      <c r="I601" s="35"/>
      <c r="J601" s="25"/>
      <c r="K601" s="34"/>
      <c r="L601" s="35"/>
      <c r="M601" s="34"/>
      <c r="N601" s="34"/>
      <c r="O601" s="37"/>
      <c r="P601" s="35"/>
      <c r="Q601" s="36"/>
      <c r="R601" s="25"/>
      <c r="S601" s="25"/>
      <c r="T601" s="34"/>
      <c r="U601" s="25"/>
      <c r="V601" s="25"/>
      <c r="W601" s="25"/>
      <c r="X601" s="34"/>
      <c r="Y601" s="25"/>
      <c r="Z601" s="25"/>
      <c r="AA601" s="34"/>
      <c r="AG601" s="34"/>
      <c r="AH601" s="34"/>
      <c r="AI601" s="34"/>
      <c r="AJ601" s="34"/>
      <c r="AK601" s="34"/>
      <c r="AL601" s="34"/>
      <c r="AM601" s="34"/>
      <c r="AN601" s="34"/>
      <c r="AO601" s="37"/>
      <c r="AP601" s="37"/>
      <c r="AQ601" s="37"/>
      <c r="AR601" s="25"/>
      <c r="AS601" s="25"/>
      <c r="AT601" s="38"/>
      <c r="AU601" s="39"/>
      <c r="AV601" s="34"/>
      <c r="AW601" s="34"/>
      <c r="AX601" s="34"/>
    </row>
    <row r="602" spans="2:50">
      <c r="B602" s="33"/>
      <c r="C602" s="25"/>
      <c r="D602" s="34"/>
      <c r="E602" s="34"/>
      <c r="F602" s="34"/>
      <c r="G602" s="35"/>
      <c r="H602" s="35"/>
      <c r="I602" s="35"/>
      <c r="J602" s="25"/>
      <c r="K602" s="34"/>
      <c r="L602" s="35"/>
      <c r="M602" s="34"/>
      <c r="N602" s="34"/>
      <c r="O602" s="37"/>
      <c r="P602" s="35"/>
      <c r="Q602" s="36"/>
      <c r="R602" s="25"/>
      <c r="S602" s="25"/>
      <c r="T602" s="34"/>
      <c r="U602" s="25"/>
      <c r="V602" s="25"/>
      <c r="W602" s="25"/>
      <c r="X602" s="34"/>
      <c r="Y602" s="25"/>
      <c r="Z602" s="25"/>
      <c r="AA602" s="34"/>
      <c r="AG602" s="34"/>
      <c r="AH602" s="34"/>
      <c r="AI602" s="34"/>
      <c r="AJ602" s="34"/>
      <c r="AK602" s="34"/>
      <c r="AL602" s="34"/>
      <c r="AM602" s="34"/>
      <c r="AN602" s="34"/>
      <c r="AO602" s="37"/>
      <c r="AP602" s="37"/>
      <c r="AQ602" s="37"/>
      <c r="AR602" s="25"/>
      <c r="AS602" s="25"/>
      <c r="AT602" s="38"/>
      <c r="AU602" s="39"/>
      <c r="AV602" s="34"/>
      <c r="AW602" s="34"/>
      <c r="AX602" s="34"/>
    </row>
    <row r="603" spans="2:50">
      <c r="B603" s="33"/>
      <c r="C603" s="25"/>
      <c r="D603" s="34"/>
      <c r="E603" s="34"/>
      <c r="F603" s="34"/>
      <c r="G603" s="35"/>
      <c r="H603" s="35"/>
      <c r="I603" s="35"/>
      <c r="J603" s="25"/>
      <c r="K603" s="34"/>
      <c r="L603" s="35"/>
      <c r="M603" s="34"/>
      <c r="N603" s="34"/>
      <c r="O603" s="37"/>
      <c r="P603" s="35"/>
      <c r="Q603" s="36"/>
      <c r="R603" s="25"/>
      <c r="S603" s="25"/>
      <c r="T603" s="34"/>
      <c r="U603" s="25"/>
      <c r="V603" s="25"/>
      <c r="W603" s="25"/>
      <c r="X603" s="34"/>
      <c r="Y603" s="25"/>
      <c r="Z603" s="25"/>
      <c r="AA603" s="34"/>
      <c r="AG603" s="34"/>
      <c r="AH603" s="34"/>
      <c r="AI603" s="34"/>
      <c r="AJ603" s="34"/>
      <c r="AK603" s="34"/>
      <c r="AL603" s="34"/>
      <c r="AM603" s="34"/>
      <c r="AN603" s="34"/>
      <c r="AO603" s="37"/>
      <c r="AP603" s="37"/>
      <c r="AQ603" s="37"/>
      <c r="AR603" s="25"/>
      <c r="AS603" s="25"/>
      <c r="AT603" s="38"/>
      <c r="AU603" s="39"/>
      <c r="AV603" s="34"/>
      <c r="AW603" s="34"/>
      <c r="AX603" s="34"/>
    </row>
    <row r="604" spans="2:50">
      <c r="B604" s="33"/>
      <c r="C604" s="25"/>
      <c r="D604" s="34"/>
      <c r="E604" s="34"/>
      <c r="F604" s="34"/>
      <c r="G604" s="35"/>
      <c r="H604" s="35"/>
      <c r="I604" s="35"/>
      <c r="J604" s="25"/>
      <c r="K604" s="34"/>
      <c r="L604" s="35"/>
      <c r="M604" s="34"/>
      <c r="N604" s="34"/>
      <c r="O604" s="37"/>
      <c r="P604" s="35"/>
      <c r="Q604" s="36"/>
      <c r="R604" s="25"/>
      <c r="S604" s="25"/>
      <c r="T604" s="34"/>
      <c r="U604" s="25"/>
      <c r="V604" s="25"/>
      <c r="W604" s="25"/>
      <c r="X604" s="34"/>
      <c r="Y604" s="25"/>
      <c r="Z604" s="25"/>
      <c r="AA604" s="34"/>
      <c r="AG604" s="34"/>
      <c r="AH604" s="34"/>
      <c r="AI604" s="34"/>
      <c r="AJ604" s="34"/>
      <c r="AK604" s="34"/>
      <c r="AL604" s="34"/>
      <c r="AM604" s="34"/>
      <c r="AN604" s="34"/>
      <c r="AO604" s="37"/>
      <c r="AP604" s="37"/>
      <c r="AQ604" s="37"/>
      <c r="AR604" s="25"/>
      <c r="AS604" s="25"/>
      <c r="AT604" s="38"/>
      <c r="AU604" s="39"/>
      <c r="AV604" s="34"/>
      <c r="AW604" s="34"/>
      <c r="AX604" s="34"/>
    </row>
    <row r="605" spans="2:50">
      <c r="B605" s="33"/>
      <c r="C605" s="25"/>
      <c r="D605" s="34"/>
      <c r="E605" s="34"/>
      <c r="F605" s="34"/>
      <c r="G605" s="35"/>
      <c r="H605" s="35"/>
      <c r="I605" s="35"/>
      <c r="J605" s="25"/>
      <c r="K605" s="34"/>
      <c r="L605" s="35"/>
      <c r="M605" s="34"/>
      <c r="N605" s="34"/>
      <c r="O605" s="37"/>
      <c r="P605" s="35"/>
      <c r="Q605" s="36"/>
      <c r="R605" s="25"/>
      <c r="S605" s="25"/>
      <c r="T605" s="34"/>
      <c r="U605" s="25"/>
      <c r="V605" s="25"/>
      <c r="W605" s="25"/>
      <c r="X605" s="34"/>
      <c r="Y605" s="25"/>
      <c r="Z605" s="25"/>
      <c r="AA605" s="34"/>
      <c r="AG605" s="34"/>
      <c r="AH605" s="34"/>
      <c r="AI605" s="34"/>
      <c r="AJ605" s="34"/>
      <c r="AK605" s="34"/>
      <c r="AL605" s="34"/>
      <c r="AM605" s="34"/>
      <c r="AN605" s="34"/>
      <c r="AO605" s="37"/>
      <c r="AP605" s="37"/>
      <c r="AQ605" s="37"/>
      <c r="AR605" s="25"/>
      <c r="AS605" s="25"/>
      <c r="AT605" s="38"/>
      <c r="AU605" s="39"/>
      <c r="AV605" s="34"/>
      <c r="AW605" s="34"/>
      <c r="AX605" s="34"/>
    </row>
    <row r="606" spans="2:50">
      <c r="B606" s="33"/>
      <c r="C606" s="25"/>
      <c r="D606" s="34"/>
      <c r="E606" s="34"/>
      <c r="F606" s="34"/>
      <c r="G606" s="35"/>
      <c r="H606" s="35"/>
      <c r="I606" s="35"/>
      <c r="J606" s="25"/>
      <c r="K606" s="34"/>
      <c r="L606" s="35"/>
      <c r="M606" s="34"/>
      <c r="N606" s="34"/>
      <c r="O606" s="37"/>
      <c r="P606" s="35"/>
      <c r="Q606" s="36"/>
      <c r="R606" s="25"/>
      <c r="S606" s="25"/>
      <c r="T606" s="34"/>
      <c r="U606" s="25"/>
      <c r="V606" s="25"/>
      <c r="W606" s="25"/>
      <c r="X606" s="34"/>
      <c r="Y606" s="25"/>
      <c r="Z606" s="25"/>
      <c r="AA606" s="34"/>
      <c r="AG606" s="34"/>
      <c r="AH606" s="34"/>
      <c r="AI606" s="34"/>
      <c r="AJ606" s="34"/>
      <c r="AK606" s="34"/>
      <c r="AL606" s="34"/>
      <c r="AM606" s="34"/>
      <c r="AN606" s="34"/>
      <c r="AO606" s="37"/>
      <c r="AP606" s="37"/>
      <c r="AQ606" s="37"/>
      <c r="AR606" s="25"/>
      <c r="AS606" s="25"/>
      <c r="AT606" s="38"/>
      <c r="AU606" s="39"/>
      <c r="AV606" s="34"/>
      <c r="AW606" s="34"/>
      <c r="AX606" s="34"/>
    </row>
    <row r="607" spans="2:50">
      <c r="B607" s="33"/>
      <c r="C607" s="25"/>
      <c r="D607" s="34"/>
      <c r="E607" s="34"/>
      <c r="F607" s="34"/>
      <c r="G607" s="35"/>
      <c r="H607" s="35"/>
      <c r="I607" s="35"/>
      <c r="J607" s="25"/>
      <c r="K607" s="34"/>
      <c r="L607" s="35"/>
      <c r="M607" s="34"/>
      <c r="N607" s="34"/>
      <c r="O607" s="37"/>
      <c r="P607" s="35"/>
      <c r="Q607" s="36"/>
      <c r="R607" s="25"/>
      <c r="S607" s="25"/>
      <c r="T607" s="34"/>
      <c r="U607" s="25"/>
      <c r="V607" s="25"/>
      <c r="W607" s="25"/>
      <c r="X607" s="34"/>
      <c r="Y607" s="25"/>
      <c r="Z607" s="25"/>
      <c r="AA607" s="34"/>
      <c r="AG607" s="34"/>
      <c r="AH607" s="34"/>
      <c r="AI607" s="34"/>
      <c r="AJ607" s="34"/>
      <c r="AK607" s="34"/>
      <c r="AL607" s="34"/>
      <c r="AM607" s="34"/>
      <c r="AN607" s="34"/>
      <c r="AO607" s="37"/>
      <c r="AP607" s="37"/>
      <c r="AQ607" s="37"/>
      <c r="AR607" s="25"/>
      <c r="AS607" s="25"/>
      <c r="AT607" s="38"/>
      <c r="AU607" s="39"/>
      <c r="AV607" s="34"/>
      <c r="AW607" s="34"/>
      <c r="AX607" s="34"/>
    </row>
    <row r="608" spans="2:50">
      <c r="B608" s="33"/>
      <c r="C608" s="25"/>
      <c r="D608" s="34"/>
      <c r="E608" s="34"/>
      <c r="F608" s="34"/>
      <c r="G608" s="35"/>
      <c r="H608" s="35"/>
      <c r="I608" s="35"/>
      <c r="J608" s="25"/>
      <c r="K608" s="34"/>
      <c r="L608" s="35"/>
      <c r="M608" s="34"/>
      <c r="N608" s="34"/>
      <c r="O608" s="37"/>
      <c r="P608" s="35"/>
      <c r="Q608" s="36"/>
      <c r="R608" s="25"/>
      <c r="S608" s="25"/>
      <c r="T608" s="34"/>
      <c r="U608" s="25"/>
      <c r="V608" s="25"/>
      <c r="W608" s="25"/>
      <c r="X608" s="34"/>
      <c r="Y608" s="25"/>
      <c r="Z608" s="25"/>
      <c r="AA608" s="34"/>
      <c r="AG608" s="34"/>
      <c r="AH608" s="34"/>
      <c r="AI608" s="34"/>
      <c r="AJ608" s="34"/>
      <c r="AK608" s="34"/>
      <c r="AL608" s="34"/>
      <c r="AM608" s="34"/>
      <c r="AN608" s="34"/>
      <c r="AO608" s="37"/>
      <c r="AP608" s="37"/>
      <c r="AQ608" s="37"/>
      <c r="AR608" s="25"/>
      <c r="AS608" s="25"/>
      <c r="AT608" s="38"/>
      <c r="AU608" s="39"/>
      <c r="AV608" s="34"/>
      <c r="AW608" s="34"/>
      <c r="AX608" s="34"/>
    </row>
    <row r="609" spans="2:50">
      <c r="B609" s="33"/>
      <c r="C609" s="25"/>
      <c r="D609" s="34"/>
      <c r="E609" s="34"/>
      <c r="F609" s="34"/>
      <c r="G609" s="35"/>
      <c r="H609" s="35"/>
      <c r="I609" s="35"/>
      <c r="J609" s="25"/>
      <c r="K609" s="34"/>
      <c r="L609" s="35"/>
      <c r="M609" s="34"/>
      <c r="N609" s="34"/>
      <c r="O609" s="37"/>
      <c r="P609" s="35"/>
      <c r="Q609" s="36"/>
      <c r="R609" s="25"/>
      <c r="S609" s="25"/>
      <c r="T609" s="34"/>
      <c r="U609" s="25"/>
      <c r="V609" s="25"/>
      <c r="W609" s="25"/>
      <c r="X609" s="34"/>
      <c r="Y609" s="25"/>
      <c r="Z609" s="25"/>
      <c r="AA609" s="34"/>
      <c r="AG609" s="34"/>
      <c r="AH609" s="34"/>
      <c r="AI609" s="34"/>
      <c r="AJ609" s="34"/>
      <c r="AK609" s="34"/>
      <c r="AL609" s="34"/>
      <c r="AM609" s="34"/>
      <c r="AN609" s="34"/>
      <c r="AO609" s="37"/>
      <c r="AP609" s="37"/>
      <c r="AQ609" s="37"/>
      <c r="AR609" s="25"/>
      <c r="AS609" s="25"/>
      <c r="AT609" s="38"/>
      <c r="AU609" s="39"/>
      <c r="AV609" s="34"/>
      <c r="AW609" s="34"/>
      <c r="AX609" s="34"/>
    </row>
    <row r="610" spans="2:50">
      <c r="B610" s="33"/>
      <c r="C610" s="25"/>
      <c r="D610" s="34"/>
      <c r="E610" s="34"/>
      <c r="F610" s="34"/>
      <c r="G610" s="35"/>
      <c r="H610" s="35"/>
      <c r="I610" s="35"/>
      <c r="J610" s="25"/>
      <c r="K610" s="34"/>
      <c r="L610" s="35"/>
      <c r="M610" s="34"/>
      <c r="N610" s="34"/>
      <c r="O610" s="37"/>
      <c r="P610" s="35"/>
      <c r="Q610" s="36"/>
      <c r="R610" s="25"/>
      <c r="S610" s="25"/>
      <c r="T610" s="34"/>
      <c r="U610" s="25"/>
      <c r="V610" s="25"/>
      <c r="W610" s="25"/>
      <c r="X610" s="34"/>
      <c r="Y610" s="25"/>
      <c r="Z610" s="25"/>
      <c r="AA610" s="34"/>
      <c r="AG610" s="34"/>
      <c r="AH610" s="34"/>
      <c r="AI610" s="34"/>
      <c r="AJ610" s="34"/>
      <c r="AK610" s="34"/>
      <c r="AL610" s="34"/>
      <c r="AM610" s="34"/>
      <c r="AN610" s="34"/>
      <c r="AO610" s="37"/>
      <c r="AP610" s="37"/>
      <c r="AQ610" s="37"/>
      <c r="AR610" s="25"/>
      <c r="AS610" s="25"/>
      <c r="AT610" s="38"/>
      <c r="AU610" s="39"/>
      <c r="AV610" s="34"/>
      <c r="AW610" s="34"/>
      <c r="AX610" s="34"/>
    </row>
    <row r="611" spans="2:50">
      <c r="B611" s="33"/>
      <c r="C611" s="25"/>
      <c r="D611" s="34"/>
      <c r="E611" s="34"/>
      <c r="F611" s="34"/>
      <c r="G611" s="35"/>
      <c r="H611" s="35"/>
      <c r="I611" s="35"/>
      <c r="J611" s="25"/>
      <c r="K611" s="34"/>
      <c r="L611" s="35"/>
      <c r="M611" s="34"/>
      <c r="N611" s="34"/>
      <c r="O611" s="37"/>
      <c r="P611" s="35"/>
      <c r="Q611" s="36"/>
      <c r="R611" s="25"/>
      <c r="S611" s="25"/>
      <c r="T611" s="34"/>
      <c r="U611" s="25"/>
      <c r="V611" s="25"/>
      <c r="W611" s="25"/>
      <c r="X611" s="34"/>
      <c r="Y611" s="25"/>
      <c r="Z611" s="25"/>
      <c r="AA611" s="34"/>
      <c r="AG611" s="34"/>
      <c r="AH611" s="34"/>
      <c r="AI611" s="34"/>
      <c r="AJ611" s="34"/>
      <c r="AK611" s="34"/>
      <c r="AL611" s="34"/>
      <c r="AM611" s="34"/>
      <c r="AN611" s="34"/>
      <c r="AO611" s="37"/>
      <c r="AP611" s="37"/>
      <c r="AQ611" s="37"/>
      <c r="AR611" s="25"/>
      <c r="AS611" s="25"/>
      <c r="AT611" s="38"/>
      <c r="AU611" s="39"/>
      <c r="AV611" s="34"/>
      <c r="AW611" s="34"/>
      <c r="AX611" s="34"/>
    </row>
    <row r="612" spans="2:50">
      <c r="B612" s="33"/>
      <c r="C612" s="25"/>
      <c r="D612" s="34"/>
      <c r="E612" s="34"/>
      <c r="F612" s="34"/>
      <c r="G612" s="35"/>
      <c r="H612" s="35"/>
      <c r="I612" s="35"/>
      <c r="J612" s="25"/>
      <c r="K612" s="34"/>
      <c r="L612" s="35"/>
      <c r="M612" s="34"/>
      <c r="N612" s="34"/>
      <c r="O612" s="37"/>
      <c r="P612" s="35"/>
      <c r="Q612" s="36"/>
      <c r="R612" s="25"/>
      <c r="S612" s="25"/>
      <c r="T612" s="34"/>
      <c r="U612" s="25"/>
      <c r="V612" s="25"/>
      <c r="W612" s="25"/>
      <c r="X612" s="34"/>
      <c r="Y612" s="25"/>
      <c r="Z612" s="25"/>
      <c r="AA612" s="34"/>
      <c r="AG612" s="34"/>
      <c r="AH612" s="34"/>
      <c r="AI612" s="34"/>
      <c r="AJ612" s="34"/>
      <c r="AK612" s="34"/>
      <c r="AL612" s="34"/>
      <c r="AM612" s="34"/>
      <c r="AN612" s="34"/>
      <c r="AO612" s="37"/>
      <c r="AP612" s="37"/>
      <c r="AQ612" s="37"/>
      <c r="AR612" s="25"/>
      <c r="AS612" s="25"/>
      <c r="AT612" s="38"/>
      <c r="AU612" s="39"/>
      <c r="AV612" s="34"/>
      <c r="AW612" s="34"/>
      <c r="AX612" s="34"/>
    </row>
    <row r="613" spans="2:50">
      <c r="B613" s="33"/>
      <c r="C613" s="25"/>
      <c r="D613" s="34"/>
      <c r="E613" s="34"/>
      <c r="F613" s="34"/>
      <c r="G613" s="35"/>
      <c r="H613" s="35"/>
      <c r="I613" s="35"/>
      <c r="J613" s="25"/>
      <c r="K613" s="34"/>
      <c r="L613" s="35"/>
      <c r="M613" s="34"/>
      <c r="N613" s="34"/>
      <c r="O613" s="37"/>
      <c r="P613" s="35"/>
      <c r="Q613" s="36"/>
      <c r="R613" s="25"/>
      <c r="S613" s="25"/>
      <c r="T613" s="34"/>
      <c r="U613" s="25"/>
      <c r="V613" s="25"/>
      <c r="W613" s="25"/>
      <c r="X613" s="34"/>
      <c r="Y613" s="25"/>
      <c r="Z613" s="25"/>
      <c r="AA613" s="34"/>
      <c r="AG613" s="34"/>
      <c r="AH613" s="34"/>
      <c r="AI613" s="34"/>
      <c r="AJ613" s="34"/>
      <c r="AK613" s="34"/>
      <c r="AL613" s="34"/>
      <c r="AM613" s="34"/>
      <c r="AN613" s="34"/>
      <c r="AO613" s="37"/>
      <c r="AP613" s="37"/>
      <c r="AQ613" s="37"/>
      <c r="AR613" s="25"/>
      <c r="AS613" s="25"/>
      <c r="AT613" s="38"/>
      <c r="AU613" s="39"/>
      <c r="AV613" s="34"/>
      <c r="AW613" s="34"/>
      <c r="AX613" s="34"/>
    </row>
    <row r="614" spans="2:50">
      <c r="B614" s="33"/>
      <c r="C614" s="25"/>
      <c r="D614" s="34"/>
      <c r="E614" s="34"/>
      <c r="F614" s="34"/>
      <c r="G614" s="35"/>
      <c r="H614" s="35"/>
      <c r="I614" s="35"/>
      <c r="J614" s="25"/>
      <c r="K614" s="34"/>
      <c r="L614" s="35"/>
      <c r="M614" s="34"/>
      <c r="N614" s="34"/>
      <c r="O614" s="37"/>
      <c r="P614" s="35"/>
      <c r="Q614" s="36"/>
      <c r="R614" s="25"/>
      <c r="S614" s="25"/>
      <c r="T614" s="34"/>
      <c r="U614" s="25"/>
      <c r="V614" s="25"/>
      <c r="W614" s="25"/>
      <c r="X614" s="34"/>
      <c r="Y614" s="25"/>
      <c r="Z614" s="25"/>
      <c r="AA614" s="34"/>
      <c r="AG614" s="34"/>
      <c r="AH614" s="34"/>
      <c r="AI614" s="34"/>
      <c r="AJ614" s="34"/>
      <c r="AK614" s="34"/>
      <c r="AL614" s="34"/>
      <c r="AM614" s="34"/>
      <c r="AN614" s="34"/>
      <c r="AO614" s="37"/>
      <c r="AP614" s="37"/>
      <c r="AQ614" s="37"/>
      <c r="AR614" s="25"/>
      <c r="AS614" s="25"/>
      <c r="AT614" s="38"/>
      <c r="AU614" s="39"/>
      <c r="AV614" s="34"/>
      <c r="AW614" s="34"/>
      <c r="AX614" s="34"/>
    </row>
    <row r="615" spans="2:50">
      <c r="B615" s="33"/>
      <c r="C615" s="25"/>
      <c r="D615" s="34"/>
      <c r="E615" s="34"/>
      <c r="F615" s="34"/>
      <c r="G615" s="35"/>
      <c r="H615" s="35"/>
      <c r="I615" s="35"/>
      <c r="J615" s="25"/>
      <c r="K615" s="34"/>
      <c r="L615" s="35"/>
      <c r="M615" s="34"/>
      <c r="N615" s="34"/>
      <c r="O615" s="37"/>
      <c r="P615" s="35"/>
      <c r="Q615" s="36"/>
      <c r="R615" s="25"/>
      <c r="S615" s="25"/>
      <c r="T615" s="34"/>
      <c r="U615" s="25"/>
      <c r="V615" s="25"/>
      <c r="W615" s="25"/>
      <c r="X615" s="34"/>
      <c r="Y615" s="25"/>
      <c r="Z615" s="25"/>
      <c r="AA615" s="34"/>
      <c r="AG615" s="34"/>
      <c r="AH615" s="34"/>
      <c r="AI615" s="34"/>
      <c r="AJ615" s="34"/>
      <c r="AK615" s="34"/>
      <c r="AL615" s="34"/>
      <c r="AM615" s="34"/>
      <c r="AN615" s="34"/>
      <c r="AO615" s="37"/>
      <c r="AP615" s="37"/>
      <c r="AQ615" s="37"/>
      <c r="AR615" s="25"/>
      <c r="AS615" s="25"/>
      <c r="AT615" s="38"/>
      <c r="AU615" s="39"/>
      <c r="AV615" s="34"/>
      <c r="AW615" s="34"/>
      <c r="AX615" s="34"/>
    </row>
    <row r="616" spans="2:50">
      <c r="B616" s="33"/>
      <c r="C616" s="25"/>
      <c r="D616" s="34"/>
      <c r="E616" s="34"/>
      <c r="F616" s="34"/>
      <c r="G616" s="35"/>
      <c r="H616" s="35"/>
      <c r="I616" s="35"/>
      <c r="J616" s="25"/>
      <c r="K616" s="34"/>
      <c r="L616" s="35"/>
      <c r="M616" s="34"/>
      <c r="N616" s="34"/>
      <c r="O616" s="37"/>
      <c r="P616" s="35"/>
      <c r="Q616" s="36"/>
      <c r="R616" s="25"/>
      <c r="S616" s="25"/>
      <c r="T616" s="34"/>
      <c r="U616" s="25"/>
      <c r="V616" s="25"/>
      <c r="W616" s="25"/>
      <c r="X616" s="34"/>
      <c r="Y616" s="25"/>
      <c r="Z616" s="25"/>
      <c r="AA616" s="34"/>
      <c r="AG616" s="34"/>
      <c r="AH616" s="34"/>
      <c r="AI616" s="34"/>
      <c r="AJ616" s="34"/>
      <c r="AK616" s="34"/>
      <c r="AL616" s="34"/>
      <c r="AM616" s="34"/>
      <c r="AN616" s="34"/>
      <c r="AO616" s="37"/>
      <c r="AP616" s="37"/>
      <c r="AQ616" s="37"/>
      <c r="AR616" s="25"/>
      <c r="AS616" s="25"/>
      <c r="AT616" s="38"/>
      <c r="AU616" s="39"/>
      <c r="AV616" s="34"/>
      <c r="AW616" s="34"/>
      <c r="AX616" s="34"/>
    </row>
    <row r="617" spans="2:50">
      <c r="B617" s="33"/>
      <c r="C617" s="25"/>
      <c r="D617" s="34"/>
      <c r="E617" s="34"/>
      <c r="F617" s="34"/>
      <c r="G617" s="35"/>
      <c r="H617" s="35"/>
      <c r="I617" s="35"/>
      <c r="J617" s="25"/>
      <c r="K617" s="34"/>
      <c r="L617" s="35"/>
      <c r="M617" s="34"/>
      <c r="N617" s="34"/>
      <c r="O617" s="37"/>
      <c r="P617" s="35"/>
      <c r="Q617" s="36"/>
      <c r="R617" s="25"/>
      <c r="S617" s="25"/>
      <c r="T617" s="34"/>
      <c r="U617" s="25"/>
      <c r="V617" s="25"/>
      <c r="W617" s="25"/>
      <c r="X617" s="34"/>
      <c r="Y617" s="25"/>
      <c r="Z617" s="25"/>
      <c r="AA617" s="34"/>
      <c r="AG617" s="34"/>
      <c r="AH617" s="34"/>
      <c r="AI617" s="34"/>
      <c r="AJ617" s="34"/>
      <c r="AK617" s="34"/>
      <c r="AL617" s="34"/>
      <c r="AM617" s="34"/>
      <c r="AN617" s="34"/>
      <c r="AO617" s="37"/>
      <c r="AP617" s="37"/>
      <c r="AQ617" s="37"/>
      <c r="AR617" s="25"/>
      <c r="AS617" s="25"/>
      <c r="AT617" s="38"/>
      <c r="AU617" s="39"/>
      <c r="AV617" s="34"/>
      <c r="AW617" s="34"/>
      <c r="AX617" s="34"/>
    </row>
    <row r="618" spans="2:50">
      <c r="B618" s="33"/>
      <c r="C618" s="25"/>
      <c r="D618" s="34"/>
      <c r="E618" s="34"/>
      <c r="F618" s="34"/>
      <c r="G618" s="35"/>
      <c r="H618" s="35"/>
      <c r="I618" s="35"/>
      <c r="J618" s="25"/>
      <c r="K618" s="34"/>
      <c r="L618" s="35"/>
      <c r="M618" s="34"/>
      <c r="N618" s="34"/>
      <c r="O618" s="37"/>
      <c r="P618" s="35"/>
      <c r="Q618" s="36"/>
      <c r="R618" s="25"/>
      <c r="S618" s="25"/>
      <c r="T618" s="34"/>
      <c r="U618" s="25"/>
      <c r="V618" s="25"/>
      <c r="W618" s="25"/>
      <c r="X618" s="34"/>
      <c r="Y618" s="25"/>
      <c r="Z618" s="25"/>
      <c r="AA618" s="34"/>
      <c r="AG618" s="34"/>
      <c r="AH618" s="34"/>
      <c r="AI618" s="34"/>
      <c r="AJ618" s="34"/>
      <c r="AK618" s="34"/>
      <c r="AL618" s="34"/>
      <c r="AM618" s="34"/>
      <c r="AN618" s="34"/>
      <c r="AO618" s="37"/>
      <c r="AP618" s="37"/>
      <c r="AQ618" s="37"/>
      <c r="AR618" s="25"/>
      <c r="AS618" s="25"/>
      <c r="AT618" s="38"/>
      <c r="AU618" s="39"/>
      <c r="AV618" s="34"/>
      <c r="AW618" s="34"/>
      <c r="AX618" s="34"/>
    </row>
    <row r="619" spans="2:50">
      <c r="B619" s="33"/>
      <c r="C619" s="25"/>
      <c r="D619" s="34"/>
      <c r="E619" s="34"/>
      <c r="F619" s="34"/>
      <c r="G619" s="35"/>
      <c r="H619" s="35"/>
      <c r="I619" s="35"/>
      <c r="J619" s="25"/>
      <c r="K619" s="34"/>
      <c r="L619" s="35"/>
      <c r="M619" s="34"/>
      <c r="N619" s="34"/>
      <c r="O619" s="37"/>
      <c r="P619" s="35"/>
      <c r="Q619" s="36"/>
      <c r="R619" s="25"/>
      <c r="S619" s="25"/>
      <c r="T619" s="34"/>
      <c r="U619" s="25"/>
      <c r="V619" s="25"/>
      <c r="W619" s="25"/>
      <c r="X619" s="34"/>
      <c r="Y619" s="25"/>
      <c r="Z619" s="25"/>
      <c r="AA619" s="34"/>
      <c r="AG619" s="34"/>
      <c r="AH619" s="34"/>
      <c r="AI619" s="34"/>
      <c r="AJ619" s="34"/>
      <c r="AK619" s="34"/>
      <c r="AL619" s="34"/>
      <c r="AM619" s="34"/>
      <c r="AN619" s="34"/>
      <c r="AO619" s="37"/>
      <c r="AP619" s="37"/>
      <c r="AQ619" s="37"/>
      <c r="AR619" s="25"/>
      <c r="AS619" s="25"/>
      <c r="AT619" s="38"/>
      <c r="AU619" s="39"/>
      <c r="AV619" s="34"/>
      <c r="AW619" s="34"/>
      <c r="AX619" s="34"/>
    </row>
    <row r="620" spans="2:50">
      <c r="B620" s="33"/>
      <c r="C620" s="25"/>
      <c r="D620" s="34"/>
      <c r="E620" s="34"/>
      <c r="F620" s="34"/>
      <c r="G620" s="35"/>
      <c r="H620" s="35"/>
      <c r="I620" s="35"/>
      <c r="J620" s="25"/>
      <c r="K620" s="34"/>
      <c r="L620" s="35"/>
      <c r="M620" s="34"/>
      <c r="N620" s="34"/>
      <c r="O620" s="37"/>
      <c r="P620" s="35"/>
      <c r="Q620" s="36"/>
      <c r="R620" s="25"/>
      <c r="S620" s="25"/>
      <c r="T620" s="34"/>
      <c r="U620" s="25"/>
      <c r="V620" s="25"/>
      <c r="W620" s="25"/>
      <c r="X620" s="34"/>
      <c r="Y620" s="25"/>
      <c r="Z620" s="25"/>
      <c r="AA620" s="34"/>
      <c r="AG620" s="34"/>
      <c r="AH620" s="34"/>
      <c r="AI620" s="34"/>
      <c r="AJ620" s="34"/>
      <c r="AK620" s="34"/>
      <c r="AL620" s="34"/>
      <c r="AM620" s="34"/>
      <c r="AN620" s="34"/>
      <c r="AO620" s="37"/>
      <c r="AP620" s="37"/>
      <c r="AQ620" s="37"/>
      <c r="AR620" s="25"/>
      <c r="AS620" s="25"/>
      <c r="AT620" s="38"/>
      <c r="AU620" s="39"/>
      <c r="AV620" s="34"/>
      <c r="AW620" s="34"/>
      <c r="AX620" s="34"/>
    </row>
    <row r="621" spans="2:50">
      <c r="C621" s="25"/>
      <c r="J621" s="25"/>
      <c r="R621" s="25"/>
      <c r="S621" s="25"/>
      <c r="U621" s="25"/>
      <c r="V621" s="25"/>
      <c r="W621" s="25"/>
      <c r="Y621" s="25"/>
      <c r="Z621" s="25"/>
      <c r="AR621" s="25"/>
      <c r="AS621" s="25"/>
    </row>
    <row r="622" spans="2:50">
      <c r="C622" s="25"/>
      <c r="J622" s="25"/>
      <c r="R622" s="25"/>
      <c r="S622" s="25"/>
      <c r="U622" s="25"/>
      <c r="V622" s="25"/>
      <c r="W622" s="25"/>
      <c r="Y622" s="25"/>
      <c r="Z622" s="25"/>
      <c r="AR622" s="25"/>
      <c r="AS622" s="25"/>
    </row>
  </sheetData>
  <sheetProtection sort="0" autoFilter="0" pivotTables="0"/>
  <sortState xmlns:xlrd2="http://schemas.microsoft.com/office/spreadsheetml/2017/richdata2" ref="G368:G373">
    <sortCondition ref="G368"/>
  </sortState>
  <pageMargins left="0.75" right="0.75" top="1" bottom="1" header="0.5" footer="0.5"/>
  <pageSetup orientation="portrait" r:id="rId1"/>
  <tableParts count="1">
    <tablePart r:id="rId2"/>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2"/>
  <dimension ref="A1:U57"/>
  <sheetViews>
    <sheetView showGridLines="0" showRowColHeaders="0" workbookViewId="0">
      <selection activeCell="F27" sqref="F27"/>
    </sheetView>
  </sheetViews>
  <sheetFormatPr baseColWidth="10" defaultColWidth="9.140625" defaultRowHeight="15"/>
  <cols>
    <col min="1" max="1" width="15.7109375" bestFit="1" customWidth="1"/>
    <col min="2" max="2" width="25.7109375" bestFit="1" customWidth="1"/>
    <col min="3" max="3" width="79" customWidth="1"/>
    <col min="4" max="4" width="22" customWidth="1"/>
  </cols>
  <sheetData>
    <row r="1" spans="1:21">
      <c r="A1" s="215"/>
      <c r="B1" s="215"/>
      <c r="C1" s="215"/>
      <c r="D1" s="215"/>
      <c r="E1" s="215"/>
      <c r="F1" s="215"/>
      <c r="G1" s="215"/>
      <c r="H1" s="215"/>
      <c r="I1" s="215"/>
      <c r="J1" s="215"/>
      <c r="K1" s="215"/>
      <c r="L1" s="215"/>
      <c r="M1" s="215"/>
      <c r="N1" s="215"/>
      <c r="O1" s="215"/>
      <c r="P1" s="215"/>
      <c r="Q1" s="215"/>
      <c r="R1" s="215"/>
      <c r="S1" s="215"/>
      <c r="T1" s="215"/>
      <c r="U1" s="215"/>
    </row>
    <row r="2" spans="1:21">
      <c r="A2" s="215"/>
      <c r="B2" s="215"/>
      <c r="C2" s="215"/>
      <c r="D2" s="215"/>
      <c r="E2" s="215"/>
      <c r="F2" s="215"/>
      <c r="G2" s="215"/>
      <c r="H2" s="215"/>
      <c r="I2" s="215"/>
      <c r="J2" s="215"/>
      <c r="K2" s="215"/>
      <c r="L2" s="215"/>
      <c r="M2" s="215"/>
      <c r="N2" s="215"/>
      <c r="O2" s="215"/>
      <c r="P2" s="215"/>
      <c r="Q2" s="215"/>
      <c r="R2" s="215"/>
      <c r="S2" s="215"/>
      <c r="T2" s="215"/>
      <c r="U2" s="215"/>
    </row>
    <row r="3" spans="1:21">
      <c r="A3" s="215"/>
      <c r="B3" s="215"/>
      <c r="C3" s="215"/>
      <c r="D3" s="215"/>
      <c r="E3" s="215"/>
      <c r="F3" s="215"/>
      <c r="G3" s="215"/>
      <c r="H3" s="215"/>
      <c r="I3" s="215"/>
      <c r="J3" s="215"/>
      <c r="K3" s="215"/>
      <c r="L3" s="215"/>
      <c r="M3" s="215"/>
      <c r="N3" s="215"/>
      <c r="O3" s="215"/>
      <c r="P3" s="215"/>
      <c r="Q3" s="215"/>
      <c r="R3" s="215"/>
      <c r="S3" s="215"/>
      <c r="T3" s="215"/>
      <c r="U3" s="215"/>
    </row>
    <row r="4" spans="1:21" ht="12.75" customHeight="1">
      <c r="A4" s="216"/>
      <c r="B4" s="216"/>
      <c r="C4" s="216"/>
      <c r="D4" s="216"/>
      <c r="E4" s="216"/>
      <c r="F4" s="216"/>
      <c r="G4" s="216"/>
      <c r="H4" s="216"/>
      <c r="I4" s="216"/>
      <c r="J4" s="216"/>
      <c r="K4" s="216"/>
      <c r="L4" s="216"/>
      <c r="M4" s="216"/>
      <c r="N4" s="216"/>
      <c r="O4" s="216"/>
      <c r="P4" s="216"/>
      <c r="Q4" s="216"/>
      <c r="R4" s="216"/>
      <c r="S4" s="216"/>
      <c r="T4" s="216"/>
      <c r="U4" s="216"/>
    </row>
    <row r="5" spans="1:21">
      <c r="A5" s="77" t="s">
        <v>283</v>
      </c>
      <c r="B5" s="83">
        <v>1</v>
      </c>
    </row>
    <row r="13" spans="1:21" ht="15" customHeight="1"/>
    <row r="14" spans="1:21" ht="15" customHeight="1"/>
    <row r="15" spans="1:21" ht="15" customHeight="1"/>
    <row r="16" spans="1:21" ht="15" customHeight="1"/>
    <row r="17" ht="15" customHeight="1"/>
    <row r="18" ht="15" customHeight="1"/>
    <row r="19" ht="15" customHeight="1"/>
    <row r="56" spans="1:3">
      <c r="A56" s="84" t="s">
        <v>284</v>
      </c>
      <c r="B56" s="84" t="s">
        <v>285</v>
      </c>
      <c r="C56" s="85" t="s">
        <v>286</v>
      </c>
    </row>
    <row r="57" spans="1:3">
      <c r="B57" s="86">
        <v>1</v>
      </c>
      <c r="C57" s="87" t="s">
        <v>287</v>
      </c>
    </row>
  </sheetData>
  <sheetProtection algorithmName="SHA-512" hashValue="HlZynUbbJzuLoyH7+XJSUYje+vcoXQP8f2IwChREEaHr0E1XDUsZ467JEzDmrBFlc2anrfZ97S0Rht7aV0KCXw==" saltValue="9Rj2Whfsz8ZKpoLehoNIMg==" spinCount="100000" sheet="1" selectLockedCells="1"/>
  <mergeCells count="2">
    <mergeCell ref="A1:U3"/>
    <mergeCell ref="A4:U4"/>
  </mergeCells>
  <pageMargins left="0.7" right="0.7" top="0.75" bottom="0.75" header="0.3" footer="0.3"/>
  <drawing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3"/>
  <dimension ref="A1:Y47"/>
  <sheetViews>
    <sheetView showGridLines="0" workbookViewId="0">
      <selection activeCell="G11" sqref="G11"/>
    </sheetView>
  </sheetViews>
  <sheetFormatPr baseColWidth="10" defaultColWidth="9.140625" defaultRowHeight="12.75"/>
  <cols>
    <col min="1" max="1" width="3.85546875" style="92" customWidth="1"/>
    <col min="2" max="7" width="9.140625" style="92"/>
    <col min="8" max="8" width="9.140625" style="92" customWidth="1"/>
    <col min="9" max="9" width="9.140625" style="92"/>
    <col min="10" max="10" width="9.140625" style="92" customWidth="1"/>
    <col min="11" max="12" width="9.140625" style="92"/>
    <col min="13" max="13" width="19" style="92" bestFit="1" customWidth="1"/>
    <col min="14" max="16384" width="9.140625" style="92"/>
  </cols>
  <sheetData>
    <row r="1" spans="1:25">
      <c r="A1" s="237"/>
      <c r="B1" s="237"/>
      <c r="C1" s="237"/>
      <c r="D1" s="237"/>
      <c r="E1" s="237"/>
      <c r="F1" s="237"/>
      <c r="G1" s="237"/>
      <c r="H1" s="237"/>
      <c r="I1" s="237"/>
      <c r="J1" s="237"/>
      <c r="K1" s="237"/>
      <c r="L1" s="237"/>
      <c r="M1" s="237"/>
      <c r="N1" s="237"/>
      <c r="O1" s="237"/>
      <c r="P1" s="237"/>
      <c r="Q1" s="237"/>
      <c r="R1" s="237"/>
      <c r="S1" s="237"/>
      <c r="T1" s="237"/>
      <c r="U1" s="237"/>
      <c r="V1" s="237"/>
      <c r="W1" s="237"/>
      <c r="X1" s="237"/>
      <c r="Y1" s="237"/>
    </row>
    <row r="2" spans="1:25">
      <c r="A2" s="237"/>
      <c r="B2" s="237"/>
      <c r="C2" s="237"/>
      <c r="D2" s="237"/>
      <c r="E2" s="237"/>
      <c r="F2" s="237"/>
      <c r="G2" s="237"/>
      <c r="H2" s="237"/>
      <c r="I2" s="237"/>
      <c r="J2" s="237"/>
      <c r="K2" s="237"/>
      <c r="L2" s="237"/>
      <c r="M2" s="237"/>
      <c r="N2" s="237"/>
      <c r="O2" s="237"/>
      <c r="P2" s="237"/>
      <c r="Q2" s="237"/>
      <c r="R2" s="237"/>
      <c r="S2" s="237"/>
      <c r="T2" s="237"/>
      <c r="U2" s="237"/>
      <c r="V2" s="237"/>
      <c r="W2" s="237"/>
      <c r="X2" s="237"/>
      <c r="Y2" s="237"/>
    </row>
    <row r="3" spans="1:25">
      <c r="A3" s="237"/>
      <c r="B3" s="237"/>
      <c r="C3" s="237"/>
      <c r="D3" s="237"/>
      <c r="E3" s="237"/>
      <c r="F3" s="237"/>
      <c r="G3" s="237"/>
      <c r="H3" s="237"/>
      <c r="I3" s="237"/>
      <c r="J3" s="237"/>
      <c r="K3" s="237"/>
      <c r="L3" s="237"/>
      <c r="M3" s="237"/>
      <c r="N3" s="237"/>
      <c r="O3" s="237"/>
      <c r="P3" s="237"/>
      <c r="Q3" s="237"/>
      <c r="R3" s="237"/>
      <c r="S3" s="237"/>
      <c r="T3" s="237"/>
      <c r="U3" s="237"/>
      <c r="V3" s="237"/>
      <c r="W3" s="237"/>
      <c r="X3" s="237"/>
      <c r="Y3" s="237"/>
    </row>
    <row r="4" spans="1:25" ht="12.75" customHeight="1">
      <c r="A4" s="238"/>
      <c r="B4" s="238"/>
      <c r="C4" s="238"/>
      <c r="D4" s="238"/>
      <c r="E4" s="238"/>
      <c r="F4" s="238"/>
      <c r="G4" s="238"/>
      <c r="H4" s="238"/>
      <c r="I4" s="238"/>
      <c r="J4" s="238"/>
      <c r="K4" s="238"/>
      <c r="L4" s="238"/>
      <c r="M4" s="238"/>
      <c r="N4" s="238"/>
      <c r="O4" s="238"/>
      <c r="P4" s="238"/>
      <c r="Q4" s="238"/>
      <c r="R4" s="238"/>
      <c r="S4" s="238"/>
      <c r="T4" s="238"/>
      <c r="U4" s="238"/>
      <c r="V4" s="238"/>
      <c r="W4" s="238"/>
      <c r="X4" s="238"/>
      <c r="Y4" s="238"/>
    </row>
    <row r="5" spans="1:25" ht="18">
      <c r="B5" s="92" t="s">
        <v>288</v>
      </c>
      <c r="M5" s="235" t="s">
        <v>289</v>
      </c>
      <c r="N5" s="235"/>
      <c r="O5" s="235"/>
      <c r="P5" s="235"/>
    </row>
    <row r="7" spans="1:25" ht="18">
      <c r="B7" s="94" t="s">
        <v>290</v>
      </c>
    </row>
    <row r="9" spans="1:25" s="94" customFormat="1" ht="18">
      <c r="B9" s="97" t="s">
        <v>291</v>
      </c>
    </row>
    <row r="10" spans="1:25" s="88" customFormat="1" ht="15.75" customHeight="1" thickBot="1">
      <c r="B10" s="239" t="s">
        <v>364</v>
      </c>
      <c r="C10" s="239"/>
      <c r="D10" s="239"/>
      <c r="E10" s="239"/>
      <c r="F10" s="239"/>
      <c r="G10" s="239"/>
      <c r="H10" s="239"/>
      <c r="I10" s="239"/>
      <c r="J10" s="239"/>
      <c r="K10" s="239"/>
      <c r="L10" s="239"/>
      <c r="M10" s="239"/>
      <c r="N10" s="239"/>
      <c r="O10" s="239"/>
      <c r="P10" s="239"/>
      <c r="Q10" s="239"/>
      <c r="R10" s="239"/>
      <c r="S10" s="239"/>
      <c r="T10" s="239"/>
      <c r="U10" s="239"/>
      <c r="V10" s="239"/>
      <c r="W10" s="239"/>
      <c r="X10" s="239"/>
      <c r="Y10" s="239"/>
    </row>
    <row r="11" spans="1:25" s="147" customFormat="1" ht="15.75" thickBot="1">
      <c r="B11" s="236" t="s">
        <v>351</v>
      </c>
      <c r="C11" s="236"/>
      <c r="D11" s="236"/>
      <c r="E11" s="236"/>
      <c r="F11" s="236"/>
      <c r="G11" s="150" t="s">
        <v>350</v>
      </c>
      <c r="H11" s="148"/>
      <c r="J11" s="101"/>
    </row>
    <row r="12" spans="1:25" s="147" customFormat="1" ht="15">
      <c r="B12" s="236" t="s">
        <v>349</v>
      </c>
      <c r="C12" s="236"/>
      <c r="D12" s="236"/>
      <c r="E12" s="236"/>
      <c r="F12" s="236"/>
      <c r="G12" s="236"/>
      <c r="H12" s="236"/>
      <c r="I12" s="236"/>
      <c r="J12" s="236"/>
      <c r="K12" s="236"/>
      <c r="L12" s="236"/>
      <c r="M12" s="148"/>
      <c r="N12" s="148"/>
      <c r="O12" s="148"/>
      <c r="P12" s="148"/>
      <c r="Q12" s="148"/>
      <c r="R12" s="148"/>
      <c r="S12" s="148"/>
      <c r="T12" s="148"/>
      <c r="U12" s="148"/>
    </row>
    <row r="13" spans="1:25">
      <c r="B13" s="93"/>
      <c r="C13" s="93"/>
      <c r="D13" s="93"/>
      <c r="E13" s="93"/>
      <c r="F13" s="93"/>
      <c r="G13" s="93"/>
      <c r="H13" s="93"/>
      <c r="I13" s="93"/>
      <c r="J13" s="93"/>
      <c r="K13" s="93"/>
      <c r="L13" s="93"/>
      <c r="M13" s="93"/>
      <c r="N13" s="93"/>
      <c r="O13" s="93"/>
      <c r="P13" s="93"/>
      <c r="Q13" s="93"/>
      <c r="R13" s="93"/>
      <c r="S13" s="93"/>
    </row>
    <row r="14" spans="1:25" s="94" customFormat="1" ht="18">
      <c r="B14" s="97" t="s">
        <v>305</v>
      </c>
    </row>
    <row r="15" spans="1:25" s="88" customFormat="1" ht="15">
      <c r="B15" s="242" t="s">
        <v>357</v>
      </c>
      <c r="C15" s="242"/>
      <c r="D15" s="242"/>
      <c r="E15" s="242"/>
      <c r="F15" s="242"/>
      <c r="G15" s="242"/>
      <c r="H15" s="242"/>
      <c r="I15" s="242"/>
      <c r="J15" s="242"/>
      <c r="K15" s="242"/>
      <c r="L15" s="242"/>
      <c r="M15" s="242"/>
      <c r="N15" s="242"/>
      <c r="O15" s="242"/>
      <c r="P15" s="242"/>
      <c r="Q15" s="242"/>
      <c r="R15" s="242"/>
      <c r="S15" s="242"/>
      <c r="T15" s="242"/>
      <c r="U15" s="242"/>
      <c r="V15" s="242"/>
      <c r="W15" s="242"/>
      <c r="X15" s="242"/>
      <c r="Y15" s="242"/>
    </row>
    <row r="16" spans="1:25" s="88" customFormat="1" ht="15.75" thickBot="1">
      <c r="B16" s="101"/>
      <c r="C16" s="101"/>
      <c r="D16" s="101"/>
      <c r="E16" s="101"/>
      <c r="F16" s="101"/>
      <c r="G16" s="101"/>
      <c r="H16" s="101"/>
      <c r="I16" s="101"/>
      <c r="J16" s="101"/>
      <c r="K16" s="101"/>
      <c r="L16" s="101"/>
      <c r="M16" s="101"/>
      <c r="N16" s="101"/>
      <c r="O16" s="101"/>
      <c r="P16" s="101"/>
      <c r="Q16" s="101"/>
      <c r="R16" s="101"/>
      <c r="S16" s="101"/>
      <c r="T16" s="101"/>
      <c r="U16" s="101"/>
      <c r="V16" s="101"/>
      <c r="W16" s="101"/>
      <c r="X16" s="101"/>
      <c r="Y16" s="101"/>
    </row>
    <row r="17" spans="2:21" ht="15" customHeight="1">
      <c r="B17" s="243"/>
      <c r="C17" s="244"/>
      <c r="D17" s="244"/>
      <c r="E17" s="244"/>
      <c r="F17" s="244"/>
      <c r="G17" s="244"/>
      <c r="H17" s="244"/>
      <c r="I17" s="244"/>
      <c r="J17" s="244"/>
      <c r="K17" s="244"/>
      <c r="L17" s="245"/>
    </row>
    <row r="18" spans="2:21" ht="18" customHeight="1">
      <c r="B18" s="246"/>
      <c r="C18" s="247"/>
      <c r="D18" s="247"/>
      <c r="E18" s="247"/>
      <c r="F18" s="247"/>
      <c r="G18" s="247"/>
      <c r="H18" s="247"/>
      <c r="I18" s="247"/>
      <c r="J18" s="247"/>
      <c r="K18" s="247"/>
      <c r="L18" s="248"/>
      <c r="M18" s="98" t="s">
        <v>306</v>
      </c>
      <c r="N18" s="152" t="s">
        <v>365</v>
      </c>
      <c r="O18" s="98"/>
      <c r="P18" s="98"/>
      <c r="Q18" s="98"/>
      <c r="R18" s="98"/>
      <c r="S18" s="98"/>
      <c r="T18" s="98"/>
      <c r="U18" s="98"/>
    </row>
    <row r="19" spans="2:21" ht="18" customHeight="1">
      <c r="B19" s="246"/>
      <c r="C19" s="247"/>
      <c r="D19" s="247"/>
      <c r="E19" s="247"/>
      <c r="F19" s="247"/>
      <c r="G19" s="247"/>
      <c r="H19" s="247"/>
      <c r="I19" s="247"/>
      <c r="J19" s="247"/>
      <c r="K19" s="247"/>
      <c r="L19" s="248"/>
      <c r="M19" s="98" t="s">
        <v>307</v>
      </c>
      <c r="N19" s="152" t="s">
        <v>366</v>
      </c>
      <c r="O19" s="98"/>
      <c r="P19" s="98"/>
      <c r="Q19" s="98"/>
      <c r="R19" s="98"/>
      <c r="S19" s="98"/>
      <c r="T19" s="98"/>
      <c r="U19" s="98"/>
    </row>
    <row r="20" spans="2:21" ht="18" customHeight="1">
      <c r="B20" s="246"/>
      <c r="C20" s="247"/>
      <c r="D20" s="247"/>
      <c r="E20" s="247"/>
      <c r="F20" s="247"/>
      <c r="G20" s="247"/>
      <c r="H20" s="247"/>
      <c r="I20" s="247"/>
      <c r="J20" s="247"/>
      <c r="K20" s="247"/>
      <c r="L20" s="248"/>
      <c r="M20" s="98" t="s">
        <v>308</v>
      </c>
      <c r="N20" s="98" t="s">
        <v>318</v>
      </c>
      <c r="O20" s="98"/>
      <c r="P20" s="98"/>
      <c r="Q20" s="98"/>
      <c r="R20" s="98"/>
      <c r="S20" s="98"/>
      <c r="T20" s="98"/>
      <c r="U20" s="98"/>
    </row>
    <row r="21" spans="2:21" ht="18" customHeight="1">
      <c r="B21" s="246"/>
      <c r="C21" s="247"/>
      <c r="D21" s="247"/>
      <c r="E21" s="247"/>
      <c r="F21" s="247"/>
      <c r="G21" s="247"/>
      <c r="H21" s="247"/>
      <c r="I21" s="247"/>
      <c r="J21" s="247"/>
      <c r="K21" s="247"/>
      <c r="L21" s="248"/>
      <c r="M21" s="98" t="s">
        <v>309</v>
      </c>
      <c r="N21" s="98" t="s">
        <v>319</v>
      </c>
      <c r="O21" s="98"/>
      <c r="P21" s="98"/>
      <c r="Q21" s="98"/>
      <c r="R21" s="98"/>
      <c r="S21" s="98"/>
      <c r="T21" s="98"/>
      <c r="U21" s="98"/>
    </row>
    <row r="22" spans="2:21" ht="18" customHeight="1">
      <c r="B22" s="246"/>
      <c r="C22" s="247"/>
      <c r="D22" s="247"/>
      <c r="E22" s="247"/>
      <c r="F22" s="247"/>
      <c r="G22" s="247"/>
      <c r="H22" s="247"/>
      <c r="I22" s="247"/>
      <c r="J22" s="247"/>
      <c r="K22" s="247"/>
      <c r="L22" s="248"/>
      <c r="M22" s="98" t="s">
        <v>29</v>
      </c>
      <c r="N22" s="98" t="s">
        <v>322</v>
      </c>
      <c r="O22" s="98"/>
      <c r="P22" s="98"/>
      <c r="Q22" s="98"/>
      <c r="R22" s="98"/>
      <c r="S22" s="98"/>
      <c r="T22" s="98"/>
      <c r="U22" s="98"/>
    </row>
    <row r="23" spans="2:21" ht="18" customHeight="1">
      <c r="B23" s="246"/>
      <c r="C23" s="247"/>
      <c r="D23" s="247"/>
      <c r="E23" s="247"/>
      <c r="F23" s="247"/>
      <c r="G23" s="247"/>
      <c r="H23" s="247"/>
      <c r="I23" s="247"/>
      <c r="J23" s="247"/>
      <c r="K23" s="247"/>
      <c r="L23" s="248"/>
      <c r="M23" s="98" t="s">
        <v>310</v>
      </c>
      <c r="N23" s="152" t="s">
        <v>367</v>
      </c>
      <c r="O23" s="98"/>
      <c r="P23" s="98"/>
      <c r="Q23" s="98"/>
      <c r="R23" s="98"/>
      <c r="S23" s="98"/>
      <c r="T23" s="98"/>
      <c r="U23" s="98"/>
    </row>
    <row r="24" spans="2:21" ht="18" customHeight="1">
      <c r="B24" s="246"/>
      <c r="C24" s="247"/>
      <c r="D24" s="247"/>
      <c r="E24" s="247"/>
      <c r="F24" s="247"/>
      <c r="G24" s="247"/>
      <c r="H24" s="247"/>
      <c r="I24" s="247"/>
      <c r="J24" s="247"/>
      <c r="K24" s="247"/>
      <c r="L24" s="248"/>
      <c r="M24" s="98" t="s">
        <v>311</v>
      </c>
      <c r="N24" s="152" t="s">
        <v>368</v>
      </c>
      <c r="O24" s="98"/>
      <c r="P24" s="98"/>
      <c r="Q24" s="98"/>
      <c r="R24" s="98"/>
      <c r="S24" s="98"/>
      <c r="T24" s="98"/>
      <c r="U24" s="98"/>
    </row>
    <row r="25" spans="2:21" ht="18" customHeight="1">
      <c r="B25" s="246"/>
      <c r="C25" s="247"/>
      <c r="D25" s="247"/>
      <c r="E25" s="247"/>
      <c r="F25" s="247"/>
      <c r="G25" s="247"/>
      <c r="H25" s="247"/>
      <c r="I25" s="247"/>
      <c r="J25" s="247"/>
      <c r="K25" s="247"/>
      <c r="L25" s="248"/>
      <c r="M25" s="98" t="s">
        <v>13</v>
      </c>
      <c r="N25" s="98" t="s">
        <v>323</v>
      </c>
      <c r="O25" s="98"/>
      <c r="P25" s="98"/>
      <c r="Q25" s="98"/>
      <c r="R25" s="98"/>
      <c r="S25" s="98"/>
      <c r="T25" s="98"/>
      <c r="U25" s="98"/>
    </row>
    <row r="26" spans="2:21" ht="18" customHeight="1">
      <c r="B26" s="246"/>
      <c r="C26" s="247"/>
      <c r="D26" s="247"/>
      <c r="E26" s="247"/>
      <c r="F26" s="247"/>
      <c r="G26" s="247"/>
      <c r="H26" s="247"/>
      <c r="I26" s="247"/>
      <c r="J26" s="247"/>
      <c r="K26" s="247"/>
      <c r="L26" s="248"/>
      <c r="M26" s="98" t="s">
        <v>312</v>
      </c>
      <c r="N26" s="152" t="s">
        <v>369</v>
      </c>
      <c r="O26" s="98"/>
      <c r="P26" s="98"/>
      <c r="Q26" s="98"/>
      <c r="R26" s="98"/>
      <c r="S26" s="98"/>
      <c r="T26" s="98"/>
      <c r="U26" s="98"/>
    </row>
    <row r="27" spans="2:21" ht="18" customHeight="1">
      <c r="B27" s="246"/>
      <c r="C27" s="247"/>
      <c r="D27" s="247"/>
      <c r="E27" s="247"/>
      <c r="F27" s="247"/>
      <c r="G27" s="247"/>
      <c r="H27" s="247"/>
      <c r="I27" s="247"/>
      <c r="J27" s="247"/>
      <c r="K27" s="247"/>
      <c r="L27" s="248"/>
      <c r="M27" s="98" t="s">
        <v>313</v>
      </c>
      <c r="N27" s="152" t="s">
        <v>370</v>
      </c>
      <c r="O27" s="98"/>
      <c r="P27" s="98"/>
      <c r="Q27" s="98"/>
      <c r="R27" s="98"/>
      <c r="S27" s="98"/>
      <c r="T27" s="98"/>
      <c r="U27" s="98"/>
    </row>
    <row r="28" spans="2:21" ht="18" customHeight="1">
      <c r="B28" s="246"/>
      <c r="C28" s="247"/>
      <c r="D28" s="247"/>
      <c r="E28" s="247"/>
      <c r="F28" s="247"/>
      <c r="G28" s="247"/>
      <c r="H28" s="247"/>
      <c r="I28" s="247"/>
      <c r="J28" s="247"/>
      <c r="K28" s="247"/>
      <c r="L28" s="248"/>
      <c r="M28" s="156" t="s">
        <v>395</v>
      </c>
      <c r="N28" s="156" t="s">
        <v>396</v>
      </c>
      <c r="P28" s="98"/>
      <c r="Q28" s="98"/>
      <c r="R28" s="98"/>
      <c r="S28" s="98"/>
      <c r="T28" s="98"/>
      <c r="U28" s="98"/>
    </row>
    <row r="29" spans="2:21" ht="18" customHeight="1">
      <c r="B29" s="246"/>
      <c r="C29" s="247"/>
      <c r="D29" s="247"/>
      <c r="E29" s="247"/>
      <c r="F29" s="247"/>
      <c r="G29" s="247"/>
      <c r="H29" s="247"/>
      <c r="I29" s="247"/>
      <c r="J29" s="247"/>
      <c r="K29" s="247"/>
      <c r="L29" s="248"/>
      <c r="M29" s="98" t="s">
        <v>314</v>
      </c>
      <c r="N29" s="98" t="s">
        <v>320</v>
      </c>
      <c r="O29" s="98"/>
      <c r="P29" s="98"/>
      <c r="Q29" s="98"/>
      <c r="R29" s="98"/>
      <c r="S29" s="98"/>
      <c r="T29" s="98"/>
      <c r="U29" s="98"/>
    </row>
    <row r="30" spans="2:21" ht="18" customHeight="1">
      <c r="B30" s="246"/>
      <c r="C30" s="247"/>
      <c r="D30" s="247"/>
      <c r="E30" s="247"/>
      <c r="F30" s="247"/>
      <c r="G30" s="247"/>
      <c r="H30" s="247"/>
      <c r="I30" s="247"/>
      <c r="J30" s="247"/>
      <c r="K30" s="247"/>
      <c r="L30" s="248"/>
      <c r="M30" s="98" t="s">
        <v>315</v>
      </c>
      <c r="N30" s="98" t="s">
        <v>321</v>
      </c>
      <c r="O30" s="98"/>
    </row>
    <row r="31" spans="2:21" ht="18" customHeight="1">
      <c r="B31" s="246"/>
      <c r="C31" s="247"/>
      <c r="D31" s="247"/>
      <c r="E31" s="247"/>
      <c r="F31" s="247"/>
      <c r="G31" s="247"/>
      <c r="H31" s="247"/>
      <c r="I31" s="247"/>
      <c r="J31" s="247"/>
      <c r="K31" s="247"/>
      <c r="L31" s="248"/>
      <c r="M31" s="98" t="s">
        <v>316</v>
      </c>
      <c r="N31" s="149" t="s">
        <v>356</v>
      </c>
      <c r="O31" s="98"/>
    </row>
    <row r="32" spans="2:21" ht="18" customHeight="1">
      <c r="B32" s="246"/>
      <c r="C32" s="247"/>
      <c r="D32" s="247"/>
      <c r="E32" s="247"/>
      <c r="F32" s="247"/>
      <c r="G32" s="247"/>
      <c r="H32" s="247"/>
      <c r="I32" s="247"/>
      <c r="J32" s="247"/>
      <c r="K32" s="247"/>
      <c r="L32" s="248"/>
      <c r="M32" s="98" t="s">
        <v>317</v>
      </c>
      <c r="N32" s="98" t="s">
        <v>324</v>
      </c>
      <c r="O32" s="98"/>
    </row>
    <row r="33" spans="2:25" ht="15" customHeight="1" thickBot="1">
      <c r="B33" s="249"/>
      <c r="C33" s="250"/>
      <c r="D33" s="250"/>
      <c r="E33" s="250"/>
      <c r="F33" s="250"/>
      <c r="G33" s="250"/>
      <c r="H33" s="250"/>
      <c r="I33" s="250"/>
      <c r="J33" s="250"/>
      <c r="K33" s="250"/>
      <c r="L33" s="251"/>
      <c r="O33" s="98"/>
    </row>
    <row r="34" spans="2:25" ht="15" customHeight="1">
      <c r="B34" s="153"/>
      <c r="C34" s="153"/>
      <c r="D34" s="153"/>
      <c r="E34" s="153"/>
      <c r="F34" s="153"/>
      <c r="G34" s="153"/>
      <c r="H34" s="153"/>
      <c r="I34" s="153"/>
      <c r="J34" s="153"/>
      <c r="K34" s="153"/>
      <c r="L34" s="153"/>
      <c r="M34" s="98"/>
      <c r="N34" s="98"/>
      <c r="O34" s="98"/>
    </row>
    <row r="35" spans="2:25" ht="30" customHeight="1">
      <c r="B35" s="242" t="s">
        <v>371</v>
      </c>
      <c r="C35" s="242"/>
      <c r="D35" s="242"/>
      <c r="E35" s="242"/>
      <c r="F35" s="242"/>
      <c r="G35" s="242"/>
      <c r="H35" s="242"/>
      <c r="I35" s="242"/>
      <c r="J35" s="242"/>
      <c r="K35" s="242"/>
      <c r="L35" s="242"/>
      <c r="M35" s="242"/>
      <c r="N35" s="242"/>
      <c r="O35" s="242"/>
      <c r="P35" s="242"/>
      <c r="Q35" s="242"/>
      <c r="R35" s="242"/>
      <c r="S35" s="242"/>
      <c r="T35" s="242"/>
      <c r="U35" s="242"/>
      <c r="V35" s="242"/>
      <c r="W35" s="242"/>
      <c r="X35" s="242"/>
      <c r="Y35" s="242"/>
    </row>
    <row r="37" spans="2:25" s="94" customFormat="1" ht="18">
      <c r="B37" s="97" t="s">
        <v>394</v>
      </c>
    </row>
    <row r="38" spans="2:25" s="88" customFormat="1" ht="248.25" customHeight="1">
      <c r="B38" s="239" t="s">
        <v>372</v>
      </c>
      <c r="C38" s="239"/>
      <c r="D38" s="239"/>
      <c r="E38" s="239"/>
      <c r="F38" s="239"/>
      <c r="G38" s="239"/>
      <c r="H38" s="239"/>
      <c r="I38" s="239"/>
      <c r="J38" s="239"/>
      <c r="K38" s="239"/>
      <c r="L38" s="239"/>
      <c r="M38" s="239"/>
      <c r="N38" s="239"/>
      <c r="O38" s="239"/>
      <c r="P38" s="239"/>
      <c r="Q38" s="239"/>
      <c r="R38" s="239"/>
      <c r="S38" s="239"/>
      <c r="T38" s="239"/>
      <c r="U38" s="239"/>
      <c r="V38" s="239"/>
      <c r="W38" s="239"/>
      <c r="X38" s="239"/>
      <c r="Y38" s="239"/>
    </row>
    <row r="39" spans="2:25" ht="270" customHeight="1">
      <c r="B39" s="242" t="s">
        <v>374</v>
      </c>
      <c r="C39" s="242"/>
      <c r="D39" s="242"/>
      <c r="E39" s="242"/>
      <c r="F39" s="242"/>
      <c r="G39" s="242"/>
      <c r="H39" s="242"/>
      <c r="I39" s="242"/>
      <c r="J39" s="242"/>
      <c r="K39" s="242"/>
      <c r="L39" s="242"/>
      <c r="M39" s="242"/>
      <c r="N39" s="242"/>
      <c r="O39" s="242"/>
      <c r="P39" s="242"/>
      <c r="Q39" s="242"/>
      <c r="R39" s="242"/>
      <c r="S39" s="242"/>
      <c r="T39" s="242"/>
      <c r="U39" s="242"/>
      <c r="V39" s="242"/>
      <c r="W39" s="242"/>
      <c r="X39" s="242"/>
      <c r="Y39" s="242"/>
    </row>
    <row r="40" spans="2:25" ht="15">
      <c r="B40" s="239" t="s">
        <v>373</v>
      </c>
      <c r="C40" s="239"/>
      <c r="D40" s="239"/>
      <c r="E40" s="239"/>
      <c r="F40" s="239"/>
      <c r="G40" s="239"/>
      <c r="H40" s="239"/>
      <c r="I40" s="239"/>
      <c r="J40" s="239"/>
      <c r="K40" s="239"/>
      <c r="L40" s="239"/>
      <c r="M40" s="239"/>
      <c r="N40" s="239"/>
      <c r="O40" s="239"/>
      <c r="P40" s="239"/>
      <c r="Q40" s="239"/>
      <c r="R40" s="239"/>
      <c r="S40" s="239"/>
      <c r="T40" s="239"/>
      <c r="U40" s="239"/>
      <c r="V40" s="239"/>
      <c r="W40" s="239"/>
      <c r="X40" s="239"/>
      <c r="Y40" s="239"/>
    </row>
    <row r="41" spans="2:25" ht="30" customHeight="1">
      <c r="B41" s="240" t="s">
        <v>355</v>
      </c>
      <c r="C41" s="240"/>
      <c r="D41" s="240"/>
      <c r="E41" s="240"/>
      <c r="F41" s="240"/>
      <c r="G41" s="240"/>
      <c r="H41" s="241" t="s">
        <v>354</v>
      </c>
      <c r="I41" s="241"/>
      <c r="J41" s="241"/>
      <c r="K41" s="241"/>
      <c r="L41" s="241"/>
      <c r="M41" s="241"/>
      <c r="N41" s="241"/>
      <c r="O41" s="241"/>
      <c r="P41" s="101"/>
      <c r="Q41" s="101"/>
      <c r="R41" s="101"/>
      <c r="S41" s="101"/>
      <c r="T41" s="101"/>
      <c r="U41" s="101"/>
      <c r="V41" s="101"/>
    </row>
    <row r="42" spans="2:25" ht="15" customHeight="1">
      <c r="B42" s="147"/>
      <c r="C42" s="147"/>
      <c r="D42" s="147"/>
      <c r="E42" s="147"/>
      <c r="F42" s="147"/>
      <c r="G42" s="147"/>
      <c r="H42" s="147"/>
      <c r="I42" s="147"/>
      <c r="J42" s="147"/>
      <c r="K42" s="147"/>
      <c r="L42" s="147"/>
      <c r="M42" s="147"/>
      <c r="N42" s="147"/>
      <c r="O42" s="147"/>
      <c r="P42" s="147"/>
      <c r="Q42" s="147"/>
      <c r="R42" s="147"/>
      <c r="S42" s="147"/>
      <c r="T42" s="147"/>
      <c r="U42" s="147"/>
      <c r="V42" s="147"/>
    </row>
    <row r="43" spans="2:25" s="94" customFormat="1" ht="18">
      <c r="B43" s="95" t="s">
        <v>352</v>
      </c>
    </row>
    <row r="44" spans="2:25" s="94" customFormat="1" ht="18">
      <c r="B44" s="95"/>
      <c r="C44" s="234" t="s">
        <v>303</v>
      </c>
      <c r="D44" s="234"/>
      <c r="E44" s="234"/>
      <c r="F44" s="234"/>
      <c r="G44" s="234"/>
      <c r="H44" s="234"/>
      <c r="I44" s="234"/>
    </row>
    <row r="46" spans="2:25" s="94" customFormat="1" ht="15" customHeight="1">
      <c r="B46" s="95" t="s">
        <v>353</v>
      </c>
    </row>
    <row r="47" spans="2:25" s="94" customFormat="1" ht="18">
      <c r="C47" s="235" t="s">
        <v>304</v>
      </c>
      <c r="D47" s="235"/>
      <c r="E47" s="235"/>
      <c r="F47" s="235"/>
      <c r="G47" s="235"/>
      <c r="H47" s="235"/>
      <c r="I47" s="96"/>
    </row>
  </sheetData>
  <sheetProtection algorithmName="SHA-512" hashValue="GHW5mws6BTkLbEGjC9gccQw6kMsE1h/6iPZ+5SI4yNqb1nb2/+w4NC/Eqzjggv5DsK810mxYicVaoRzF1iHz1Q==" saltValue="e+/EZYg9ui2QGnNX8vPQyQ==" spinCount="100000" sheet="1" selectLockedCells="1"/>
  <mergeCells count="16">
    <mergeCell ref="C44:I44"/>
    <mergeCell ref="C47:H47"/>
    <mergeCell ref="M5:P5"/>
    <mergeCell ref="B12:L12"/>
    <mergeCell ref="A1:Y3"/>
    <mergeCell ref="A4:Y4"/>
    <mergeCell ref="B10:Y10"/>
    <mergeCell ref="B11:F11"/>
    <mergeCell ref="B41:G41"/>
    <mergeCell ref="H41:O41"/>
    <mergeCell ref="B15:Y15"/>
    <mergeCell ref="B35:Y35"/>
    <mergeCell ref="B17:L33"/>
    <mergeCell ref="B39:Y39"/>
    <mergeCell ref="B38:Y38"/>
    <mergeCell ref="B40:Y40"/>
  </mergeCells>
  <hyperlinks>
    <hyperlink ref="C47" r:id="rId1" display="Designing with DRV421: System Parameter Calculator" xr:uid="{00000000-0004-0000-0400-000000000000}"/>
    <hyperlink ref="M5" r:id="rId2" xr:uid="{00000000-0004-0000-0400-000001000000}"/>
    <hyperlink ref="C47:G47" r:id="rId3" display="TI Precision Labs - Current Sense Amplifiers" xr:uid="{00000000-0004-0000-0400-000002000000}"/>
    <hyperlink ref="C44:G44" r:id="rId4" display="Current Sense Amplifiers Product Overview" xr:uid="{00000000-0004-0000-0400-000003000000}"/>
    <hyperlink ref="H41:O41" r:id="rId5" display="TI Precision Labs - Current Sense Amplifiers: How to Choose a Shunt Resistor" xr:uid="{40EFD4CE-A0F8-4016-B8E6-9CFCF501B7F6}"/>
  </hyperlinks>
  <pageMargins left="0.7" right="0.7" top="0.75" bottom="0.75" header="0.3" footer="0.3"/>
  <pageSetup orientation="portrait" r:id="rId6"/>
  <drawing r:id="rId7"/>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 ma:contentTypeID="0x01010016FBACADCF099F41A1FDCA743FFDDB45" ma:contentTypeVersion="1" ma:contentTypeDescription="Create a new document." ma:contentTypeScope="" ma:versionID="cc648f557ffb5cb620cfefb96cf74698">
  <xsd:schema xmlns:xsd="http://www.w3.org/2001/XMLSchema" xmlns:xs="http://www.w3.org/2001/XMLSchema" xmlns:p="http://schemas.microsoft.com/office/2006/metadata/properties" xmlns:ns2="2dd1e691-eafc-474b-9400-fd9d9a71363b" targetNamespace="http://schemas.microsoft.com/office/2006/metadata/properties" ma:root="true" ma:fieldsID="28342629b6bd64e85afd80af24251165" ns2:_="">
    <xsd:import namespace="2dd1e691-eafc-474b-9400-fd9d9a71363b"/>
    <xsd:element name="properties">
      <xsd:complexType>
        <xsd:sequence>
          <xsd:element name="documentManagement">
            <xsd:complexType>
              <xsd:all>
                <xsd:element ref="ns2:SharedWithUser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2dd1e691-eafc-474b-9400-fd9d9a71363b" elementFormDefault="qualified">
    <xsd:import namespace="http://schemas.microsoft.com/office/2006/documentManagement/types"/>
    <xsd:import namespace="http://schemas.microsoft.com/office/infopath/2007/PartnerControls"/>
    <xsd:element name="SharedWithUsers" ma:index="8"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AB20D2F0-6D9A-476C-987F-BA46A5E2A1CF}">
  <ds:schemaRefs>
    <ds:schemaRef ds:uri="http://schemas.openxmlformats.org/package/2006/metadata/core-properties"/>
    <ds:schemaRef ds:uri="http://schemas.microsoft.com/office/2006/metadata/properties"/>
    <ds:schemaRef ds:uri="http://purl.org/dc/elements/1.1/"/>
    <ds:schemaRef ds:uri="2dd1e691-eafc-474b-9400-fd9d9a71363b"/>
    <ds:schemaRef ds:uri="http://purl.org/dc/dcmitype/"/>
    <ds:schemaRef ds:uri="http://schemas.microsoft.com/office/2006/documentManagement/types"/>
    <ds:schemaRef ds:uri="http://www.w3.org/XML/1998/namespace"/>
    <ds:schemaRef ds:uri="http://schemas.microsoft.com/office/infopath/2007/PartnerControls"/>
    <ds:schemaRef ds:uri="http://purl.org/dc/terms/"/>
  </ds:schemaRefs>
</ds:datastoreItem>
</file>

<file path=customXml/itemProps2.xml><?xml version="1.0" encoding="utf-8"?>
<ds:datastoreItem xmlns:ds="http://schemas.openxmlformats.org/officeDocument/2006/customXml" ds:itemID="{066D76D3-8E6B-4E15-A67F-DFEB6A144FD7}">
  <ds:schemaRefs>
    <ds:schemaRef ds:uri="http://schemas.microsoft.com/sharepoint/v3/contenttype/forms"/>
  </ds:schemaRefs>
</ds:datastoreItem>
</file>

<file path=customXml/itemProps3.xml><?xml version="1.0" encoding="utf-8"?>
<ds:datastoreItem xmlns:ds="http://schemas.openxmlformats.org/officeDocument/2006/customXml" ds:itemID="{726F0C8D-F29C-48CC-A68B-48AA3CAF25C7}">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2dd1e691-eafc-474b-9400-fd9d9a71363b"/>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Arbeitsblätter</vt:lpstr>
      </vt:variant>
      <vt:variant>
        <vt:i4>5</vt:i4>
      </vt:variant>
      <vt:variant>
        <vt:lpstr>Benannte Bereiche</vt:lpstr>
      </vt:variant>
      <vt:variant>
        <vt:i4>56</vt:i4>
      </vt:variant>
    </vt:vector>
  </HeadingPairs>
  <TitlesOfParts>
    <vt:vector size="61" baseType="lpstr">
      <vt:lpstr>Table of Contents</vt:lpstr>
      <vt:lpstr>Comparison</vt:lpstr>
      <vt:lpstr>TI Parametric Selection </vt:lpstr>
      <vt:lpstr>About</vt:lpstr>
      <vt:lpstr>Help</vt:lpstr>
      <vt:lpstr>calcshunt</vt:lpstr>
      <vt:lpstr>CMRR_1</vt:lpstr>
      <vt:lpstr>CMRR_2</vt:lpstr>
      <vt:lpstr>CMRR_3</vt:lpstr>
      <vt:lpstr>CMRR_4</vt:lpstr>
      <vt:lpstr>CMRR_5</vt:lpstr>
      <vt:lpstr>cshunt</vt:lpstr>
      <vt:lpstr>Desiredtemp</vt:lpstr>
      <vt:lpstr>gain1</vt:lpstr>
      <vt:lpstr>gain2</vt:lpstr>
      <vt:lpstr>gain3</vt:lpstr>
      <vt:lpstr>gain4</vt:lpstr>
      <vt:lpstr>gain5</vt:lpstr>
      <vt:lpstr>GE_1</vt:lpstr>
      <vt:lpstr>GE_2</vt:lpstr>
      <vt:lpstr>GE_3</vt:lpstr>
      <vt:lpstr>GE_4</vt:lpstr>
      <vt:lpstr>GE_5</vt:lpstr>
      <vt:lpstr>GED_1</vt:lpstr>
      <vt:lpstr>GED_2</vt:lpstr>
      <vt:lpstr>GED_3</vt:lpstr>
      <vt:lpstr>GED_4</vt:lpstr>
      <vt:lpstr>GED_5</vt:lpstr>
      <vt:lpstr>ibias1</vt:lpstr>
      <vt:lpstr>ibias2</vt:lpstr>
      <vt:lpstr>ibias3</vt:lpstr>
      <vt:lpstr>ibias4</vt:lpstr>
      <vt:lpstr>ibias5</vt:lpstr>
      <vt:lpstr>maxcurrent</vt:lpstr>
      <vt:lpstr>mincurrent</vt:lpstr>
      <vt:lpstr>nomcurrent</vt:lpstr>
      <vt:lpstr>Part_Number</vt:lpstr>
      <vt:lpstr>PartType</vt:lpstr>
      <vt:lpstr>PSRR_1</vt:lpstr>
      <vt:lpstr>PSRR_2</vt:lpstr>
      <vt:lpstr>PSRR_3</vt:lpstr>
      <vt:lpstr>PSRR_4</vt:lpstr>
      <vt:lpstr>PSRR_5</vt:lpstr>
      <vt:lpstr>resdrift</vt:lpstr>
      <vt:lpstr>restol</vt:lpstr>
      <vt:lpstr>RTC</vt:lpstr>
      <vt:lpstr>TI</vt:lpstr>
      <vt:lpstr>Vcm</vt:lpstr>
      <vt:lpstr>Vcm_spec1</vt:lpstr>
      <vt:lpstr>VOS_1</vt:lpstr>
      <vt:lpstr>VOS_2</vt:lpstr>
      <vt:lpstr>VOS_3</vt:lpstr>
      <vt:lpstr>VOS_4</vt:lpstr>
      <vt:lpstr>VOS_5</vt:lpstr>
      <vt:lpstr>VOSD1</vt:lpstr>
      <vt:lpstr>VOSD2</vt:lpstr>
      <vt:lpstr>VOSD3</vt:lpstr>
      <vt:lpstr>VOSD4</vt:lpstr>
      <vt:lpstr>VOSD5</vt:lpstr>
      <vt:lpstr>Vs_spec1</vt:lpstr>
      <vt:lpstr>Vsupply</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Prakash, Arjun</dc:creator>
  <cp:lastModifiedBy>Lukas Alt</cp:lastModifiedBy>
  <dcterms:created xsi:type="dcterms:W3CDTF">2016-10-24T00:50:28Z</dcterms:created>
  <dcterms:modified xsi:type="dcterms:W3CDTF">2023-10-07T11:33:56Z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0x01010016FBACADCF099F41A1FDCA743FFDDB45</vt:lpwstr>
  </property>
</Properties>
</file>